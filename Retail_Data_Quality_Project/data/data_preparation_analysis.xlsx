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ikol\Desktop\Analysis\"/>
    </mc:Choice>
  </mc:AlternateContent>
  <xr:revisionPtr revIDLastSave="0" documentId="13_ncr:1_{D0F36D64-6751-4F84-884E-355706BA2DEE}" xr6:coauthVersionLast="47" xr6:coauthVersionMax="47" xr10:uidLastSave="{00000000-0000-0000-0000-000000000000}"/>
  <bookViews>
    <workbookView xWindow="-108" yWindow="-108" windowWidth="23256" windowHeight="12576" xr2:uid="{1E3E0CB8-C6B3-416B-B595-C1EB4C1C3969}"/>
  </bookViews>
  <sheets>
    <sheet name="RawData" sheetId="1" r:id="rId1"/>
    <sheet name="CleanedData" sheetId="2" r:id="rId2"/>
    <sheet name="Checks" sheetId="3" r:id="rId3"/>
    <sheet name="ErrorsByCountry" sheetId="5" r:id="rId4"/>
    <sheet name="TopErrorTypes" sheetId="7" r:id="rId5"/>
    <sheet name="TrendErrorsByMonth" sheetId="9" r:id="rId6"/>
    <sheet name="ErrorsByStatus" sheetId="10" r:id="rId7"/>
    <sheet name="Dashboard" sheetId="12" r:id="rId8"/>
  </sheets>
  <definedNames>
    <definedName name="_xlnm._FilterDatabase" localSheetId="2" hidden="1">Checks!$A$1:$P$501</definedName>
    <definedName name="ExternalData_1" localSheetId="1" hidden="1">CleanedData!$A$1:$R$501</definedName>
    <definedName name="NativeTimeline_UpdatedDate">#N/A</definedName>
    <definedName name="Slicer_Country">#N/A</definedName>
    <definedName name="Slicer_SourceSystem">#N/A</definedName>
    <definedName name="Slicer_Status">#N/A</definedName>
    <definedName name="Slicer_YearMonth">#N/A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3" l="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Q183" i="3" l="1"/>
  <c r="Q238" i="3"/>
  <c r="K29" i="3"/>
  <c r="T29" i="3" s="1"/>
  <c r="K222" i="3"/>
  <c r="T222" i="3" s="1"/>
  <c r="K343" i="3"/>
  <c r="T343" i="3" s="1"/>
  <c r="K464" i="3"/>
  <c r="T464" i="3" s="1"/>
  <c r="N86" i="3"/>
  <c r="N198" i="3"/>
  <c r="N358" i="3"/>
  <c r="N423" i="3"/>
  <c r="M47" i="3"/>
  <c r="M102" i="3"/>
  <c r="M156" i="3"/>
  <c r="M210" i="3"/>
  <c r="M264" i="3"/>
  <c r="M318" i="3"/>
  <c r="M372" i="3"/>
  <c r="M426" i="3"/>
  <c r="M473" i="3"/>
  <c r="L15" i="3"/>
  <c r="L51" i="3"/>
  <c r="L87" i="3"/>
  <c r="L123" i="3"/>
  <c r="L159" i="3"/>
  <c r="L195" i="3"/>
  <c r="L231" i="3"/>
  <c r="L267" i="3"/>
  <c r="L315" i="3"/>
  <c r="L327" i="3"/>
  <c r="L343" i="3"/>
  <c r="L355" i="3"/>
  <c r="L368" i="3"/>
  <c r="L379" i="3"/>
  <c r="L399" i="3"/>
  <c r="L410" i="3"/>
  <c r="L422" i="3"/>
  <c r="L433" i="3"/>
  <c r="L453" i="3"/>
  <c r="L463" i="3"/>
  <c r="L471" i="3"/>
  <c r="L481" i="3"/>
  <c r="L489" i="3"/>
  <c r="L499" i="3"/>
  <c r="J3" i="3"/>
  <c r="Q3" i="3" s="1"/>
  <c r="J4" i="3"/>
  <c r="Q4" i="3" s="1"/>
  <c r="J5" i="3"/>
  <c r="Q5" i="3" s="1"/>
  <c r="J6" i="3"/>
  <c r="Q6" i="3" s="1"/>
  <c r="J7" i="3"/>
  <c r="Q7" i="3" s="1"/>
  <c r="J8" i="3"/>
  <c r="Q8" i="3" s="1"/>
  <c r="J9" i="3"/>
  <c r="Q9" i="3" s="1"/>
  <c r="J10" i="3"/>
  <c r="Q10" i="3" s="1"/>
  <c r="J11" i="3"/>
  <c r="Q11" i="3" s="1"/>
  <c r="J12" i="3"/>
  <c r="Q12" i="3" s="1"/>
  <c r="J13" i="3"/>
  <c r="Q13" i="3" s="1"/>
  <c r="J14" i="3"/>
  <c r="Q14" i="3" s="1"/>
  <c r="J15" i="3"/>
  <c r="Q15" i="3" s="1"/>
  <c r="J16" i="3"/>
  <c r="Q16" i="3" s="1"/>
  <c r="J17" i="3"/>
  <c r="Q17" i="3" s="1"/>
  <c r="J18" i="3"/>
  <c r="Q18" i="3" s="1"/>
  <c r="J19" i="3"/>
  <c r="Q19" i="3" s="1"/>
  <c r="J20" i="3"/>
  <c r="Q20" i="3" s="1"/>
  <c r="J21" i="3"/>
  <c r="Q21" i="3" s="1"/>
  <c r="J22" i="3"/>
  <c r="Q22" i="3" s="1"/>
  <c r="J23" i="3"/>
  <c r="Q23" i="3" s="1"/>
  <c r="J24" i="3"/>
  <c r="Q24" i="3" s="1"/>
  <c r="J25" i="3"/>
  <c r="Q25" i="3" s="1"/>
  <c r="J26" i="3"/>
  <c r="Q26" i="3" s="1"/>
  <c r="J27" i="3"/>
  <c r="Q27" i="3" s="1"/>
  <c r="J28" i="3"/>
  <c r="Q28" i="3" s="1"/>
  <c r="J29" i="3"/>
  <c r="Q29" i="3" s="1"/>
  <c r="J30" i="3"/>
  <c r="Q30" i="3" s="1"/>
  <c r="J31" i="3"/>
  <c r="Q31" i="3" s="1"/>
  <c r="J32" i="3"/>
  <c r="Q32" i="3" s="1"/>
  <c r="J33" i="3"/>
  <c r="Q33" i="3" s="1"/>
  <c r="J34" i="3"/>
  <c r="Q34" i="3" s="1"/>
  <c r="J35" i="3"/>
  <c r="Q35" i="3" s="1"/>
  <c r="J36" i="3"/>
  <c r="Q36" i="3" s="1"/>
  <c r="J37" i="3"/>
  <c r="Q37" i="3" s="1"/>
  <c r="J38" i="3"/>
  <c r="Q38" i="3" s="1"/>
  <c r="J39" i="3"/>
  <c r="Q39" i="3" s="1"/>
  <c r="J40" i="3"/>
  <c r="Q40" i="3" s="1"/>
  <c r="J41" i="3"/>
  <c r="Q41" i="3" s="1"/>
  <c r="J42" i="3"/>
  <c r="Q42" i="3" s="1"/>
  <c r="J43" i="3"/>
  <c r="Q43" i="3" s="1"/>
  <c r="J44" i="3"/>
  <c r="Q44" i="3" s="1"/>
  <c r="J45" i="3"/>
  <c r="Q45" i="3" s="1"/>
  <c r="J46" i="3"/>
  <c r="Q46" i="3" s="1"/>
  <c r="J47" i="3"/>
  <c r="Q47" i="3" s="1"/>
  <c r="J48" i="3"/>
  <c r="Q48" i="3" s="1"/>
  <c r="J49" i="3"/>
  <c r="Q49" i="3" s="1"/>
  <c r="J50" i="3"/>
  <c r="Q50" i="3" s="1"/>
  <c r="J51" i="3"/>
  <c r="Q51" i="3" s="1"/>
  <c r="J52" i="3"/>
  <c r="Q52" i="3" s="1"/>
  <c r="J53" i="3"/>
  <c r="Q53" i="3" s="1"/>
  <c r="J54" i="3"/>
  <c r="Q54" i="3" s="1"/>
  <c r="J55" i="3"/>
  <c r="Q55" i="3" s="1"/>
  <c r="J56" i="3"/>
  <c r="Q56" i="3" s="1"/>
  <c r="J57" i="3"/>
  <c r="Q57" i="3" s="1"/>
  <c r="J58" i="3"/>
  <c r="Q58" i="3" s="1"/>
  <c r="J59" i="3"/>
  <c r="Q59" i="3" s="1"/>
  <c r="J60" i="3"/>
  <c r="Q60" i="3" s="1"/>
  <c r="J61" i="3"/>
  <c r="Q61" i="3" s="1"/>
  <c r="J62" i="3"/>
  <c r="Q62" i="3" s="1"/>
  <c r="J63" i="3"/>
  <c r="Q63" i="3" s="1"/>
  <c r="J64" i="3"/>
  <c r="Q64" i="3" s="1"/>
  <c r="J65" i="3"/>
  <c r="Q65" i="3" s="1"/>
  <c r="J66" i="3"/>
  <c r="Q66" i="3" s="1"/>
  <c r="J67" i="3"/>
  <c r="Q67" i="3" s="1"/>
  <c r="J68" i="3"/>
  <c r="Q68" i="3" s="1"/>
  <c r="J69" i="3"/>
  <c r="Q69" i="3" s="1"/>
  <c r="J70" i="3"/>
  <c r="Q70" i="3" s="1"/>
  <c r="J71" i="3"/>
  <c r="Q71" i="3" s="1"/>
  <c r="J72" i="3"/>
  <c r="Q72" i="3" s="1"/>
  <c r="J73" i="3"/>
  <c r="Q73" i="3" s="1"/>
  <c r="J74" i="3"/>
  <c r="Q74" i="3" s="1"/>
  <c r="J75" i="3"/>
  <c r="Q75" i="3" s="1"/>
  <c r="J76" i="3"/>
  <c r="Q76" i="3" s="1"/>
  <c r="J77" i="3"/>
  <c r="Q77" i="3" s="1"/>
  <c r="J78" i="3"/>
  <c r="Q78" i="3" s="1"/>
  <c r="J79" i="3"/>
  <c r="Q79" i="3" s="1"/>
  <c r="J80" i="3"/>
  <c r="Q80" i="3" s="1"/>
  <c r="J81" i="3"/>
  <c r="Q81" i="3" s="1"/>
  <c r="J82" i="3"/>
  <c r="Q82" i="3" s="1"/>
  <c r="J83" i="3"/>
  <c r="Q83" i="3" s="1"/>
  <c r="J84" i="3"/>
  <c r="Q84" i="3" s="1"/>
  <c r="J85" i="3"/>
  <c r="Q85" i="3" s="1"/>
  <c r="J86" i="3"/>
  <c r="Q86" i="3" s="1"/>
  <c r="J87" i="3"/>
  <c r="Q87" i="3" s="1"/>
  <c r="J88" i="3"/>
  <c r="Q88" i="3" s="1"/>
  <c r="J89" i="3"/>
  <c r="Q89" i="3" s="1"/>
  <c r="J90" i="3"/>
  <c r="Q90" i="3" s="1"/>
  <c r="J91" i="3"/>
  <c r="Q91" i="3" s="1"/>
  <c r="J92" i="3"/>
  <c r="Q92" i="3" s="1"/>
  <c r="J93" i="3"/>
  <c r="Q93" i="3" s="1"/>
  <c r="J94" i="3"/>
  <c r="Q94" i="3" s="1"/>
  <c r="J95" i="3"/>
  <c r="Q95" i="3" s="1"/>
  <c r="J96" i="3"/>
  <c r="Q96" i="3" s="1"/>
  <c r="J97" i="3"/>
  <c r="Q97" i="3" s="1"/>
  <c r="J98" i="3"/>
  <c r="Q98" i="3" s="1"/>
  <c r="J99" i="3"/>
  <c r="Q99" i="3" s="1"/>
  <c r="J100" i="3"/>
  <c r="Q100" i="3" s="1"/>
  <c r="J101" i="3"/>
  <c r="Q101" i="3" s="1"/>
  <c r="J102" i="3"/>
  <c r="Q102" i="3" s="1"/>
  <c r="J103" i="3"/>
  <c r="Q103" i="3" s="1"/>
  <c r="J104" i="3"/>
  <c r="Q104" i="3" s="1"/>
  <c r="J105" i="3"/>
  <c r="Q105" i="3" s="1"/>
  <c r="J106" i="3"/>
  <c r="Q106" i="3" s="1"/>
  <c r="J107" i="3"/>
  <c r="Q107" i="3" s="1"/>
  <c r="J108" i="3"/>
  <c r="Q108" i="3" s="1"/>
  <c r="J109" i="3"/>
  <c r="Q109" i="3" s="1"/>
  <c r="J110" i="3"/>
  <c r="Q110" i="3" s="1"/>
  <c r="J111" i="3"/>
  <c r="Q111" i="3" s="1"/>
  <c r="J112" i="3"/>
  <c r="Q112" i="3" s="1"/>
  <c r="J113" i="3"/>
  <c r="Q113" i="3" s="1"/>
  <c r="J114" i="3"/>
  <c r="Q114" i="3" s="1"/>
  <c r="J115" i="3"/>
  <c r="Q115" i="3" s="1"/>
  <c r="J116" i="3"/>
  <c r="Q116" i="3" s="1"/>
  <c r="J117" i="3"/>
  <c r="Q117" i="3" s="1"/>
  <c r="J118" i="3"/>
  <c r="Q118" i="3" s="1"/>
  <c r="J119" i="3"/>
  <c r="Q119" i="3" s="1"/>
  <c r="J120" i="3"/>
  <c r="Q120" i="3" s="1"/>
  <c r="J121" i="3"/>
  <c r="Q121" i="3" s="1"/>
  <c r="J122" i="3"/>
  <c r="Q122" i="3" s="1"/>
  <c r="J123" i="3"/>
  <c r="Q123" i="3" s="1"/>
  <c r="J124" i="3"/>
  <c r="Q124" i="3" s="1"/>
  <c r="J125" i="3"/>
  <c r="Q125" i="3" s="1"/>
  <c r="J126" i="3"/>
  <c r="Q126" i="3" s="1"/>
  <c r="J127" i="3"/>
  <c r="Q127" i="3" s="1"/>
  <c r="J128" i="3"/>
  <c r="Q128" i="3" s="1"/>
  <c r="J129" i="3"/>
  <c r="Q129" i="3" s="1"/>
  <c r="J130" i="3"/>
  <c r="Q130" i="3" s="1"/>
  <c r="J131" i="3"/>
  <c r="Q131" i="3" s="1"/>
  <c r="J132" i="3"/>
  <c r="Q132" i="3" s="1"/>
  <c r="J133" i="3"/>
  <c r="Q133" i="3" s="1"/>
  <c r="J134" i="3"/>
  <c r="Q134" i="3" s="1"/>
  <c r="J135" i="3"/>
  <c r="Q135" i="3" s="1"/>
  <c r="J136" i="3"/>
  <c r="Q136" i="3" s="1"/>
  <c r="J137" i="3"/>
  <c r="Q137" i="3" s="1"/>
  <c r="J138" i="3"/>
  <c r="Q138" i="3" s="1"/>
  <c r="J139" i="3"/>
  <c r="Q139" i="3" s="1"/>
  <c r="J140" i="3"/>
  <c r="Q140" i="3" s="1"/>
  <c r="J141" i="3"/>
  <c r="Q141" i="3" s="1"/>
  <c r="J142" i="3"/>
  <c r="Q142" i="3" s="1"/>
  <c r="J143" i="3"/>
  <c r="Q143" i="3" s="1"/>
  <c r="J144" i="3"/>
  <c r="Q144" i="3" s="1"/>
  <c r="J145" i="3"/>
  <c r="Q145" i="3" s="1"/>
  <c r="J146" i="3"/>
  <c r="Q146" i="3" s="1"/>
  <c r="J147" i="3"/>
  <c r="Q147" i="3" s="1"/>
  <c r="J148" i="3"/>
  <c r="Q148" i="3" s="1"/>
  <c r="J149" i="3"/>
  <c r="Q149" i="3" s="1"/>
  <c r="J150" i="3"/>
  <c r="Q150" i="3" s="1"/>
  <c r="J151" i="3"/>
  <c r="Q151" i="3" s="1"/>
  <c r="J152" i="3"/>
  <c r="Q152" i="3" s="1"/>
  <c r="J153" i="3"/>
  <c r="Q153" i="3" s="1"/>
  <c r="J154" i="3"/>
  <c r="Q154" i="3" s="1"/>
  <c r="J155" i="3"/>
  <c r="Q155" i="3" s="1"/>
  <c r="J156" i="3"/>
  <c r="Q156" i="3" s="1"/>
  <c r="J157" i="3"/>
  <c r="Q157" i="3" s="1"/>
  <c r="J158" i="3"/>
  <c r="Q158" i="3" s="1"/>
  <c r="J159" i="3"/>
  <c r="Q159" i="3" s="1"/>
  <c r="J160" i="3"/>
  <c r="Q160" i="3" s="1"/>
  <c r="J161" i="3"/>
  <c r="Q161" i="3" s="1"/>
  <c r="J162" i="3"/>
  <c r="Q162" i="3" s="1"/>
  <c r="J163" i="3"/>
  <c r="Q163" i="3" s="1"/>
  <c r="J164" i="3"/>
  <c r="Q164" i="3" s="1"/>
  <c r="J165" i="3"/>
  <c r="Q165" i="3" s="1"/>
  <c r="J166" i="3"/>
  <c r="Q166" i="3" s="1"/>
  <c r="J167" i="3"/>
  <c r="Q167" i="3" s="1"/>
  <c r="J168" i="3"/>
  <c r="Q168" i="3" s="1"/>
  <c r="J169" i="3"/>
  <c r="Q169" i="3" s="1"/>
  <c r="J170" i="3"/>
  <c r="Q170" i="3" s="1"/>
  <c r="J171" i="3"/>
  <c r="Q171" i="3" s="1"/>
  <c r="J172" i="3"/>
  <c r="Q172" i="3" s="1"/>
  <c r="J173" i="3"/>
  <c r="Q173" i="3" s="1"/>
  <c r="J174" i="3"/>
  <c r="Q174" i="3" s="1"/>
  <c r="J175" i="3"/>
  <c r="Q175" i="3" s="1"/>
  <c r="J176" i="3"/>
  <c r="Q176" i="3" s="1"/>
  <c r="J177" i="3"/>
  <c r="Q177" i="3" s="1"/>
  <c r="J178" i="3"/>
  <c r="Q178" i="3" s="1"/>
  <c r="J179" i="3"/>
  <c r="Q179" i="3" s="1"/>
  <c r="J180" i="3"/>
  <c r="Q180" i="3" s="1"/>
  <c r="J181" i="3"/>
  <c r="Q181" i="3" s="1"/>
  <c r="J182" i="3"/>
  <c r="Q182" i="3" s="1"/>
  <c r="J183" i="3"/>
  <c r="J184" i="3"/>
  <c r="Q184" i="3" s="1"/>
  <c r="J185" i="3"/>
  <c r="Q185" i="3" s="1"/>
  <c r="J186" i="3"/>
  <c r="Q186" i="3" s="1"/>
  <c r="J187" i="3"/>
  <c r="Q187" i="3" s="1"/>
  <c r="J188" i="3"/>
  <c r="Q188" i="3" s="1"/>
  <c r="J189" i="3"/>
  <c r="Q189" i="3" s="1"/>
  <c r="J190" i="3"/>
  <c r="Q190" i="3" s="1"/>
  <c r="J191" i="3"/>
  <c r="Q191" i="3" s="1"/>
  <c r="J192" i="3"/>
  <c r="Q192" i="3" s="1"/>
  <c r="J193" i="3"/>
  <c r="Q193" i="3" s="1"/>
  <c r="J194" i="3"/>
  <c r="Q194" i="3" s="1"/>
  <c r="J195" i="3"/>
  <c r="Q195" i="3" s="1"/>
  <c r="J196" i="3"/>
  <c r="Q196" i="3" s="1"/>
  <c r="J197" i="3"/>
  <c r="Q197" i="3" s="1"/>
  <c r="J198" i="3"/>
  <c r="Q198" i="3" s="1"/>
  <c r="J199" i="3"/>
  <c r="Q199" i="3" s="1"/>
  <c r="J200" i="3"/>
  <c r="Q200" i="3" s="1"/>
  <c r="J201" i="3"/>
  <c r="Q201" i="3" s="1"/>
  <c r="J202" i="3"/>
  <c r="Q202" i="3" s="1"/>
  <c r="J203" i="3"/>
  <c r="Q203" i="3" s="1"/>
  <c r="J204" i="3"/>
  <c r="Q204" i="3" s="1"/>
  <c r="J205" i="3"/>
  <c r="Q205" i="3" s="1"/>
  <c r="J206" i="3"/>
  <c r="Q206" i="3" s="1"/>
  <c r="J207" i="3"/>
  <c r="Q207" i="3" s="1"/>
  <c r="J208" i="3"/>
  <c r="Q208" i="3" s="1"/>
  <c r="J209" i="3"/>
  <c r="Q209" i="3" s="1"/>
  <c r="J210" i="3"/>
  <c r="Q210" i="3" s="1"/>
  <c r="J211" i="3"/>
  <c r="Q211" i="3" s="1"/>
  <c r="J212" i="3"/>
  <c r="Q212" i="3" s="1"/>
  <c r="J213" i="3"/>
  <c r="Q213" i="3" s="1"/>
  <c r="J214" i="3"/>
  <c r="Q214" i="3" s="1"/>
  <c r="J215" i="3"/>
  <c r="Q215" i="3" s="1"/>
  <c r="J216" i="3"/>
  <c r="Q216" i="3" s="1"/>
  <c r="J217" i="3"/>
  <c r="Q217" i="3" s="1"/>
  <c r="J218" i="3"/>
  <c r="Q218" i="3" s="1"/>
  <c r="J219" i="3"/>
  <c r="Q219" i="3" s="1"/>
  <c r="J220" i="3"/>
  <c r="Q220" i="3" s="1"/>
  <c r="J221" i="3"/>
  <c r="Q221" i="3" s="1"/>
  <c r="J222" i="3"/>
  <c r="Q222" i="3" s="1"/>
  <c r="J223" i="3"/>
  <c r="Q223" i="3" s="1"/>
  <c r="J224" i="3"/>
  <c r="Q224" i="3" s="1"/>
  <c r="J225" i="3"/>
  <c r="Q225" i="3" s="1"/>
  <c r="J226" i="3"/>
  <c r="Q226" i="3" s="1"/>
  <c r="J227" i="3"/>
  <c r="Q227" i="3" s="1"/>
  <c r="J228" i="3"/>
  <c r="Q228" i="3" s="1"/>
  <c r="J229" i="3"/>
  <c r="Q229" i="3" s="1"/>
  <c r="J230" i="3"/>
  <c r="Q230" i="3" s="1"/>
  <c r="J231" i="3"/>
  <c r="Q231" i="3" s="1"/>
  <c r="J232" i="3"/>
  <c r="Q232" i="3" s="1"/>
  <c r="J233" i="3"/>
  <c r="Q233" i="3" s="1"/>
  <c r="J234" i="3"/>
  <c r="Q234" i="3" s="1"/>
  <c r="J235" i="3"/>
  <c r="Q235" i="3" s="1"/>
  <c r="J236" i="3"/>
  <c r="Q236" i="3" s="1"/>
  <c r="J237" i="3"/>
  <c r="Q237" i="3" s="1"/>
  <c r="J238" i="3"/>
  <c r="J239" i="3"/>
  <c r="Q239" i="3" s="1"/>
  <c r="J240" i="3"/>
  <c r="Q240" i="3" s="1"/>
  <c r="J241" i="3"/>
  <c r="Q241" i="3" s="1"/>
  <c r="J242" i="3"/>
  <c r="Q242" i="3" s="1"/>
  <c r="J243" i="3"/>
  <c r="Q243" i="3" s="1"/>
  <c r="J244" i="3"/>
  <c r="Q244" i="3" s="1"/>
  <c r="J245" i="3"/>
  <c r="Q245" i="3" s="1"/>
  <c r="J246" i="3"/>
  <c r="Q246" i="3" s="1"/>
  <c r="J247" i="3"/>
  <c r="Q247" i="3" s="1"/>
  <c r="J248" i="3"/>
  <c r="Q248" i="3" s="1"/>
  <c r="J249" i="3"/>
  <c r="Q249" i="3" s="1"/>
  <c r="J250" i="3"/>
  <c r="Q250" i="3" s="1"/>
  <c r="J251" i="3"/>
  <c r="Q251" i="3" s="1"/>
  <c r="J252" i="3"/>
  <c r="Q252" i="3" s="1"/>
  <c r="J253" i="3"/>
  <c r="Q253" i="3" s="1"/>
  <c r="J254" i="3"/>
  <c r="Q254" i="3" s="1"/>
  <c r="J255" i="3"/>
  <c r="Q255" i="3" s="1"/>
  <c r="J256" i="3"/>
  <c r="Q256" i="3" s="1"/>
  <c r="J257" i="3"/>
  <c r="Q257" i="3" s="1"/>
  <c r="J258" i="3"/>
  <c r="Q258" i="3" s="1"/>
  <c r="J259" i="3"/>
  <c r="Q259" i="3" s="1"/>
  <c r="J260" i="3"/>
  <c r="Q260" i="3" s="1"/>
  <c r="J261" i="3"/>
  <c r="Q261" i="3" s="1"/>
  <c r="J262" i="3"/>
  <c r="Q262" i="3" s="1"/>
  <c r="J263" i="3"/>
  <c r="Q263" i="3" s="1"/>
  <c r="J264" i="3"/>
  <c r="Q264" i="3" s="1"/>
  <c r="J265" i="3"/>
  <c r="Q265" i="3" s="1"/>
  <c r="J266" i="3"/>
  <c r="Q266" i="3" s="1"/>
  <c r="J267" i="3"/>
  <c r="Q267" i="3" s="1"/>
  <c r="J268" i="3"/>
  <c r="Q268" i="3" s="1"/>
  <c r="J269" i="3"/>
  <c r="Q269" i="3" s="1"/>
  <c r="J270" i="3"/>
  <c r="Q270" i="3" s="1"/>
  <c r="J271" i="3"/>
  <c r="Q271" i="3" s="1"/>
  <c r="J272" i="3"/>
  <c r="Q272" i="3" s="1"/>
  <c r="J273" i="3"/>
  <c r="Q273" i="3" s="1"/>
  <c r="J274" i="3"/>
  <c r="Q274" i="3" s="1"/>
  <c r="J275" i="3"/>
  <c r="Q275" i="3" s="1"/>
  <c r="J276" i="3"/>
  <c r="Q276" i="3" s="1"/>
  <c r="J277" i="3"/>
  <c r="Q277" i="3" s="1"/>
  <c r="J278" i="3"/>
  <c r="Q278" i="3" s="1"/>
  <c r="J279" i="3"/>
  <c r="Q279" i="3" s="1"/>
  <c r="J280" i="3"/>
  <c r="Q280" i="3" s="1"/>
  <c r="J281" i="3"/>
  <c r="Q281" i="3" s="1"/>
  <c r="J282" i="3"/>
  <c r="Q282" i="3" s="1"/>
  <c r="J283" i="3"/>
  <c r="Q283" i="3" s="1"/>
  <c r="J284" i="3"/>
  <c r="Q284" i="3" s="1"/>
  <c r="J285" i="3"/>
  <c r="Q285" i="3" s="1"/>
  <c r="J286" i="3"/>
  <c r="Q286" i="3" s="1"/>
  <c r="J287" i="3"/>
  <c r="Q287" i="3" s="1"/>
  <c r="J288" i="3"/>
  <c r="Q288" i="3" s="1"/>
  <c r="J289" i="3"/>
  <c r="Q289" i="3" s="1"/>
  <c r="J290" i="3"/>
  <c r="Q290" i="3" s="1"/>
  <c r="J291" i="3"/>
  <c r="Q291" i="3" s="1"/>
  <c r="J292" i="3"/>
  <c r="Q292" i="3" s="1"/>
  <c r="J293" i="3"/>
  <c r="Q293" i="3" s="1"/>
  <c r="J294" i="3"/>
  <c r="Q294" i="3" s="1"/>
  <c r="J295" i="3"/>
  <c r="Q295" i="3" s="1"/>
  <c r="J296" i="3"/>
  <c r="Q296" i="3" s="1"/>
  <c r="J297" i="3"/>
  <c r="Q297" i="3" s="1"/>
  <c r="J298" i="3"/>
  <c r="Q298" i="3" s="1"/>
  <c r="J299" i="3"/>
  <c r="Q299" i="3" s="1"/>
  <c r="J300" i="3"/>
  <c r="Q300" i="3" s="1"/>
  <c r="J301" i="3"/>
  <c r="Q301" i="3" s="1"/>
  <c r="J302" i="3"/>
  <c r="Q302" i="3" s="1"/>
  <c r="J303" i="3"/>
  <c r="Q303" i="3" s="1"/>
  <c r="J304" i="3"/>
  <c r="Q304" i="3" s="1"/>
  <c r="J305" i="3"/>
  <c r="Q305" i="3" s="1"/>
  <c r="J306" i="3"/>
  <c r="Q306" i="3" s="1"/>
  <c r="J307" i="3"/>
  <c r="Q307" i="3" s="1"/>
  <c r="J308" i="3"/>
  <c r="Q308" i="3" s="1"/>
  <c r="J309" i="3"/>
  <c r="Q309" i="3" s="1"/>
  <c r="J310" i="3"/>
  <c r="Q310" i="3" s="1"/>
  <c r="J311" i="3"/>
  <c r="Q311" i="3" s="1"/>
  <c r="J312" i="3"/>
  <c r="Q312" i="3" s="1"/>
  <c r="J313" i="3"/>
  <c r="Q313" i="3" s="1"/>
  <c r="J314" i="3"/>
  <c r="Q314" i="3" s="1"/>
  <c r="J315" i="3"/>
  <c r="Q315" i="3" s="1"/>
  <c r="J316" i="3"/>
  <c r="Q316" i="3" s="1"/>
  <c r="J317" i="3"/>
  <c r="Q317" i="3" s="1"/>
  <c r="J318" i="3"/>
  <c r="Q318" i="3" s="1"/>
  <c r="J319" i="3"/>
  <c r="Q319" i="3" s="1"/>
  <c r="J320" i="3"/>
  <c r="Q320" i="3" s="1"/>
  <c r="J321" i="3"/>
  <c r="Q321" i="3" s="1"/>
  <c r="J322" i="3"/>
  <c r="Q322" i="3" s="1"/>
  <c r="J323" i="3"/>
  <c r="Q323" i="3" s="1"/>
  <c r="J324" i="3"/>
  <c r="Q324" i="3" s="1"/>
  <c r="J325" i="3"/>
  <c r="Q325" i="3" s="1"/>
  <c r="J326" i="3"/>
  <c r="Q326" i="3" s="1"/>
  <c r="J327" i="3"/>
  <c r="Q327" i="3" s="1"/>
  <c r="J328" i="3"/>
  <c r="Q328" i="3" s="1"/>
  <c r="J329" i="3"/>
  <c r="Q329" i="3" s="1"/>
  <c r="J330" i="3"/>
  <c r="Q330" i="3" s="1"/>
  <c r="J331" i="3"/>
  <c r="Q331" i="3" s="1"/>
  <c r="J332" i="3"/>
  <c r="Q332" i="3" s="1"/>
  <c r="J333" i="3"/>
  <c r="Q333" i="3" s="1"/>
  <c r="J334" i="3"/>
  <c r="Q334" i="3" s="1"/>
  <c r="J335" i="3"/>
  <c r="Q335" i="3" s="1"/>
  <c r="J336" i="3"/>
  <c r="Q336" i="3" s="1"/>
  <c r="J337" i="3"/>
  <c r="Q337" i="3" s="1"/>
  <c r="J338" i="3"/>
  <c r="Q338" i="3" s="1"/>
  <c r="J339" i="3"/>
  <c r="Q339" i="3" s="1"/>
  <c r="J340" i="3"/>
  <c r="Q340" i="3" s="1"/>
  <c r="J341" i="3"/>
  <c r="Q341" i="3" s="1"/>
  <c r="J342" i="3"/>
  <c r="Q342" i="3" s="1"/>
  <c r="J343" i="3"/>
  <c r="Q343" i="3" s="1"/>
  <c r="J344" i="3"/>
  <c r="Q344" i="3" s="1"/>
  <c r="J345" i="3"/>
  <c r="Q345" i="3" s="1"/>
  <c r="J346" i="3"/>
  <c r="Q346" i="3" s="1"/>
  <c r="J347" i="3"/>
  <c r="Q347" i="3" s="1"/>
  <c r="J348" i="3"/>
  <c r="Q348" i="3" s="1"/>
  <c r="J349" i="3"/>
  <c r="Q349" i="3" s="1"/>
  <c r="J350" i="3"/>
  <c r="Q350" i="3" s="1"/>
  <c r="J351" i="3"/>
  <c r="Q351" i="3" s="1"/>
  <c r="J352" i="3"/>
  <c r="Q352" i="3" s="1"/>
  <c r="J353" i="3"/>
  <c r="Q353" i="3" s="1"/>
  <c r="J354" i="3"/>
  <c r="Q354" i="3" s="1"/>
  <c r="J355" i="3"/>
  <c r="Q355" i="3" s="1"/>
  <c r="J356" i="3"/>
  <c r="Q356" i="3" s="1"/>
  <c r="J357" i="3"/>
  <c r="Q357" i="3" s="1"/>
  <c r="J358" i="3"/>
  <c r="Q358" i="3" s="1"/>
  <c r="J359" i="3"/>
  <c r="Q359" i="3" s="1"/>
  <c r="J360" i="3"/>
  <c r="Q360" i="3" s="1"/>
  <c r="J361" i="3"/>
  <c r="Q361" i="3" s="1"/>
  <c r="J362" i="3"/>
  <c r="Q362" i="3" s="1"/>
  <c r="J363" i="3"/>
  <c r="Q363" i="3" s="1"/>
  <c r="J364" i="3"/>
  <c r="Q364" i="3" s="1"/>
  <c r="J365" i="3"/>
  <c r="Q365" i="3" s="1"/>
  <c r="J366" i="3"/>
  <c r="Q366" i="3" s="1"/>
  <c r="J367" i="3"/>
  <c r="Q367" i="3" s="1"/>
  <c r="J368" i="3"/>
  <c r="Q368" i="3" s="1"/>
  <c r="J369" i="3"/>
  <c r="Q369" i="3" s="1"/>
  <c r="J370" i="3"/>
  <c r="Q370" i="3" s="1"/>
  <c r="J371" i="3"/>
  <c r="Q371" i="3" s="1"/>
  <c r="J372" i="3"/>
  <c r="Q372" i="3" s="1"/>
  <c r="J373" i="3"/>
  <c r="Q373" i="3" s="1"/>
  <c r="J374" i="3"/>
  <c r="Q374" i="3" s="1"/>
  <c r="J375" i="3"/>
  <c r="Q375" i="3" s="1"/>
  <c r="J376" i="3"/>
  <c r="Q376" i="3" s="1"/>
  <c r="J377" i="3"/>
  <c r="Q377" i="3" s="1"/>
  <c r="J378" i="3"/>
  <c r="Q378" i="3" s="1"/>
  <c r="J379" i="3"/>
  <c r="Q379" i="3" s="1"/>
  <c r="J380" i="3"/>
  <c r="Q380" i="3" s="1"/>
  <c r="J381" i="3"/>
  <c r="Q381" i="3" s="1"/>
  <c r="J382" i="3"/>
  <c r="Q382" i="3" s="1"/>
  <c r="J383" i="3"/>
  <c r="Q383" i="3" s="1"/>
  <c r="J384" i="3"/>
  <c r="Q384" i="3" s="1"/>
  <c r="J385" i="3"/>
  <c r="Q385" i="3" s="1"/>
  <c r="J386" i="3"/>
  <c r="Q386" i="3" s="1"/>
  <c r="J387" i="3"/>
  <c r="Q387" i="3" s="1"/>
  <c r="J388" i="3"/>
  <c r="Q388" i="3" s="1"/>
  <c r="J389" i="3"/>
  <c r="Q389" i="3" s="1"/>
  <c r="J390" i="3"/>
  <c r="Q390" i="3" s="1"/>
  <c r="J391" i="3"/>
  <c r="Q391" i="3" s="1"/>
  <c r="J392" i="3"/>
  <c r="Q392" i="3" s="1"/>
  <c r="J393" i="3"/>
  <c r="Q393" i="3" s="1"/>
  <c r="J394" i="3"/>
  <c r="Q394" i="3" s="1"/>
  <c r="J395" i="3"/>
  <c r="Q395" i="3" s="1"/>
  <c r="J396" i="3"/>
  <c r="Q396" i="3" s="1"/>
  <c r="J397" i="3"/>
  <c r="Q397" i="3" s="1"/>
  <c r="J398" i="3"/>
  <c r="Q398" i="3" s="1"/>
  <c r="J399" i="3"/>
  <c r="Q399" i="3" s="1"/>
  <c r="J400" i="3"/>
  <c r="Q400" i="3" s="1"/>
  <c r="J401" i="3"/>
  <c r="Q401" i="3" s="1"/>
  <c r="J402" i="3"/>
  <c r="Q402" i="3" s="1"/>
  <c r="J403" i="3"/>
  <c r="Q403" i="3" s="1"/>
  <c r="J404" i="3"/>
  <c r="Q404" i="3" s="1"/>
  <c r="J405" i="3"/>
  <c r="Q405" i="3" s="1"/>
  <c r="J406" i="3"/>
  <c r="Q406" i="3" s="1"/>
  <c r="J407" i="3"/>
  <c r="Q407" i="3" s="1"/>
  <c r="J408" i="3"/>
  <c r="Q408" i="3" s="1"/>
  <c r="J409" i="3"/>
  <c r="Q409" i="3" s="1"/>
  <c r="J410" i="3"/>
  <c r="Q410" i="3" s="1"/>
  <c r="J411" i="3"/>
  <c r="Q411" i="3" s="1"/>
  <c r="J412" i="3"/>
  <c r="Q412" i="3" s="1"/>
  <c r="J413" i="3"/>
  <c r="Q413" i="3" s="1"/>
  <c r="J414" i="3"/>
  <c r="Q414" i="3" s="1"/>
  <c r="J415" i="3"/>
  <c r="Q415" i="3" s="1"/>
  <c r="J416" i="3"/>
  <c r="Q416" i="3" s="1"/>
  <c r="J417" i="3"/>
  <c r="Q417" i="3" s="1"/>
  <c r="J418" i="3"/>
  <c r="Q418" i="3" s="1"/>
  <c r="J419" i="3"/>
  <c r="Q419" i="3" s="1"/>
  <c r="J420" i="3"/>
  <c r="Q420" i="3" s="1"/>
  <c r="J421" i="3"/>
  <c r="Q421" i="3" s="1"/>
  <c r="J422" i="3"/>
  <c r="Q422" i="3" s="1"/>
  <c r="J423" i="3"/>
  <c r="Q423" i="3" s="1"/>
  <c r="J424" i="3"/>
  <c r="Q424" i="3" s="1"/>
  <c r="J425" i="3"/>
  <c r="Q425" i="3" s="1"/>
  <c r="J426" i="3"/>
  <c r="Q426" i="3" s="1"/>
  <c r="J427" i="3"/>
  <c r="Q427" i="3" s="1"/>
  <c r="J428" i="3"/>
  <c r="Q428" i="3" s="1"/>
  <c r="J429" i="3"/>
  <c r="Q429" i="3" s="1"/>
  <c r="J430" i="3"/>
  <c r="Q430" i="3" s="1"/>
  <c r="J431" i="3"/>
  <c r="Q431" i="3" s="1"/>
  <c r="J432" i="3"/>
  <c r="Q432" i="3" s="1"/>
  <c r="J433" i="3"/>
  <c r="Q433" i="3" s="1"/>
  <c r="J434" i="3"/>
  <c r="Q434" i="3" s="1"/>
  <c r="J435" i="3"/>
  <c r="Q435" i="3" s="1"/>
  <c r="J436" i="3"/>
  <c r="Q436" i="3" s="1"/>
  <c r="J437" i="3"/>
  <c r="Q437" i="3" s="1"/>
  <c r="J438" i="3"/>
  <c r="Q438" i="3" s="1"/>
  <c r="J439" i="3"/>
  <c r="Q439" i="3" s="1"/>
  <c r="J440" i="3"/>
  <c r="Q440" i="3" s="1"/>
  <c r="J441" i="3"/>
  <c r="Q441" i="3" s="1"/>
  <c r="J442" i="3"/>
  <c r="Q442" i="3" s="1"/>
  <c r="J443" i="3"/>
  <c r="Q443" i="3" s="1"/>
  <c r="J444" i="3"/>
  <c r="Q444" i="3" s="1"/>
  <c r="J445" i="3"/>
  <c r="Q445" i="3" s="1"/>
  <c r="J446" i="3"/>
  <c r="Q446" i="3" s="1"/>
  <c r="J447" i="3"/>
  <c r="Q447" i="3" s="1"/>
  <c r="J448" i="3"/>
  <c r="Q448" i="3" s="1"/>
  <c r="J449" i="3"/>
  <c r="Q449" i="3" s="1"/>
  <c r="J450" i="3"/>
  <c r="Q450" i="3" s="1"/>
  <c r="J451" i="3"/>
  <c r="Q451" i="3" s="1"/>
  <c r="J452" i="3"/>
  <c r="Q452" i="3" s="1"/>
  <c r="J453" i="3"/>
  <c r="Q453" i="3" s="1"/>
  <c r="J454" i="3"/>
  <c r="Q454" i="3" s="1"/>
  <c r="J455" i="3"/>
  <c r="Q455" i="3" s="1"/>
  <c r="J456" i="3"/>
  <c r="Q456" i="3" s="1"/>
  <c r="J457" i="3"/>
  <c r="Q457" i="3" s="1"/>
  <c r="J458" i="3"/>
  <c r="Q458" i="3" s="1"/>
  <c r="J459" i="3"/>
  <c r="Q459" i="3" s="1"/>
  <c r="J460" i="3"/>
  <c r="Q460" i="3" s="1"/>
  <c r="J461" i="3"/>
  <c r="Q461" i="3" s="1"/>
  <c r="J462" i="3"/>
  <c r="Q462" i="3" s="1"/>
  <c r="J463" i="3"/>
  <c r="Q463" i="3" s="1"/>
  <c r="J464" i="3"/>
  <c r="Q464" i="3" s="1"/>
  <c r="J465" i="3"/>
  <c r="Q465" i="3" s="1"/>
  <c r="J466" i="3"/>
  <c r="Q466" i="3" s="1"/>
  <c r="J467" i="3"/>
  <c r="Q467" i="3" s="1"/>
  <c r="J468" i="3"/>
  <c r="Q468" i="3" s="1"/>
  <c r="J469" i="3"/>
  <c r="Q469" i="3" s="1"/>
  <c r="J470" i="3"/>
  <c r="Q470" i="3" s="1"/>
  <c r="J471" i="3"/>
  <c r="Q471" i="3" s="1"/>
  <c r="J472" i="3"/>
  <c r="Q472" i="3" s="1"/>
  <c r="J473" i="3"/>
  <c r="Q473" i="3" s="1"/>
  <c r="J474" i="3"/>
  <c r="Q474" i="3" s="1"/>
  <c r="J475" i="3"/>
  <c r="Q475" i="3" s="1"/>
  <c r="J476" i="3"/>
  <c r="Q476" i="3" s="1"/>
  <c r="J477" i="3"/>
  <c r="Q477" i="3" s="1"/>
  <c r="J478" i="3"/>
  <c r="Q478" i="3" s="1"/>
  <c r="J479" i="3"/>
  <c r="Q479" i="3" s="1"/>
  <c r="J480" i="3"/>
  <c r="Q480" i="3" s="1"/>
  <c r="J481" i="3"/>
  <c r="Q481" i="3" s="1"/>
  <c r="J482" i="3"/>
  <c r="Q482" i="3" s="1"/>
  <c r="J483" i="3"/>
  <c r="Q483" i="3" s="1"/>
  <c r="J484" i="3"/>
  <c r="Q484" i="3" s="1"/>
  <c r="J485" i="3"/>
  <c r="Q485" i="3" s="1"/>
  <c r="J486" i="3"/>
  <c r="Q486" i="3" s="1"/>
  <c r="J487" i="3"/>
  <c r="Q487" i="3" s="1"/>
  <c r="J488" i="3"/>
  <c r="Q488" i="3" s="1"/>
  <c r="J489" i="3"/>
  <c r="Q489" i="3" s="1"/>
  <c r="J490" i="3"/>
  <c r="Q490" i="3" s="1"/>
  <c r="J491" i="3"/>
  <c r="Q491" i="3" s="1"/>
  <c r="J492" i="3"/>
  <c r="Q492" i="3" s="1"/>
  <c r="J493" i="3"/>
  <c r="Q493" i="3" s="1"/>
  <c r="J494" i="3"/>
  <c r="Q494" i="3" s="1"/>
  <c r="J495" i="3"/>
  <c r="Q495" i="3" s="1"/>
  <c r="J496" i="3"/>
  <c r="Q496" i="3" s="1"/>
  <c r="J497" i="3"/>
  <c r="Q497" i="3" s="1"/>
  <c r="J498" i="3"/>
  <c r="Q498" i="3" s="1"/>
  <c r="J499" i="3"/>
  <c r="Q499" i="3" s="1"/>
  <c r="J500" i="3"/>
  <c r="Q500" i="3" s="1"/>
  <c r="J501" i="3"/>
  <c r="Q501" i="3" s="1"/>
  <c r="J2" i="3"/>
  <c r="Q2" i="3" s="1"/>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H2" i="3"/>
  <c r="M2" i="3" s="1"/>
  <c r="H3" i="3"/>
  <c r="M3" i="3" s="1"/>
  <c r="H4" i="3"/>
  <c r="M4" i="3" s="1"/>
  <c r="H5" i="3"/>
  <c r="M5" i="3" s="1"/>
  <c r="H6" i="3"/>
  <c r="M6" i="3" s="1"/>
  <c r="H7" i="3"/>
  <c r="M7" i="3" s="1"/>
  <c r="H8" i="3"/>
  <c r="M8" i="3" s="1"/>
  <c r="H9" i="3"/>
  <c r="M9" i="3" s="1"/>
  <c r="H10" i="3"/>
  <c r="M10" i="3" s="1"/>
  <c r="H11" i="3"/>
  <c r="M11" i="3" s="1"/>
  <c r="H12" i="3"/>
  <c r="M12" i="3" s="1"/>
  <c r="H13" i="3"/>
  <c r="M13" i="3" s="1"/>
  <c r="H14" i="3"/>
  <c r="M14" i="3" s="1"/>
  <c r="H15" i="3"/>
  <c r="M15" i="3" s="1"/>
  <c r="H16" i="3"/>
  <c r="M16" i="3" s="1"/>
  <c r="H17" i="3"/>
  <c r="M17" i="3" s="1"/>
  <c r="H18" i="3"/>
  <c r="M18" i="3" s="1"/>
  <c r="H19" i="3"/>
  <c r="M19" i="3" s="1"/>
  <c r="H20" i="3"/>
  <c r="M20" i="3" s="1"/>
  <c r="H21" i="3"/>
  <c r="M21" i="3" s="1"/>
  <c r="H22" i="3"/>
  <c r="M22" i="3" s="1"/>
  <c r="H23" i="3"/>
  <c r="M23" i="3" s="1"/>
  <c r="H24" i="3"/>
  <c r="M24" i="3" s="1"/>
  <c r="H25" i="3"/>
  <c r="M25" i="3" s="1"/>
  <c r="H26" i="3"/>
  <c r="M26" i="3" s="1"/>
  <c r="H27" i="3"/>
  <c r="M27" i="3" s="1"/>
  <c r="H28" i="3"/>
  <c r="M28" i="3" s="1"/>
  <c r="H29" i="3"/>
  <c r="M29" i="3" s="1"/>
  <c r="H30" i="3"/>
  <c r="M30" i="3" s="1"/>
  <c r="H31" i="3"/>
  <c r="M31" i="3" s="1"/>
  <c r="H32" i="3"/>
  <c r="M32" i="3" s="1"/>
  <c r="H33" i="3"/>
  <c r="M33" i="3" s="1"/>
  <c r="H34" i="3"/>
  <c r="M34" i="3" s="1"/>
  <c r="H35" i="3"/>
  <c r="M35" i="3" s="1"/>
  <c r="H36" i="3"/>
  <c r="M36" i="3" s="1"/>
  <c r="H37" i="3"/>
  <c r="M37" i="3" s="1"/>
  <c r="H38" i="3"/>
  <c r="M38" i="3" s="1"/>
  <c r="H39" i="3"/>
  <c r="M39" i="3" s="1"/>
  <c r="H40" i="3"/>
  <c r="M40" i="3" s="1"/>
  <c r="H41" i="3"/>
  <c r="M41" i="3" s="1"/>
  <c r="H42" i="3"/>
  <c r="M42" i="3" s="1"/>
  <c r="H43" i="3"/>
  <c r="M43" i="3" s="1"/>
  <c r="H44" i="3"/>
  <c r="M44" i="3" s="1"/>
  <c r="H45" i="3"/>
  <c r="M45" i="3" s="1"/>
  <c r="H46" i="3"/>
  <c r="M46" i="3" s="1"/>
  <c r="H47" i="3"/>
  <c r="H48" i="3"/>
  <c r="M48" i="3" s="1"/>
  <c r="H49" i="3"/>
  <c r="M49" i="3" s="1"/>
  <c r="H50" i="3"/>
  <c r="M50" i="3" s="1"/>
  <c r="H51" i="3"/>
  <c r="M51" i="3" s="1"/>
  <c r="H52" i="3"/>
  <c r="M52" i="3" s="1"/>
  <c r="H53" i="3"/>
  <c r="M53" i="3" s="1"/>
  <c r="H54" i="3"/>
  <c r="M54" i="3" s="1"/>
  <c r="H55" i="3"/>
  <c r="M55" i="3" s="1"/>
  <c r="H56" i="3"/>
  <c r="M56" i="3" s="1"/>
  <c r="H57" i="3"/>
  <c r="M57" i="3" s="1"/>
  <c r="H58" i="3"/>
  <c r="M58" i="3" s="1"/>
  <c r="H59" i="3"/>
  <c r="M59" i="3" s="1"/>
  <c r="H60" i="3"/>
  <c r="M60" i="3" s="1"/>
  <c r="H61" i="3"/>
  <c r="M61" i="3" s="1"/>
  <c r="H62" i="3"/>
  <c r="M62" i="3" s="1"/>
  <c r="H63" i="3"/>
  <c r="M63" i="3" s="1"/>
  <c r="H64" i="3"/>
  <c r="M64" i="3" s="1"/>
  <c r="H65" i="3"/>
  <c r="M65" i="3" s="1"/>
  <c r="H66" i="3"/>
  <c r="M66" i="3" s="1"/>
  <c r="H67" i="3"/>
  <c r="M67" i="3" s="1"/>
  <c r="H68" i="3"/>
  <c r="M68" i="3" s="1"/>
  <c r="H69" i="3"/>
  <c r="M69" i="3" s="1"/>
  <c r="H70" i="3"/>
  <c r="M70" i="3" s="1"/>
  <c r="H71" i="3"/>
  <c r="M71" i="3" s="1"/>
  <c r="H72" i="3"/>
  <c r="M72" i="3" s="1"/>
  <c r="H73" i="3"/>
  <c r="M73" i="3" s="1"/>
  <c r="H74" i="3"/>
  <c r="M74" i="3" s="1"/>
  <c r="H75" i="3"/>
  <c r="M75" i="3" s="1"/>
  <c r="H76" i="3"/>
  <c r="M76" i="3" s="1"/>
  <c r="H77" i="3"/>
  <c r="M77" i="3" s="1"/>
  <c r="H78" i="3"/>
  <c r="M78" i="3" s="1"/>
  <c r="H79" i="3"/>
  <c r="M79" i="3" s="1"/>
  <c r="H80" i="3"/>
  <c r="M80" i="3" s="1"/>
  <c r="H81" i="3"/>
  <c r="M81" i="3" s="1"/>
  <c r="H82" i="3"/>
  <c r="M82" i="3" s="1"/>
  <c r="H83" i="3"/>
  <c r="M83" i="3" s="1"/>
  <c r="H84" i="3"/>
  <c r="M84" i="3" s="1"/>
  <c r="H85" i="3"/>
  <c r="M85" i="3" s="1"/>
  <c r="H86" i="3"/>
  <c r="M86" i="3" s="1"/>
  <c r="H87" i="3"/>
  <c r="M87" i="3" s="1"/>
  <c r="H88" i="3"/>
  <c r="M88" i="3" s="1"/>
  <c r="H89" i="3"/>
  <c r="M89" i="3" s="1"/>
  <c r="H90" i="3"/>
  <c r="M90" i="3" s="1"/>
  <c r="H91" i="3"/>
  <c r="M91" i="3" s="1"/>
  <c r="H92" i="3"/>
  <c r="M92" i="3" s="1"/>
  <c r="H93" i="3"/>
  <c r="M93" i="3" s="1"/>
  <c r="H94" i="3"/>
  <c r="M94" i="3" s="1"/>
  <c r="H95" i="3"/>
  <c r="M95" i="3" s="1"/>
  <c r="H96" i="3"/>
  <c r="M96" i="3" s="1"/>
  <c r="H97" i="3"/>
  <c r="M97" i="3" s="1"/>
  <c r="H98" i="3"/>
  <c r="M98" i="3" s="1"/>
  <c r="H99" i="3"/>
  <c r="M99" i="3" s="1"/>
  <c r="H100" i="3"/>
  <c r="M100" i="3" s="1"/>
  <c r="H101" i="3"/>
  <c r="M101" i="3" s="1"/>
  <c r="H102" i="3"/>
  <c r="H103" i="3"/>
  <c r="M103" i="3" s="1"/>
  <c r="H104" i="3"/>
  <c r="M104" i="3" s="1"/>
  <c r="H105" i="3"/>
  <c r="M105" i="3" s="1"/>
  <c r="H106" i="3"/>
  <c r="M106" i="3" s="1"/>
  <c r="H107" i="3"/>
  <c r="M107" i="3" s="1"/>
  <c r="H108" i="3"/>
  <c r="M108" i="3" s="1"/>
  <c r="H109" i="3"/>
  <c r="M109" i="3" s="1"/>
  <c r="H110" i="3"/>
  <c r="M110" i="3" s="1"/>
  <c r="H111" i="3"/>
  <c r="M111" i="3" s="1"/>
  <c r="H112" i="3"/>
  <c r="M112" i="3" s="1"/>
  <c r="H113" i="3"/>
  <c r="M113" i="3" s="1"/>
  <c r="H114" i="3"/>
  <c r="M114" i="3" s="1"/>
  <c r="H115" i="3"/>
  <c r="M115" i="3" s="1"/>
  <c r="H116" i="3"/>
  <c r="M116" i="3" s="1"/>
  <c r="H117" i="3"/>
  <c r="M117" i="3" s="1"/>
  <c r="H118" i="3"/>
  <c r="M118" i="3" s="1"/>
  <c r="H119" i="3"/>
  <c r="M119" i="3" s="1"/>
  <c r="H120" i="3"/>
  <c r="M120" i="3" s="1"/>
  <c r="H121" i="3"/>
  <c r="M121" i="3" s="1"/>
  <c r="H122" i="3"/>
  <c r="M122" i="3" s="1"/>
  <c r="H123" i="3"/>
  <c r="M123" i="3" s="1"/>
  <c r="H124" i="3"/>
  <c r="M124" i="3" s="1"/>
  <c r="H125" i="3"/>
  <c r="M125" i="3" s="1"/>
  <c r="H126" i="3"/>
  <c r="M126" i="3" s="1"/>
  <c r="H127" i="3"/>
  <c r="M127" i="3" s="1"/>
  <c r="H128" i="3"/>
  <c r="M128" i="3" s="1"/>
  <c r="H129" i="3"/>
  <c r="M129" i="3" s="1"/>
  <c r="H130" i="3"/>
  <c r="M130" i="3" s="1"/>
  <c r="H131" i="3"/>
  <c r="M131" i="3" s="1"/>
  <c r="H132" i="3"/>
  <c r="M132" i="3" s="1"/>
  <c r="H133" i="3"/>
  <c r="M133" i="3" s="1"/>
  <c r="H134" i="3"/>
  <c r="M134" i="3" s="1"/>
  <c r="H135" i="3"/>
  <c r="M135" i="3" s="1"/>
  <c r="H136" i="3"/>
  <c r="M136" i="3" s="1"/>
  <c r="H137" i="3"/>
  <c r="M137" i="3" s="1"/>
  <c r="H138" i="3"/>
  <c r="M138" i="3" s="1"/>
  <c r="H139" i="3"/>
  <c r="M139" i="3" s="1"/>
  <c r="H140" i="3"/>
  <c r="M140" i="3" s="1"/>
  <c r="H141" i="3"/>
  <c r="M141" i="3" s="1"/>
  <c r="H142" i="3"/>
  <c r="M142" i="3" s="1"/>
  <c r="H143" i="3"/>
  <c r="M143" i="3" s="1"/>
  <c r="H144" i="3"/>
  <c r="M144" i="3" s="1"/>
  <c r="H145" i="3"/>
  <c r="M145" i="3" s="1"/>
  <c r="H146" i="3"/>
  <c r="M146" i="3" s="1"/>
  <c r="H147" i="3"/>
  <c r="M147" i="3" s="1"/>
  <c r="H148" i="3"/>
  <c r="M148" i="3" s="1"/>
  <c r="H149" i="3"/>
  <c r="M149" i="3" s="1"/>
  <c r="H150" i="3"/>
  <c r="M150" i="3" s="1"/>
  <c r="H151" i="3"/>
  <c r="M151" i="3" s="1"/>
  <c r="H152" i="3"/>
  <c r="M152" i="3" s="1"/>
  <c r="H153" i="3"/>
  <c r="M153" i="3" s="1"/>
  <c r="H154" i="3"/>
  <c r="M154" i="3" s="1"/>
  <c r="H155" i="3"/>
  <c r="M155" i="3" s="1"/>
  <c r="H156" i="3"/>
  <c r="H157" i="3"/>
  <c r="M157" i="3" s="1"/>
  <c r="H158" i="3"/>
  <c r="M158" i="3" s="1"/>
  <c r="H159" i="3"/>
  <c r="M159" i="3" s="1"/>
  <c r="H160" i="3"/>
  <c r="M160" i="3" s="1"/>
  <c r="H161" i="3"/>
  <c r="M161" i="3" s="1"/>
  <c r="H162" i="3"/>
  <c r="M162" i="3" s="1"/>
  <c r="H163" i="3"/>
  <c r="M163" i="3" s="1"/>
  <c r="H164" i="3"/>
  <c r="M164" i="3" s="1"/>
  <c r="H165" i="3"/>
  <c r="M165" i="3" s="1"/>
  <c r="H166" i="3"/>
  <c r="M166" i="3" s="1"/>
  <c r="H167" i="3"/>
  <c r="M167" i="3" s="1"/>
  <c r="H168" i="3"/>
  <c r="M168" i="3" s="1"/>
  <c r="H169" i="3"/>
  <c r="M169" i="3" s="1"/>
  <c r="H170" i="3"/>
  <c r="M170" i="3" s="1"/>
  <c r="H171" i="3"/>
  <c r="M171" i="3" s="1"/>
  <c r="H172" i="3"/>
  <c r="M172" i="3" s="1"/>
  <c r="H173" i="3"/>
  <c r="M173" i="3" s="1"/>
  <c r="H174" i="3"/>
  <c r="M174" i="3" s="1"/>
  <c r="H175" i="3"/>
  <c r="M175" i="3" s="1"/>
  <c r="H176" i="3"/>
  <c r="M176" i="3" s="1"/>
  <c r="H177" i="3"/>
  <c r="M177" i="3" s="1"/>
  <c r="H178" i="3"/>
  <c r="M178" i="3" s="1"/>
  <c r="H179" i="3"/>
  <c r="M179" i="3" s="1"/>
  <c r="H180" i="3"/>
  <c r="M180" i="3" s="1"/>
  <c r="H181" i="3"/>
  <c r="M181" i="3" s="1"/>
  <c r="H182" i="3"/>
  <c r="M182" i="3" s="1"/>
  <c r="H183" i="3"/>
  <c r="M183" i="3" s="1"/>
  <c r="H184" i="3"/>
  <c r="M184" i="3" s="1"/>
  <c r="H185" i="3"/>
  <c r="M185" i="3" s="1"/>
  <c r="H186" i="3"/>
  <c r="M186" i="3" s="1"/>
  <c r="H187" i="3"/>
  <c r="M187" i="3" s="1"/>
  <c r="H188" i="3"/>
  <c r="M188" i="3" s="1"/>
  <c r="H189" i="3"/>
  <c r="M189" i="3" s="1"/>
  <c r="H190" i="3"/>
  <c r="M190" i="3" s="1"/>
  <c r="H191" i="3"/>
  <c r="M191" i="3" s="1"/>
  <c r="H192" i="3"/>
  <c r="M192" i="3" s="1"/>
  <c r="H193" i="3"/>
  <c r="M193" i="3" s="1"/>
  <c r="H194" i="3"/>
  <c r="M194" i="3" s="1"/>
  <c r="H195" i="3"/>
  <c r="M195" i="3" s="1"/>
  <c r="H196" i="3"/>
  <c r="M196" i="3" s="1"/>
  <c r="H197" i="3"/>
  <c r="M197" i="3" s="1"/>
  <c r="H198" i="3"/>
  <c r="M198" i="3" s="1"/>
  <c r="H199" i="3"/>
  <c r="M199" i="3" s="1"/>
  <c r="H200" i="3"/>
  <c r="M200" i="3" s="1"/>
  <c r="H201" i="3"/>
  <c r="M201" i="3" s="1"/>
  <c r="H202" i="3"/>
  <c r="M202" i="3" s="1"/>
  <c r="H203" i="3"/>
  <c r="M203" i="3" s="1"/>
  <c r="H204" i="3"/>
  <c r="M204" i="3" s="1"/>
  <c r="H205" i="3"/>
  <c r="M205" i="3" s="1"/>
  <c r="H206" i="3"/>
  <c r="M206" i="3" s="1"/>
  <c r="H207" i="3"/>
  <c r="M207" i="3" s="1"/>
  <c r="H208" i="3"/>
  <c r="M208" i="3" s="1"/>
  <c r="H209" i="3"/>
  <c r="M209" i="3" s="1"/>
  <c r="H210" i="3"/>
  <c r="H211" i="3"/>
  <c r="M211" i="3" s="1"/>
  <c r="H212" i="3"/>
  <c r="M212" i="3" s="1"/>
  <c r="H213" i="3"/>
  <c r="M213" i="3" s="1"/>
  <c r="H214" i="3"/>
  <c r="M214" i="3" s="1"/>
  <c r="H215" i="3"/>
  <c r="M215" i="3" s="1"/>
  <c r="H216" i="3"/>
  <c r="M216" i="3" s="1"/>
  <c r="H217" i="3"/>
  <c r="M217" i="3" s="1"/>
  <c r="H218" i="3"/>
  <c r="M218" i="3" s="1"/>
  <c r="H219" i="3"/>
  <c r="M219" i="3" s="1"/>
  <c r="H220" i="3"/>
  <c r="M220" i="3" s="1"/>
  <c r="H221" i="3"/>
  <c r="M221" i="3" s="1"/>
  <c r="H222" i="3"/>
  <c r="M222" i="3" s="1"/>
  <c r="H223" i="3"/>
  <c r="M223" i="3" s="1"/>
  <c r="H224" i="3"/>
  <c r="M224" i="3" s="1"/>
  <c r="H225" i="3"/>
  <c r="M225" i="3" s="1"/>
  <c r="H226" i="3"/>
  <c r="M226" i="3" s="1"/>
  <c r="H227" i="3"/>
  <c r="M227" i="3" s="1"/>
  <c r="H228" i="3"/>
  <c r="M228" i="3" s="1"/>
  <c r="H229" i="3"/>
  <c r="M229" i="3" s="1"/>
  <c r="H230" i="3"/>
  <c r="M230" i="3" s="1"/>
  <c r="H231" i="3"/>
  <c r="M231" i="3" s="1"/>
  <c r="H232" i="3"/>
  <c r="M232" i="3" s="1"/>
  <c r="H233" i="3"/>
  <c r="M233" i="3" s="1"/>
  <c r="H234" i="3"/>
  <c r="M234" i="3" s="1"/>
  <c r="H235" i="3"/>
  <c r="M235" i="3" s="1"/>
  <c r="H236" i="3"/>
  <c r="M236" i="3" s="1"/>
  <c r="H237" i="3"/>
  <c r="M237" i="3" s="1"/>
  <c r="H238" i="3"/>
  <c r="M238" i="3" s="1"/>
  <c r="H239" i="3"/>
  <c r="M239" i="3" s="1"/>
  <c r="H240" i="3"/>
  <c r="M240" i="3" s="1"/>
  <c r="H241" i="3"/>
  <c r="M241" i="3" s="1"/>
  <c r="H242" i="3"/>
  <c r="M242" i="3" s="1"/>
  <c r="H243" i="3"/>
  <c r="M243" i="3" s="1"/>
  <c r="H244" i="3"/>
  <c r="M244" i="3" s="1"/>
  <c r="H245" i="3"/>
  <c r="M245" i="3" s="1"/>
  <c r="H246" i="3"/>
  <c r="M246" i="3" s="1"/>
  <c r="H247" i="3"/>
  <c r="M247" i="3" s="1"/>
  <c r="H248" i="3"/>
  <c r="M248" i="3" s="1"/>
  <c r="H249" i="3"/>
  <c r="M249" i="3" s="1"/>
  <c r="H250" i="3"/>
  <c r="M250" i="3" s="1"/>
  <c r="H251" i="3"/>
  <c r="M251" i="3" s="1"/>
  <c r="H252" i="3"/>
  <c r="M252" i="3" s="1"/>
  <c r="H253" i="3"/>
  <c r="M253" i="3" s="1"/>
  <c r="H254" i="3"/>
  <c r="M254" i="3" s="1"/>
  <c r="H255" i="3"/>
  <c r="M255" i="3" s="1"/>
  <c r="H256" i="3"/>
  <c r="M256" i="3" s="1"/>
  <c r="H257" i="3"/>
  <c r="M257" i="3" s="1"/>
  <c r="H258" i="3"/>
  <c r="M258" i="3" s="1"/>
  <c r="H259" i="3"/>
  <c r="M259" i="3" s="1"/>
  <c r="H260" i="3"/>
  <c r="M260" i="3" s="1"/>
  <c r="H261" i="3"/>
  <c r="M261" i="3" s="1"/>
  <c r="H262" i="3"/>
  <c r="M262" i="3" s="1"/>
  <c r="H263" i="3"/>
  <c r="M263" i="3" s="1"/>
  <c r="H264" i="3"/>
  <c r="H265" i="3"/>
  <c r="M265" i="3" s="1"/>
  <c r="H266" i="3"/>
  <c r="M266" i="3" s="1"/>
  <c r="H267" i="3"/>
  <c r="M267" i="3" s="1"/>
  <c r="H268" i="3"/>
  <c r="M268" i="3" s="1"/>
  <c r="H269" i="3"/>
  <c r="M269" i="3" s="1"/>
  <c r="H270" i="3"/>
  <c r="M270" i="3" s="1"/>
  <c r="H271" i="3"/>
  <c r="M271" i="3" s="1"/>
  <c r="H272" i="3"/>
  <c r="M272" i="3" s="1"/>
  <c r="H273" i="3"/>
  <c r="M273" i="3" s="1"/>
  <c r="H274" i="3"/>
  <c r="M274" i="3" s="1"/>
  <c r="H275" i="3"/>
  <c r="M275" i="3" s="1"/>
  <c r="H276" i="3"/>
  <c r="M276" i="3" s="1"/>
  <c r="H277" i="3"/>
  <c r="M277" i="3" s="1"/>
  <c r="H278" i="3"/>
  <c r="M278" i="3" s="1"/>
  <c r="H279" i="3"/>
  <c r="M279" i="3" s="1"/>
  <c r="H280" i="3"/>
  <c r="M280" i="3" s="1"/>
  <c r="H281" i="3"/>
  <c r="M281" i="3" s="1"/>
  <c r="H282" i="3"/>
  <c r="M282" i="3" s="1"/>
  <c r="H283" i="3"/>
  <c r="M283" i="3" s="1"/>
  <c r="H284" i="3"/>
  <c r="M284" i="3" s="1"/>
  <c r="H285" i="3"/>
  <c r="M285" i="3" s="1"/>
  <c r="H286" i="3"/>
  <c r="M286" i="3" s="1"/>
  <c r="H287" i="3"/>
  <c r="M287" i="3" s="1"/>
  <c r="H288" i="3"/>
  <c r="M288" i="3" s="1"/>
  <c r="H289" i="3"/>
  <c r="M289" i="3" s="1"/>
  <c r="H290" i="3"/>
  <c r="M290" i="3" s="1"/>
  <c r="H291" i="3"/>
  <c r="M291" i="3" s="1"/>
  <c r="H292" i="3"/>
  <c r="M292" i="3" s="1"/>
  <c r="H293" i="3"/>
  <c r="M293" i="3" s="1"/>
  <c r="H294" i="3"/>
  <c r="M294" i="3" s="1"/>
  <c r="H295" i="3"/>
  <c r="M295" i="3" s="1"/>
  <c r="H296" i="3"/>
  <c r="M296" i="3" s="1"/>
  <c r="H297" i="3"/>
  <c r="M297" i="3" s="1"/>
  <c r="H298" i="3"/>
  <c r="M298" i="3" s="1"/>
  <c r="H299" i="3"/>
  <c r="M299" i="3" s="1"/>
  <c r="H300" i="3"/>
  <c r="M300" i="3" s="1"/>
  <c r="H301" i="3"/>
  <c r="M301" i="3" s="1"/>
  <c r="H302" i="3"/>
  <c r="M302" i="3" s="1"/>
  <c r="H303" i="3"/>
  <c r="M303" i="3" s="1"/>
  <c r="H304" i="3"/>
  <c r="M304" i="3" s="1"/>
  <c r="H305" i="3"/>
  <c r="M305" i="3" s="1"/>
  <c r="H306" i="3"/>
  <c r="M306" i="3" s="1"/>
  <c r="H307" i="3"/>
  <c r="M307" i="3" s="1"/>
  <c r="H308" i="3"/>
  <c r="M308" i="3" s="1"/>
  <c r="H309" i="3"/>
  <c r="M309" i="3" s="1"/>
  <c r="H310" i="3"/>
  <c r="M310" i="3" s="1"/>
  <c r="H311" i="3"/>
  <c r="M311" i="3" s="1"/>
  <c r="H312" i="3"/>
  <c r="M312" i="3" s="1"/>
  <c r="H313" i="3"/>
  <c r="M313" i="3" s="1"/>
  <c r="H314" i="3"/>
  <c r="M314" i="3" s="1"/>
  <c r="H315" i="3"/>
  <c r="M315" i="3" s="1"/>
  <c r="H316" i="3"/>
  <c r="M316" i="3" s="1"/>
  <c r="H317" i="3"/>
  <c r="M317" i="3" s="1"/>
  <c r="H318" i="3"/>
  <c r="H319" i="3"/>
  <c r="M319" i="3" s="1"/>
  <c r="H320" i="3"/>
  <c r="M320" i="3" s="1"/>
  <c r="H321" i="3"/>
  <c r="M321" i="3" s="1"/>
  <c r="H322" i="3"/>
  <c r="M322" i="3" s="1"/>
  <c r="H323" i="3"/>
  <c r="M323" i="3" s="1"/>
  <c r="H324" i="3"/>
  <c r="M324" i="3" s="1"/>
  <c r="H325" i="3"/>
  <c r="M325" i="3" s="1"/>
  <c r="H326" i="3"/>
  <c r="M326" i="3" s="1"/>
  <c r="H327" i="3"/>
  <c r="M327" i="3" s="1"/>
  <c r="H328" i="3"/>
  <c r="M328" i="3" s="1"/>
  <c r="H329" i="3"/>
  <c r="M329" i="3" s="1"/>
  <c r="H330" i="3"/>
  <c r="M330" i="3" s="1"/>
  <c r="H331" i="3"/>
  <c r="M331" i="3" s="1"/>
  <c r="H332" i="3"/>
  <c r="M332" i="3" s="1"/>
  <c r="H333" i="3"/>
  <c r="M333" i="3" s="1"/>
  <c r="H334" i="3"/>
  <c r="M334" i="3" s="1"/>
  <c r="H335" i="3"/>
  <c r="M335" i="3" s="1"/>
  <c r="H336" i="3"/>
  <c r="M336" i="3" s="1"/>
  <c r="H337" i="3"/>
  <c r="M337" i="3" s="1"/>
  <c r="H338" i="3"/>
  <c r="M338" i="3" s="1"/>
  <c r="H339" i="3"/>
  <c r="M339" i="3" s="1"/>
  <c r="H340" i="3"/>
  <c r="M340" i="3" s="1"/>
  <c r="H341" i="3"/>
  <c r="M341" i="3" s="1"/>
  <c r="H342" i="3"/>
  <c r="M342" i="3" s="1"/>
  <c r="H343" i="3"/>
  <c r="M343" i="3" s="1"/>
  <c r="H344" i="3"/>
  <c r="M344" i="3" s="1"/>
  <c r="H345" i="3"/>
  <c r="M345" i="3" s="1"/>
  <c r="H346" i="3"/>
  <c r="M346" i="3" s="1"/>
  <c r="H347" i="3"/>
  <c r="M347" i="3" s="1"/>
  <c r="H348" i="3"/>
  <c r="M348" i="3" s="1"/>
  <c r="H349" i="3"/>
  <c r="M349" i="3" s="1"/>
  <c r="H350" i="3"/>
  <c r="M350" i="3" s="1"/>
  <c r="H351" i="3"/>
  <c r="M351" i="3" s="1"/>
  <c r="H352" i="3"/>
  <c r="M352" i="3" s="1"/>
  <c r="H353" i="3"/>
  <c r="M353" i="3" s="1"/>
  <c r="H354" i="3"/>
  <c r="M354" i="3" s="1"/>
  <c r="H355" i="3"/>
  <c r="M355" i="3" s="1"/>
  <c r="H356" i="3"/>
  <c r="M356" i="3" s="1"/>
  <c r="H357" i="3"/>
  <c r="M357" i="3" s="1"/>
  <c r="H358" i="3"/>
  <c r="M358" i="3" s="1"/>
  <c r="H359" i="3"/>
  <c r="M359" i="3" s="1"/>
  <c r="H360" i="3"/>
  <c r="M360" i="3" s="1"/>
  <c r="H361" i="3"/>
  <c r="M361" i="3" s="1"/>
  <c r="H362" i="3"/>
  <c r="M362" i="3" s="1"/>
  <c r="H363" i="3"/>
  <c r="M363" i="3" s="1"/>
  <c r="H364" i="3"/>
  <c r="M364" i="3" s="1"/>
  <c r="H365" i="3"/>
  <c r="M365" i="3" s="1"/>
  <c r="H366" i="3"/>
  <c r="M366" i="3" s="1"/>
  <c r="H367" i="3"/>
  <c r="M367" i="3" s="1"/>
  <c r="H368" i="3"/>
  <c r="M368" i="3" s="1"/>
  <c r="H369" i="3"/>
  <c r="M369" i="3" s="1"/>
  <c r="H370" i="3"/>
  <c r="M370" i="3" s="1"/>
  <c r="H371" i="3"/>
  <c r="M371" i="3" s="1"/>
  <c r="H372" i="3"/>
  <c r="H373" i="3"/>
  <c r="M373" i="3" s="1"/>
  <c r="H374" i="3"/>
  <c r="M374" i="3" s="1"/>
  <c r="H375" i="3"/>
  <c r="M375" i="3" s="1"/>
  <c r="H376" i="3"/>
  <c r="M376" i="3" s="1"/>
  <c r="H377" i="3"/>
  <c r="M377" i="3" s="1"/>
  <c r="H378" i="3"/>
  <c r="M378" i="3" s="1"/>
  <c r="H379" i="3"/>
  <c r="M379" i="3" s="1"/>
  <c r="H380" i="3"/>
  <c r="M380" i="3" s="1"/>
  <c r="H381" i="3"/>
  <c r="M381" i="3" s="1"/>
  <c r="H382" i="3"/>
  <c r="M382" i="3" s="1"/>
  <c r="H383" i="3"/>
  <c r="M383" i="3" s="1"/>
  <c r="H384" i="3"/>
  <c r="M384" i="3" s="1"/>
  <c r="H385" i="3"/>
  <c r="M385" i="3" s="1"/>
  <c r="H386" i="3"/>
  <c r="M386" i="3" s="1"/>
  <c r="H387" i="3"/>
  <c r="M387" i="3" s="1"/>
  <c r="H388" i="3"/>
  <c r="M388" i="3" s="1"/>
  <c r="H389" i="3"/>
  <c r="M389" i="3" s="1"/>
  <c r="H390" i="3"/>
  <c r="M390" i="3" s="1"/>
  <c r="H391" i="3"/>
  <c r="M391" i="3" s="1"/>
  <c r="H392" i="3"/>
  <c r="M392" i="3" s="1"/>
  <c r="H393" i="3"/>
  <c r="M393" i="3" s="1"/>
  <c r="H394" i="3"/>
  <c r="M394" i="3" s="1"/>
  <c r="H395" i="3"/>
  <c r="M395" i="3" s="1"/>
  <c r="H396" i="3"/>
  <c r="M396" i="3" s="1"/>
  <c r="H397" i="3"/>
  <c r="M397" i="3" s="1"/>
  <c r="H398" i="3"/>
  <c r="M398" i="3" s="1"/>
  <c r="H399" i="3"/>
  <c r="M399" i="3" s="1"/>
  <c r="H400" i="3"/>
  <c r="M400" i="3" s="1"/>
  <c r="H401" i="3"/>
  <c r="M401" i="3" s="1"/>
  <c r="H402" i="3"/>
  <c r="M402" i="3" s="1"/>
  <c r="H403" i="3"/>
  <c r="M403" i="3" s="1"/>
  <c r="H404" i="3"/>
  <c r="M404" i="3" s="1"/>
  <c r="H405" i="3"/>
  <c r="M405" i="3" s="1"/>
  <c r="H406" i="3"/>
  <c r="M406" i="3" s="1"/>
  <c r="H407" i="3"/>
  <c r="M407" i="3" s="1"/>
  <c r="H408" i="3"/>
  <c r="M408" i="3" s="1"/>
  <c r="H409" i="3"/>
  <c r="M409" i="3" s="1"/>
  <c r="H410" i="3"/>
  <c r="M410" i="3" s="1"/>
  <c r="H411" i="3"/>
  <c r="M411" i="3" s="1"/>
  <c r="H412" i="3"/>
  <c r="M412" i="3" s="1"/>
  <c r="H413" i="3"/>
  <c r="M413" i="3" s="1"/>
  <c r="H414" i="3"/>
  <c r="M414" i="3" s="1"/>
  <c r="H415" i="3"/>
  <c r="M415" i="3" s="1"/>
  <c r="H416" i="3"/>
  <c r="M416" i="3" s="1"/>
  <c r="H417" i="3"/>
  <c r="M417" i="3" s="1"/>
  <c r="H418" i="3"/>
  <c r="M418" i="3" s="1"/>
  <c r="H419" i="3"/>
  <c r="M419" i="3" s="1"/>
  <c r="H420" i="3"/>
  <c r="M420" i="3" s="1"/>
  <c r="H421" i="3"/>
  <c r="M421" i="3" s="1"/>
  <c r="H422" i="3"/>
  <c r="M422" i="3" s="1"/>
  <c r="H423" i="3"/>
  <c r="M423" i="3" s="1"/>
  <c r="H424" i="3"/>
  <c r="M424" i="3" s="1"/>
  <c r="H425" i="3"/>
  <c r="M425" i="3" s="1"/>
  <c r="H426" i="3"/>
  <c r="H427" i="3"/>
  <c r="M427" i="3" s="1"/>
  <c r="H428" i="3"/>
  <c r="M428" i="3" s="1"/>
  <c r="H429" i="3"/>
  <c r="M429" i="3" s="1"/>
  <c r="H430" i="3"/>
  <c r="M430" i="3" s="1"/>
  <c r="H431" i="3"/>
  <c r="M431" i="3" s="1"/>
  <c r="H432" i="3"/>
  <c r="M432" i="3" s="1"/>
  <c r="H433" i="3"/>
  <c r="M433" i="3" s="1"/>
  <c r="H434" i="3"/>
  <c r="M434" i="3" s="1"/>
  <c r="H435" i="3"/>
  <c r="M435" i="3" s="1"/>
  <c r="H436" i="3"/>
  <c r="M436" i="3" s="1"/>
  <c r="H437" i="3"/>
  <c r="M437" i="3" s="1"/>
  <c r="H438" i="3"/>
  <c r="M438" i="3" s="1"/>
  <c r="H439" i="3"/>
  <c r="M439" i="3" s="1"/>
  <c r="H440" i="3"/>
  <c r="M440" i="3" s="1"/>
  <c r="H441" i="3"/>
  <c r="M441" i="3" s="1"/>
  <c r="H442" i="3"/>
  <c r="M442" i="3" s="1"/>
  <c r="H443" i="3"/>
  <c r="M443" i="3" s="1"/>
  <c r="H444" i="3"/>
  <c r="M444" i="3" s="1"/>
  <c r="H445" i="3"/>
  <c r="M445" i="3" s="1"/>
  <c r="H446" i="3"/>
  <c r="M446" i="3" s="1"/>
  <c r="H447" i="3"/>
  <c r="M447" i="3" s="1"/>
  <c r="H448" i="3"/>
  <c r="M448" i="3" s="1"/>
  <c r="H449" i="3"/>
  <c r="M449" i="3" s="1"/>
  <c r="H450" i="3"/>
  <c r="M450" i="3" s="1"/>
  <c r="H451" i="3"/>
  <c r="M451" i="3" s="1"/>
  <c r="H452" i="3"/>
  <c r="M452" i="3" s="1"/>
  <c r="H453" i="3"/>
  <c r="M453" i="3" s="1"/>
  <c r="H454" i="3"/>
  <c r="M454" i="3" s="1"/>
  <c r="H455" i="3"/>
  <c r="M455" i="3" s="1"/>
  <c r="H456" i="3"/>
  <c r="M456" i="3" s="1"/>
  <c r="H457" i="3"/>
  <c r="M457" i="3" s="1"/>
  <c r="H458" i="3"/>
  <c r="M458" i="3" s="1"/>
  <c r="H459" i="3"/>
  <c r="M459" i="3" s="1"/>
  <c r="H460" i="3"/>
  <c r="M460" i="3" s="1"/>
  <c r="H461" i="3"/>
  <c r="M461" i="3" s="1"/>
  <c r="H462" i="3"/>
  <c r="M462" i="3" s="1"/>
  <c r="H463" i="3"/>
  <c r="M463" i="3" s="1"/>
  <c r="H464" i="3"/>
  <c r="M464" i="3" s="1"/>
  <c r="H465" i="3"/>
  <c r="M465" i="3" s="1"/>
  <c r="H466" i="3"/>
  <c r="M466" i="3" s="1"/>
  <c r="H467" i="3"/>
  <c r="M467" i="3" s="1"/>
  <c r="H468" i="3"/>
  <c r="M468" i="3" s="1"/>
  <c r="H469" i="3"/>
  <c r="M469" i="3" s="1"/>
  <c r="H470" i="3"/>
  <c r="M470" i="3" s="1"/>
  <c r="H471" i="3"/>
  <c r="M471" i="3" s="1"/>
  <c r="H472" i="3"/>
  <c r="M472" i="3" s="1"/>
  <c r="H473" i="3"/>
  <c r="H474" i="3"/>
  <c r="M474" i="3" s="1"/>
  <c r="H475" i="3"/>
  <c r="M475" i="3" s="1"/>
  <c r="H476" i="3"/>
  <c r="M476" i="3" s="1"/>
  <c r="H477" i="3"/>
  <c r="M477" i="3" s="1"/>
  <c r="H478" i="3"/>
  <c r="M478" i="3" s="1"/>
  <c r="H479" i="3"/>
  <c r="M479" i="3" s="1"/>
  <c r="H480" i="3"/>
  <c r="M480" i="3" s="1"/>
  <c r="H481" i="3"/>
  <c r="M481" i="3" s="1"/>
  <c r="H482" i="3"/>
  <c r="M482" i="3" s="1"/>
  <c r="H483" i="3"/>
  <c r="M483" i="3" s="1"/>
  <c r="H484" i="3"/>
  <c r="M484" i="3" s="1"/>
  <c r="H485" i="3"/>
  <c r="M485" i="3" s="1"/>
  <c r="H486" i="3"/>
  <c r="M486" i="3" s="1"/>
  <c r="H487" i="3"/>
  <c r="M487" i="3" s="1"/>
  <c r="H488" i="3"/>
  <c r="M488" i="3" s="1"/>
  <c r="H489" i="3"/>
  <c r="M489" i="3" s="1"/>
  <c r="H490" i="3"/>
  <c r="M490" i="3" s="1"/>
  <c r="H491" i="3"/>
  <c r="M491" i="3" s="1"/>
  <c r="H492" i="3"/>
  <c r="M492" i="3" s="1"/>
  <c r="H493" i="3"/>
  <c r="M493" i="3" s="1"/>
  <c r="H494" i="3"/>
  <c r="M494" i="3" s="1"/>
  <c r="H495" i="3"/>
  <c r="M495" i="3" s="1"/>
  <c r="H496" i="3"/>
  <c r="M496" i="3" s="1"/>
  <c r="H497" i="3"/>
  <c r="M497" i="3" s="1"/>
  <c r="H498" i="3"/>
  <c r="M498" i="3" s="1"/>
  <c r="H499" i="3"/>
  <c r="M499" i="3" s="1"/>
  <c r="H500" i="3"/>
  <c r="M500" i="3" s="1"/>
  <c r="H501" i="3"/>
  <c r="M501" i="3" s="1"/>
  <c r="G2" i="3"/>
  <c r="L2" i="3" s="1"/>
  <c r="G3" i="3"/>
  <c r="L3" i="3" s="1"/>
  <c r="G4" i="3"/>
  <c r="L4" i="3" s="1"/>
  <c r="G5" i="3"/>
  <c r="L5" i="3" s="1"/>
  <c r="G6" i="3"/>
  <c r="L6" i="3" s="1"/>
  <c r="G7" i="3"/>
  <c r="L7" i="3" s="1"/>
  <c r="G8" i="3"/>
  <c r="L8" i="3" s="1"/>
  <c r="G9" i="3"/>
  <c r="L9" i="3" s="1"/>
  <c r="G10" i="3"/>
  <c r="L10" i="3" s="1"/>
  <c r="G11" i="3"/>
  <c r="L11" i="3" s="1"/>
  <c r="G12" i="3"/>
  <c r="L12" i="3" s="1"/>
  <c r="G13" i="3"/>
  <c r="L13" i="3" s="1"/>
  <c r="G14" i="3"/>
  <c r="L14" i="3" s="1"/>
  <c r="G15" i="3"/>
  <c r="G16" i="3"/>
  <c r="L16" i="3" s="1"/>
  <c r="G17" i="3"/>
  <c r="L17" i="3" s="1"/>
  <c r="G18" i="3"/>
  <c r="L18" i="3" s="1"/>
  <c r="G19" i="3"/>
  <c r="L19" i="3" s="1"/>
  <c r="G20" i="3"/>
  <c r="L20" i="3" s="1"/>
  <c r="G21" i="3"/>
  <c r="L21" i="3" s="1"/>
  <c r="G22" i="3"/>
  <c r="L22" i="3" s="1"/>
  <c r="G23" i="3"/>
  <c r="L23" i="3" s="1"/>
  <c r="G24" i="3"/>
  <c r="L24" i="3" s="1"/>
  <c r="G25" i="3"/>
  <c r="L25" i="3" s="1"/>
  <c r="G26" i="3"/>
  <c r="L26" i="3" s="1"/>
  <c r="G27" i="3"/>
  <c r="L27" i="3" s="1"/>
  <c r="G28" i="3"/>
  <c r="L28" i="3" s="1"/>
  <c r="G29" i="3"/>
  <c r="L29" i="3" s="1"/>
  <c r="G30" i="3"/>
  <c r="L30" i="3" s="1"/>
  <c r="G31" i="3"/>
  <c r="L31" i="3" s="1"/>
  <c r="G32" i="3"/>
  <c r="L32" i="3" s="1"/>
  <c r="G33" i="3"/>
  <c r="L33" i="3" s="1"/>
  <c r="G34" i="3"/>
  <c r="L34" i="3" s="1"/>
  <c r="G35" i="3"/>
  <c r="L35" i="3" s="1"/>
  <c r="G36" i="3"/>
  <c r="L36" i="3" s="1"/>
  <c r="G37" i="3"/>
  <c r="L37" i="3" s="1"/>
  <c r="G38" i="3"/>
  <c r="L38" i="3" s="1"/>
  <c r="G39" i="3"/>
  <c r="L39" i="3" s="1"/>
  <c r="G40" i="3"/>
  <c r="L40" i="3" s="1"/>
  <c r="G41" i="3"/>
  <c r="L41" i="3" s="1"/>
  <c r="G42" i="3"/>
  <c r="L42" i="3" s="1"/>
  <c r="G43" i="3"/>
  <c r="L43" i="3" s="1"/>
  <c r="G44" i="3"/>
  <c r="L44" i="3" s="1"/>
  <c r="G45" i="3"/>
  <c r="L45" i="3" s="1"/>
  <c r="G46" i="3"/>
  <c r="L46" i="3" s="1"/>
  <c r="G47" i="3"/>
  <c r="L47" i="3" s="1"/>
  <c r="G48" i="3"/>
  <c r="L48" i="3" s="1"/>
  <c r="G49" i="3"/>
  <c r="L49" i="3" s="1"/>
  <c r="G50" i="3"/>
  <c r="L50" i="3" s="1"/>
  <c r="G51" i="3"/>
  <c r="G52" i="3"/>
  <c r="L52" i="3" s="1"/>
  <c r="G53" i="3"/>
  <c r="L53" i="3" s="1"/>
  <c r="G54" i="3"/>
  <c r="L54" i="3" s="1"/>
  <c r="G55" i="3"/>
  <c r="L55" i="3" s="1"/>
  <c r="G56" i="3"/>
  <c r="L56" i="3" s="1"/>
  <c r="G57" i="3"/>
  <c r="L57" i="3" s="1"/>
  <c r="G58" i="3"/>
  <c r="L58" i="3" s="1"/>
  <c r="G59" i="3"/>
  <c r="L59" i="3" s="1"/>
  <c r="G60" i="3"/>
  <c r="L60" i="3" s="1"/>
  <c r="G61" i="3"/>
  <c r="L61" i="3" s="1"/>
  <c r="G62" i="3"/>
  <c r="L62" i="3" s="1"/>
  <c r="G63" i="3"/>
  <c r="L63" i="3" s="1"/>
  <c r="G64" i="3"/>
  <c r="L64" i="3" s="1"/>
  <c r="G65" i="3"/>
  <c r="L65" i="3" s="1"/>
  <c r="G66" i="3"/>
  <c r="L66" i="3" s="1"/>
  <c r="G67" i="3"/>
  <c r="L67" i="3" s="1"/>
  <c r="G68" i="3"/>
  <c r="L68" i="3" s="1"/>
  <c r="G69" i="3"/>
  <c r="L69" i="3" s="1"/>
  <c r="G70" i="3"/>
  <c r="L70" i="3" s="1"/>
  <c r="G71" i="3"/>
  <c r="L71" i="3" s="1"/>
  <c r="G72" i="3"/>
  <c r="L72" i="3" s="1"/>
  <c r="G73" i="3"/>
  <c r="L73" i="3" s="1"/>
  <c r="G74" i="3"/>
  <c r="L74" i="3" s="1"/>
  <c r="G75" i="3"/>
  <c r="L75" i="3" s="1"/>
  <c r="G76" i="3"/>
  <c r="L76" i="3" s="1"/>
  <c r="G77" i="3"/>
  <c r="L77" i="3" s="1"/>
  <c r="G78" i="3"/>
  <c r="L78" i="3" s="1"/>
  <c r="G79" i="3"/>
  <c r="L79" i="3" s="1"/>
  <c r="G80" i="3"/>
  <c r="L80" i="3" s="1"/>
  <c r="G81" i="3"/>
  <c r="L81" i="3" s="1"/>
  <c r="G82" i="3"/>
  <c r="L82" i="3" s="1"/>
  <c r="G83" i="3"/>
  <c r="L83" i="3" s="1"/>
  <c r="G84" i="3"/>
  <c r="L84" i="3" s="1"/>
  <c r="G85" i="3"/>
  <c r="L85" i="3" s="1"/>
  <c r="G86" i="3"/>
  <c r="L86" i="3" s="1"/>
  <c r="G87" i="3"/>
  <c r="G88" i="3"/>
  <c r="L88" i="3" s="1"/>
  <c r="G89" i="3"/>
  <c r="L89" i="3" s="1"/>
  <c r="G90" i="3"/>
  <c r="L90" i="3" s="1"/>
  <c r="G91" i="3"/>
  <c r="L91" i="3" s="1"/>
  <c r="G92" i="3"/>
  <c r="L92" i="3" s="1"/>
  <c r="G93" i="3"/>
  <c r="L93" i="3" s="1"/>
  <c r="G94" i="3"/>
  <c r="L94" i="3" s="1"/>
  <c r="G95" i="3"/>
  <c r="L95" i="3" s="1"/>
  <c r="G96" i="3"/>
  <c r="L96" i="3" s="1"/>
  <c r="G97" i="3"/>
  <c r="L97" i="3" s="1"/>
  <c r="G98" i="3"/>
  <c r="L98" i="3" s="1"/>
  <c r="G99" i="3"/>
  <c r="L99" i="3" s="1"/>
  <c r="G100" i="3"/>
  <c r="L100" i="3" s="1"/>
  <c r="G101" i="3"/>
  <c r="L101" i="3" s="1"/>
  <c r="G102" i="3"/>
  <c r="L102" i="3" s="1"/>
  <c r="G103" i="3"/>
  <c r="L103" i="3" s="1"/>
  <c r="G104" i="3"/>
  <c r="L104" i="3" s="1"/>
  <c r="G105" i="3"/>
  <c r="L105" i="3" s="1"/>
  <c r="G106" i="3"/>
  <c r="L106" i="3" s="1"/>
  <c r="G107" i="3"/>
  <c r="L107" i="3" s="1"/>
  <c r="G108" i="3"/>
  <c r="L108" i="3" s="1"/>
  <c r="G109" i="3"/>
  <c r="L109" i="3" s="1"/>
  <c r="G110" i="3"/>
  <c r="L110" i="3" s="1"/>
  <c r="G111" i="3"/>
  <c r="L111" i="3" s="1"/>
  <c r="G112" i="3"/>
  <c r="L112" i="3" s="1"/>
  <c r="G113" i="3"/>
  <c r="L113" i="3" s="1"/>
  <c r="G114" i="3"/>
  <c r="L114" i="3" s="1"/>
  <c r="G115" i="3"/>
  <c r="L115" i="3" s="1"/>
  <c r="G116" i="3"/>
  <c r="L116" i="3" s="1"/>
  <c r="G117" i="3"/>
  <c r="L117" i="3" s="1"/>
  <c r="G118" i="3"/>
  <c r="L118" i="3" s="1"/>
  <c r="G119" i="3"/>
  <c r="L119" i="3" s="1"/>
  <c r="G120" i="3"/>
  <c r="L120" i="3" s="1"/>
  <c r="G121" i="3"/>
  <c r="L121" i="3" s="1"/>
  <c r="G122" i="3"/>
  <c r="L122" i="3" s="1"/>
  <c r="G123" i="3"/>
  <c r="G124" i="3"/>
  <c r="L124" i="3" s="1"/>
  <c r="G125" i="3"/>
  <c r="L125" i="3" s="1"/>
  <c r="G126" i="3"/>
  <c r="L126" i="3" s="1"/>
  <c r="G127" i="3"/>
  <c r="L127" i="3" s="1"/>
  <c r="G128" i="3"/>
  <c r="L128" i="3" s="1"/>
  <c r="G129" i="3"/>
  <c r="L129" i="3" s="1"/>
  <c r="G130" i="3"/>
  <c r="L130" i="3" s="1"/>
  <c r="G131" i="3"/>
  <c r="L131" i="3" s="1"/>
  <c r="G132" i="3"/>
  <c r="L132" i="3" s="1"/>
  <c r="G133" i="3"/>
  <c r="L133" i="3" s="1"/>
  <c r="G134" i="3"/>
  <c r="L134" i="3" s="1"/>
  <c r="G135" i="3"/>
  <c r="L135" i="3" s="1"/>
  <c r="G136" i="3"/>
  <c r="L136" i="3" s="1"/>
  <c r="G137" i="3"/>
  <c r="L137" i="3" s="1"/>
  <c r="G138" i="3"/>
  <c r="L138" i="3" s="1"/>
  <c r="G139" i="3"/>
  <c r="L139" i="3" s="1"/>
  <c r="G140" i="3"/>
  <c r="L140" i="3" s="1"/>
  <c r="G141" i="3"/>
  <c r="L141" i="3" s="1"/>
  <c r="G142" i="3"/>
  <c r="L142" i="3" s="1"/>
  <c r="G143" i="3"/>
  <c r="L143" i="3" s="1"/>
  <c r="G144" i="3"/>
  <c r="L144" i="3" s="1"/>
  <c r="G145" i="3"/>
  <c r="L145" i="3" s="1"/>
  <c r="G146" i="3"/>
  <c r="L146" i="3" s="1"/>
  <c r="G147" i="3"/>
  <c r="L147" i="3" s="1"/>
  <c r="G148" i="3"/>
  <c r="L148" i="3" s="1"/>
  <c r="G149" i="3"/>
  <c r="L149" i="3" s="1"/>
  <c r="G150" i="3"/>
  <c r="L150" i="3" s="1"/>
  <c r="G151" i="3"/>
  <c r="L151" i="3" s="1"/>
  <c r="G152" i="3"/>
  <c r="L152" i="3" s="1"/>
  <c r="G153" i="3"/>
  <c r="L153" i="3" s="1"/>
  <c r="G154" i="3"/>
  <c r="L154" i="3" s="1"/>
  <c r="G155" i="3"/>
  <c r="L155" i="3" s="1"/>
  <c r="G156" i="3"/>
  <c r="L156" i="3" s="1"/>
  <c r="G157" i="3"/>
  <c r="L157" i="3" s="1"/>
  <c r="G158" i="3"/>
  <c r="L158" i="3" s="1"/>
  <c r="G159" i="3"/>
  <c r="G160" i="3"/>
  <c r="L160" i="3" s="1"/>
  <c r="G161" i="3"/>
  <c r="L161" i="3" s="1"/>
  <c r="G162" i="3"/>
  <c r="L162" i="3" s="1"/>
  <c r="G163" i="3"/>
  <c r="L163" i="3" s="1"/>
  <c r="G164" i="3"/>
  <c r="L164" i="3" s="1"/>
  <c r="G165" i="3"/>
  <c r="L165" i="3" s="1"/>
  <c r="G166" i="3"/>
  <c r="L166" i="3" s="1"/>
  <c r="G167" i="3"/>
  <c r="L167" i="3" s="1"/>
  <c r="G168" i="3"/>
  <c r="L168" i="3" s="1"/>
  <c r="G169" i="3"/>
  <c r="L169" i="3" s="1"/>
  <c r="G170" i="3"/>
  <c r="L170" i="3" s="1"/>
  <c r="G171" i="3"/>
  <c r="L171" i="3" s="1"/>
  <c r="G172" i="3"/>
  <c r="L172" i="3" s="1"/>
  <c r="G173" i="3"/>
  <c r="L173" i="3" s="1"/>
  <c r="G174" i="3"/>
  <c r="L174" i="3" s="1"/>
  <c r="G175" i="3"/>
  <c r="L175" i="3" s="1"/>
  <c r="G176" i="3"/>
  <c r="L176" i="3" s="1"/>
  <c r="G177" i="3"/>
  <c r="L177" i="3" s="1"/>
  <c r="G178" i="3"/>
  <c r="L178" i="3" s="1"/>
  <c r="G179" i="3"/>
  <c r="L179" i="3" s="1"/>
  <c r="G180" i="3"/>
  <c r="L180" i="3" s="1"/>
  <c r="G181" i="3"/>
  <c r="L181" i="3" s="1"/>
  <c r="G182" i="3"/>
  <c r="L182" i="3" s="1"/>
  <c r="G183" i="3"/>
  <c r="L183" i="3" s="1"/>
  <c r="G184" i="3"/>
  <c r="L184" i="3" s="1"/>
  <c r="G185" i="3"/>
  <c r="L185" i="3" s="1"/>
  <c r="G186" i="3"/>
  <c r="L186" i="3" s="1"/>
  <c r="G187" i="3"/>
  <c r="L187" i="3" s="1"/>
  <c r="G188" i="3"/>
  <c r="L188" i="3" s="1"/>
  <c r="G189" i="3"/>
  <c r="L189" i="3" s="1"/>
  <c r="G190" i="3"/>
  <c r="L190" i="3" s="1"/>
  <c r="G191" i="3"/>
  <c r="L191" i="3" s="1"/>
  <c r="G192" i="3"/>
  <c r="L192" i="3" s="1"/>
  <c r="G193" i="3"/>
  <c r="L193" i="3" s="1"/>
  <c r="G194" i="3"/>
  <c r="L194" i="3" s="1"/>
  <c r="G195" i="3"/>
  <c r="G196" i="3"/>
  <c r="L196" i="3" s="1"/>
  <c r="G197" i="3"/>
  <c r="L197" i="3" s="1"/>
  <c r="G198" i="3"/>
  <c r="L198" i="3" s="1"/>
  <c r="G199" i="3"/>
  <c r="L199" i="3" s="1"/>
  <c r="G200" i="3"/>
  <c r="L200" i="3" s="1"/>
  <c r="G201" i="3"/>
  <c r="L201" i="3" s="1"/>
  <c r="G202" i="3"/>
  <c r="L202" i="3" s="1"/>
  <c r="G203" i="3"/>
  <c r="L203" i="3" s="1"/>
  <c r="G204" i="3"/>
  <c r="L204" i="3" s="1"/>
  <c r="G205" i="3"/>
  <c r="L205" i="3" s="1"/>
  <c r="G206" i="3"/>
  <c r="L206" i="3" s="1"/>
  <c r="G207" i="3"/>
  <c r="L207" i="3" s="1"/>
  <c r="G208" i="3"/>
  <c r="L208" i="3" s="1"/>
  <c r="G209" i="3"/>
  <c r="L209" i="3" s="1"/>
  <c r="G210" i="3"/>
  <c r="L210" i="3" s="1"/>
  <c r="G211" i="3"/>
  <c r="L211" i="3" s="1"/>
  <c r="G212" i="3"/>
  <c r="L212" i="3" s="1"/>
  <c r="G213" i="3"/>
  <c r="L213" i="3" s="1"/>
  <c r="G214" i="3"/>
  <c r="L214" i="3" s="1"/>
  <c r="G215" i="3"/>
  <c r="L215" i="3" s="1"/>
  <c r="G216" i="3"/>
  <c r="L216" i="3" s="1"/>
  <c r="G217" i="3"/>
  <c r="L217" i="3" s="1"/>
  <c r="G218" i="3"/>
  <c r="L218" i="3" s="1"/>
  <c r="G219" i="3"/>
  <c r="L219" i="3" s="1"/>
  <c r="G220" i="3"/>
  <c r="L220" i="3" s="1"/>
  <c r="G221" i="3"/>
  <c r="L221" i="3" s="1"/>
  <c r="G222" i="3"/>
  <c r="L222" i="3" s="1"/>
  <c r="G223" i="3"/>
  <c r="L223" i="3" s="1"/>
  <c r="G224" i="3"/>
  <c r="L224" i="3" s="1"/>
  <c r="G225" i="3"/>
  <c r="L225" i="3" s="1"/>
  <c r="G226" i="3"/>
  <c r="L226" i="3" s="1"/>
  <c r="G227" i="3"/>
  <c r="L227" i="3" s="1"/>
  <c r="G228" i="3"/>
  <c r="L228" i="3" s="1"/>
  <c r="G229" i="3"/>
  <c r="L229" i="3" s="1"/>
  <c r="G230" i="3"/>
  <c r="L230" i="3" s="1"/>
  <c r="G231" i="3"/>
  <c r="G232" i="3"/>
  <c r="L232" i="3" s="1"/>
  <c r="G233" i="3"/>
  <c r="L233" i="3" s="1"/>
  <c r="G234" i="3"/>
  <c r="L234" i="3" s="1"/>
  <c r="G235" i="3"/>
  <c r="L235" i="3" s="1"/>
  <c r="G236" i="3"/>
  <c r="L236" i="3" s="1"/>
  <c r="G237" i="3"/>
  <c r="L237" i="3" s="1"/>
  <c r="G238" i="3"/>
  <c r="L238" i="3" s="1"/>
  <c r="G239" i="3"/>
  <c r="L239" i="3" s="1"/>
  <c r="G240" i="3"/>
  <c r="L240" i="3" s="1"/>
  <c r="G241" i="3"/>
  <c r="L241" i="3" s="1"/>
  <c r="G242" i="3"/>
  <c r="L242" i="3" s="1"/>
  <c r="G243" i="3"/>
  <c r="L243" i="3" s="1"/>
  <c r="G244" i="3"/>
  <c r="L244" i="3" s="1"/>
  <c r="G245" i="3"/>
  <c r="L245" i="3" s="1"/>
  <c r="G246" i="3"/>
  <c r="L246" i="3" s="1"/>
  <c r="G247" i="3"/>
  <c r="L247" i="3" s="1"/>
  <c r="G248" i="3"/>
  <c r="L248" i="3" s="1"/>
  <c r="G249" i="3"/>
  <c r="L249" i="3" s="1"/>
  <c r="G250" i="3"/>
  <c r="L250" i="3" s="1"/>
  <c r="G251" i="3"/>
  <c r="L251" i="3" s="1"/>
  <c r="G252" i="3"/>
  <c r="L252" i="3" s="1"/>
  <c r="G253" i="3"/>
  <c r="L253" i="3" s="1"/>
  <c r="G254" i="3"/>
  <c r="L254" i="3" s="1"/>
  <c r="G255" i="3"/>
  <c r="L255" i="3" s="1"/>
  <c r="G256" i="3"/>
  <c r="L256" i="3" s="1"/>
  <c r="G257" i="3"/>
  <c r="L257" i="3" s="1"/>
  <c r="G258" i="3"/>
  <c r="L258" i="3" s="1"/>
  <c r="G259" i="3"/>
  <c r="L259" i="3" s="1"/>
  <c r="G260" i="3"/>
  <c r="L260" i="3" s="1"/>
  <c r="G261" i="3"/>
  <c r="L261" i="3" s="1"/>
  <c r="G262" i="3"/>
  <c r="L262" i="3" s="1"/>
  <c r="G263" i="3"/>
  <c r="L263" i="3" s="1"/>
  <c r="G264" i="3"/>
  <c r="L264" i="3" s="1"/>
  <c r="G265" i="3"/>
  <c r="L265" i="3" s="1"/>
  <c r="G266" i="3"/>
  <c r="L266" i="3" s="1"/>
  <c r="G267" i="3"/>
  <c r="G268" i="3"/>
  <c r="L268" i="3" s="1"/>
  <c r="G269" i="3"/>
  <c r="L269" i="3" s="1"/>
  <c r="G270" i="3"/>
  <c r="L270" i="3" s="1"/>
  <c r="G271" i="3"/>
  <c r="L271" i="3" s="1"/>
  <c r="G272" i="3"/>
  <c r="L272" i="3" s="1"/>
  <c r="G273" i="3"/>
  <c r="L273" i="3" s="1"/>
  <c r="G274" i="3"/>
  <c r="L274" i="3" s="1"/>
  <c r="G275" i="3"/>
  <c r="L275" i="3" s="1"/>
  <c r="G276" i="3"/>
  <c r="L276" i="3" s="1"/>
  <c r="G277" i="3"/>
  <c r="L277" i="3" s="1"/>
  <c r="G278" i="3"/>
  <c r="L278" i="3" s="1"/>
  <c r="G279" i="3"/>
  <c r="L279" i="3" s="1"/>
  <c r="G280" i="3"/>
  <c r="L280" i="3" s="1"/>
  <c r="G281" i="3"/>
  <c r="L281" i="3" s="1"/>
  <c r="G282" i="3"/>
  <c r="L282" i="3" s="1"/>
  <c r="G283" i="3"/>
  <c r="L283" i="3" s="1"/>
  <c r="G284" i="3"/>
  <c r="L284" i="3" s="1"/>
  <c r="G285" i="3"/>
  <c r="L285" i="3" s="1"/>
  <c r="G286" i="3"/>
  <c r="L286" i="3" s="1"/>
  <c r="G287" i="3"/>
  <c r="L287" i="3" s="1"/>
  <c r="G288" i="3"/>
  <c r="L288" i="3" s="1"/>
  <c r="G289" i="3"/>
  <c r="L289" i="3" s="1"/>
  <c r="G290" i="3"/>
  <c r="L290" i="3" s="1"/>
  <c r="G291" i="3"/>
  <c r="L291" i="3" s="1"/>
  <c r="G292" i="3"/>
  <c r="L292" i="3" s="1"/>
  <c r="G293" i="3"/>
  <c r="L293" i="3" s="1"/>
  <c r="G294" i="3"/>
  <c r="L294" i="3" s="1"/>
  <c r="G295" i="3"/>
  <c r="L295" i="3" s="1"/>
  <c r="G296" i="3"/>
  <c r="L296" i="3" s="1"/>
  <c r="G297" i="3"/>
  <c r="L297" i="3" s="1"/>
  <c r="G298" i="3"/>
  <c r="L298" i="3" s="1"/>
  <c r="G299" i="3"/>
  <c r="L299" i="3" s="1"/>
  <c r="G300" i="3"/>
  <c r="L300" i="3" s="1"/>
  <c r="G301" i="3"/>
  <c r="L301" i="3" s="1"/>
  <c r="G302" i="3"/>
  <c r="L302" i="3" s="1"/>
  <c r="G303" i="3"/>
  <c r="L303" i="3" s="1"/>
  <c r="G304" i="3"/>
  <c r="L304" i="3" s="1"/>
  <c r="G305" i="3"/>
  <c r="L305" i="3" s="1"/>
  <c r="G306" i="3"/>
  <c r="L306" i="3" s="1"/>
  <c r="G307" i="3"/>
  <c r="L307" i="3" s="1"/>
  <c r="G308" i="3"/>
  <c r="L308" i="3" s="1"/>
  <c r="G309" i="3"/>
  <c r="L309" i="3" s="1"/>
  <c r="G310" i="3"/>
  <c r="L310" i="3" s="1"/>
  <c r="G311" i="3"/>
  <c r="L311" i="3" s="1"/>
  <c r="G312" i="3"/>
  <c r="L312" i="3" s="1"/>
  <c r="G313" i="3"/>
  <c r="L313" i="3" s="1"/>
  <c r="G314" i="3"/>
  <c r="L314" i="3" s="1"/>
  <c r="G315" i="3"/>
  <c r="G316" i="3"/>
  <c r="L316" i="3" s="1"/>
  <c r="G317" i="3"/>
  <c r="L317" i="3" s="1"/>
  <c r="G318" i="3"/>
  <c r="L318" i="3" s="1"/>
  <c r="G319" i="3"/>
  <c r="L319" i="3" s="1"/>
  <c r="G320" i="3"/>
  <c r="L320" i="3" s="1"/>
  <c r="G321" i="3"/>
  <c r="L321" i="3" s="1"/>
  <c r="G322" i="3"/>
  <c r="L322" i="3" s="1"/>
  <c r="G323" i="3"/>
  <c r="L323" i="3" s="1"/>
  <c r="G324" i="3"/>
  <c r="L324" i="3" s="1"/>
  <c r="G325" i="3"/>
  <c r="L325" i="3" s="1"/>
  <c r="G326" i="3"/>
  <c r="L326" i="3" s="1"/>
  <c r="G327" i="3"/>
  <c r="G328" i="3"/>
  <c r="L328" i="3" s="1"/>
  <c r="G329" i="3"/>
  <c r="L329" i="3" s="1"/>
  <c r="G330" i="3"/>
  <c r="L330" i="3" s="1"/>
  <c r="G331" i="3"/>
  <c r="L331" i="3" s="1"/>
  <c r="G332" i="3"/>
  <c r="L332" i="3" s="1"/>
  <c r="G333" i="3"/>
  <c r="L333" i="3" s="1"/>
  <c r="G334" i="3"/>
  <c r="L334" i="3" s="1"/>
  <c r="G335" i="3"/>
  <c r="L335" i="3" s="1"/>
  <c r="G336" i="3"/>
  <c r="L336" i="3" s="1"/>
  <c r="G337" i="3"/>
  <c r="L337" i="3" s="1"/>
  <c r="G338" i="3"/>
  <c r="L338" i="3" s="1"/>
  <c r="G339" i="3"/>
  <c r="L339" i="3" s="1"/>
  <c r="G340" i="3"/>
  <c r="L340" i="3" s="1"/>
  <c r="G341" i="3"/>
  <c r="L341" i="3" s="1"/>
  <c r="G342" i="3"/>
  <c r="L342" i="3" s="1"/>
  <c r="G343" i="3"/>
  <c r="G344" i="3"/>
  <c r="L344" i="3" s="1"/>
  <c r="G345" i="3"/>
  <c r="L345" i="3" s="1"/>
  <c r="G346" i="3"/>
  <c r="L346" i="3" s="1"/>
  <c r="G347" i="3"/>
  <c r="L347" i="3" s="1"/>
  <c r="G348" i="3"/>
  <c r="L348" i="3" s="1"/>
  <c r="G349" i="3"/>
  <c r="L349" i="3" s="1"/>
  <c r="G350" i="3"/>
  <c r="L350" i="3" s="1"/>
  <c r="G351" i="3"/>
  <c r="L351" i="3" s="1"/>
  <c r="G352" i="3"/>
  <c r="L352" i="3" s="1"/>
  <c r="G353" i="3"/>
  <c r="L353" i="3" s="1"/>
  <c r="G354" i="3"/>
  <c r="L354" i="3" s="1"/>
  <c r="G355" i="3"/>
  <c r="G356" i="3"/>
  <c r="L356" i="3" s="1"/>
  <c r="G357" i="3"/>
  <c r="L357" i="3" s="1"/>
  <c r="G358" i="3"/>
  <c r="L358" i="3" s="1"/>
  <c r="G359" i="3"/>
  <c r="L359" i="3" s="1"/>
  <c r="G360" i="3"/>
  <c r="L360" i="3" s="1"/>
  <c r="G361" i="3"/>
  <c r="L361" i="3" s="1"/>
  <c r="G362" i="3"/>
  <c r="L362" i="3" s="1"/>
  <c r="G363" i="3"/>
  <c r="L363" i="3" s="1"/>
  <c r="G364" i="3"/>
  <c r="L364" i="3" s="1"/>
  <c r="G365" i="3"/>
  <c r="L365" i="3" s="1"/>
  <c r="G366" i="3"/>
  <c r="L366" i="3" s="1"/>
  <c r="G367" i="3"/>
  <c r="L367" i="3" s="1"/>
  <c r="G368" i="3"/>
  <c r="G369" i="3"/>
  <c r="L369" i="3" s="1"/>
  <c r="G370" i="3"/>
  <c r="L370" i="3" s="1"/>
  <c r="G371" i="3"/>
  <c r="L371" i="3" s="1"/>
  <c r="G372" i="3"/>
  <c r="L372" i="3" s="1"/>
  <c r="G373" i="3"/>
  <c r="L373" i="3" s="1"/>
  <c r="G374" i="3"/>
  <c r="L374" i="3" s="1"/>
  <c r="G375" i="3"/>
  <c r="L375" i="3" s="1"/>
  <c r="G376" i="3"/>
  <c r="L376" i="3" s="1"/>
  <c r="G377" i="3"/>
  <c r="L377" i="3" s="1"/>
  <c r="G378" i="3"/>
  <c r="L378" i="3" s="1"/>
  <c r="G379" i="3"/>
  <c r="G380" i="3"/>
  <c r="L380" i="3" s="1"/>
  <c r="G381" i="3"/>
  <c r="L381" i="3" s="1"/>
  <c r="G382" i="3"/>
  <c r="L382" i="3" s="1"/>
  <c r="G383" i="3"/>
  <c r="L383" i="3" s="1"/>
  <c r="G384" i="3"/>
  <c r="L384" i="3" s="1"/>
  <c r="G385" i="3"/>
  <c r="L385" i="3" s="1"/>
  <c r="G386" i="3"/>
  <c r="L386" i="3" s="1"/>
  <c r="G387" i="3"/>
  <c r="L387" i="3" s="1"/>
  <c r="G388" i="3"/>
  <c r="L388" i="3" s="1"/>
  <c r="G389" i="3"/>
  <c r="L389" i="3" s="1"/>
  <c r="G390" i="3"/>
  <c r="L390" i="3" s="1"/>
  <c r="G391" i="3"/>
  <c r="L391" i="3" s="1"/>
  <c r="G392" i="3"/>
  <c r="L392" i="3" s="1"/>
  <c r="G393" i="3"/>
  <c r="L393" i="3" s="1"/>
  <c r="G394" i="3"/>
  <c r="L394" i="3" s="1"/>
  <c r="G395" i="3"/>
  <c r="L395" i="3" s="1"/>
  <c r="G396" i="3"/>
  <c r="L396" i="3" s="1"/>
  <c r="G397" i="3"/>
  <c r="L397" i="3" s="1"/>
  <c r="G398" i="3"/>
  <c r="L398" i="3" s="1"/>
  <c r="G399" i="3"/>
  <c r="G400" i="3"/>
  <c r="L400" i="3" s="1"/>
  <c r="G401" i="3"/>
  <c r="L401" i="3" s="1"/>
  <c r="G402" i="3"/>
  <c r="L402" i="3" s="1"/>
  <c r="G403" i="3"/>
  <c r="L403" i="3" s="1"/>
  <c r="G404" i="3"/>
  <c r="L404" i="3" s="1"/>
  <c r="G405" i="3"/>
  <c r="L405" i="3" s="1"/>
  <c r="G406" i="3"/>
  <c r="L406" i="3" s="1"/>
  <c r="G407" i="3"/>
  <c r="L407" i="3" s="1"/>
  <c r="G408" i="3"/>
  <c r="L408" i="3" s="1"/>
  <c r="G409" i="3"/>
  <c r="L409" i="3" s="1"/>
  <c r="G410" i="3"/>
  <c r="G411" i="3"/>
  <c r="L411" i="3" s="1"/>
  <c r="G412" i="3"/>
  <c r="L412" i="3" s="1"/>
  <c r="G413" i="3"/>
  <c r="L413" i="3" s="1"/>
  <c r="G414" i="3"/>
  <c r="L414" i="3" s="1"/>
  <c r="G415" i="3"/>
  <c r="L415" i="3" s="1"/>
  <c r="G416" i="3"/>
  <c r="L416" i="3" s="1"/>
  <c r="G417" i="3"/>
  <c r="L417" i="3" s="1"/>
  <c r="G418" i="3"/>
  <c r="L418" i="3" s="1"/>
  <c r="G419" i="3"/>
  <c r="L419" i="3" s="1"/>
  <c r="G420" i="3"/>
  <c r="L420" i="3" s="1"/>
  <c r="G421" i="3"/>
  <c r="L421" i="3" s="1"/>
  <c r="G422" i="3"/>
  <c r="G423" i="3"/>
  <c r="L423" i="3" s="1"/>
  <c r="G424" i="3"/>
  <c r="L424" i="3" s="1"/>
  <c r="G425" i="3"/>
  <c r="L425" i="3" s="1"/>
  <c r="G426" i="3"/>
  <c r="L426" i="3" s="1"/>
  <c r="G427" i="3"/>
  <c r="L427" i="3" s="1"/>
  <c r="G428" i="3"/>
  <c r="L428" i="3" s="1"/>
  <c r="G429" i="3"/>
  <c r="L429" i="3" s="1"/>
  <c r="G430" i="3"/>
  <c r="L430" i="3" s="1"/>
  <c r="G431" i="3"/>
  <c r="L431" i="3" s="1"/>
  <c r="G432" i="3"/>
  <c r="L432" i="3" s="1"/>
  <c r="G433" i="3"/>
  <c r="G434" i="3"/>
  <c r="L434" i="3" s="1"/>
  <c r="G435" i="3"/>
  <c r="L435" i="3" s="1"/>
  <c r="G436" i="3"/>
  <c r="L436" i="3" s="1"/>
  <c r="G437" i="3"/>
  <c r="L437" i="3" s="1"/>
  <c r="G438" i="3"/>
  <c r="L438" i="3" s="1"/>
  <c r="G439" i="3"/>
  <c r="L439" i="3" s="1"/>
  <c r="G440" i="3"/>
  <c r="L440" i="3" s="1"/>
  <c r="G441" i="3"/>
  <c r="L441" i="3" s="1"/>
  <c r="G442" i="3"/>
  <c r="L442" i="3" s="1"/>
  <c r="G443" i="3"/>
  <c r="L443" i="3" s="1"/>
  <c r="G444" i="3"/>
  <c r="L444" i="3" s="1"/>
  <c r="G445" i="3"/>
  <c r="L445" i="3" s="1"/>
  <c r="G446" i="3"/>
  <c r="L446" i="3" s="1"/>
  <c r="G447" i="3"/>
  <c r="L447" i="3" s="1"/>
  <c r="G448" i="3"/>
  <c r="L448" i="3" s="1"/>
  <c r="G449" i="3"/>
  <c r="L449" i="3" s="1"/>
  <c r="G450" i="3"/>
  <c r="L450" i="3" s="1"/>
  <c r="G451" i="3"/>
  <c r="L451" i="3" s="1"/>
  <c r="G452" i="3"/>
  <c r="L452" i="3" s="1"/>
  <c r="G453" i="3"/>
  <c r="G454" i="3"/>
  <c r="L454" i="3" s="1"/>
  <c r="G455" i="3"/>
  <c r="L455" i="3" s="1"/>
  <c r="G456" i="3"/>
  <c r="L456" i="3" s="1"/>
  <c r="G457" i="3"/>
  <c r="L457" i="3" s="1"/>
  <c r="G458" i="3"/>
  <c r="L458" i="3" s="1"/>
  <c r="G459" i="3"/>
  <c r="L459" i="3" s="1"/>
  <c r="G460" i="3"/>
  <c r="L460" i="3" s="1"/>
  <c r="G461" i="3"/>
  <c r="L461" i="3" s="1"/>
  <c r="G462" i="3"/>
  <c r="L462" i="3" s="1"/>
  <c r="G463" i="3"/>
  <c r="G464" i="3"/>
  <c r="L464" i="3" s="1"/>
  <c r="G465" i="3"/>
  <c r="L465" i="3" s="1"/>
  <c r="G466" i="3"/>
  <c r="L466" i="3" s="1"/>
  <c r="G467" i="3"/>
  <c r="L467" i="3" s="1"/>
  <c r="G468" i="3"/>
  <c r="L468" i="3" s="1"/>
  <c r="G469" i="3"/>
  <c r="L469" i="3" s="1"/>
  <c r="G470" i="3"/>
  <c r="L470" i="3" s="1"/>
  <c r="G471" i="3"/>
  <c r="G472" i="3"/>
  <c r="L472" i="3" s="1"/>
  <c r="G473" i="3"/>
  <c r="L473" i="3" s="1"/>
  <c r="G474" i="3"/>
  <c r="L474" i="3" s="1"/>
  <c r="G475" i="3"/>
  <c r="L475" i="3" s="1"/>
  <c r="G476" i="3"/>
  <c r="L476" i="3" s="1"/>
  <c r="G477" i="3"/>
  <c r="L477" i="3" s="1"/>
  <c r="G478" i="3"/>
  <c r="L478" i="3" s="1"/>
  <c r="G479" i="3"/>
  <c r="L479" i="3" s="1"/>
  <c r="G480" i="3"/>
  <c r="L480" i="3" s="1"/>
  <c r="G481" i="3"/>
  <c r="G482" i="3"/>
  <c r="L482" i="3" s="1"/>
  <c r="G483" i="3"/>
  <c r="L483" i="3" s="1"/>
  <c r="G484" i="3"/>
  <c r="L484" i="3" s="1"/>
  <c r="G485" i="3"/>
  <c r="L485" i="3" s="1"/>
  <c r="G486" i="3"/>
  <c r="L486" i="3" s="1"/>
  <c r="G487" i="3"/>
  <c r="L487" i="3" s="1"/>
  <c r="G488" i="3"/>
  <c r="L488" i="3" s="1"/>
  <c r="G489" i="3"/>
  <c r="G490" i="3"/>
  <c r="L490" i="3" s="1"/>
  <c r="G491" i="3"/>
  <c r="L491" i="3" s="1"/>
  <c r="G492" i="3"/>
  <c r="L492" i="3" s="1"/>
  <c r="G493" i="3"/>
  <c r="L493" i="3" s="1"/>
  <c r="G494" i="3"/>
  <c r="L494" i="3" s="1"/>
  <c r="G495" i="3"/>
  <c r="L495" i="3" s="1"/>
  <c r="G496" i="3"/>
  <c r="L496" i="3" s="1"/>
  <c r="G497" i="3"/>
  <c r="L497" i="3" s="1"/>
  <c r="G498" i="3"/>
  <c r="L498" i="3" s="1"/>
  <c r="G499" i="3"/>
  <c r="G500" i="3"/>
  <c r="L500" i="3" s="1"/>
  <c r="G501" i="3"/>
  <c r="L501" i="3" s="1"/>
  <c r="F2" i="3"/>
  <c r="K2" i="3" s="1"/>
  <c r="T2" i="3" s="1"/>
  <c r="F3" i="3"/>
  <c r="K3" i="3" s="1"/>
  <c r="T3" i="3" s="1"/>
  <c r="F4" i="3"/>
  <c r="K4" i="3" s="1"/>
  <c r="T4" i="3" s="1"/>
  <c r="F5" i="3"/>
  <c r="K5" i="3" s="1"/>
  <c r="T5" i="3" s="1"/>
  <c r="F6" i="3"/>
  <c r="K6" i="3" s="1"/>
  <c r="T6" i="3" s="1"/>
  <c r="F7" i="3"/>
  <c r="K7" i="3" s="1"/>
  <c r="T7" i="3" s="1"/>
  <c r="F8" i="3"/>
  <c r="K8" i="3" s="1"/>
  <c r="T8" i="3" s="1"/>
  <c r="F9" i="3"/>
  <c r="K9" i="3" s="1"/>
  <c r="T9" i="3" s="1"/>
  <c r="F10" i="3"/>
  <c r="K10" i="3" s="1"/>
  <c r="T10" i="3" s="1"/>
  <c r="F11" i="3"/>
  <c r="K11" i="3" s="1"/>
  <c r="T11" i="3" s="1"/>
  <c r="F12" i="3"/>
  <c r="K12" i="3" s="1"/>
  <c r="T12" i="3" s="1"/>
  <c r="F13" i="3"/>
  <c r="K13" i="3" s="1"/>
  <c r="T13" i="3" s="1"/>
  <c r="F14" i="3"/>
  <c r="K14" i="3" s="1"/>
  <c r="T14" i="3" s="1"/>
  <c r="F15" i="3"/>
  <c r="K15" i="3" s="1"/>
  <c r="T15" i="3" s="1"/>
  <c r="F16" i="3"/>
  <c r="K16" i="3" s="1"/>
  <c r="T16" i="3" s="1"/>
  <c r="F17" i="3"/>
  <c r="K17" i="3" s="1"/>
  <c r="T17" i="3" s="1"/>
  <c r="F18" i="3"/>
  <c r="K18" i="3" s="1"/>
  <c r="T18" i="3" s="1"/>
  <c r="F19" i="3"/>
  <c r="K19" i="3" s="1"/>
  <c r="T19" i="3" s="1"/>
  <c r="F20" i="3"/>
  <c r="K20" i="3" s="1"/>
  <c r="T20" i="3" s="1"/>
  <c r="F21" i="3"/>
  <c r="K21" i="3" s="1"/>
  <c r="T21" i="3" s="1"/>
  <c r="F22" i="3"/>
  <c r="K22" i="3" s="1"/>
  <c r="T22" i="3" s="1"/>
  <c r="F23" i="3"/>
  <c r="K23" i="3" s="1"/>
  <c r="T23" i="3" s="1"/>
  <c r="F24" i="3"/>
  <c r="K24" i="3" s="1"/>
  <c r="T24" i="3" s="1"/>
  <c r="F25" i="3"/>
  <c r="K25" i="3" s="1"/>
  <c r="T25" i="3" s="1"/>
  <c r="F26" i="3"/>
  <c r="K26" i="3" s="1"/>
  <c r="T26" i="3" s="1"/>
  <c r="F27" i="3"/>
  <c r="K27" i="3" s="1"/>
  <c r="T27" i="3" s="1"/>
  <c r="F28" i="3"/>
  <c r="K28" i="3" s="1"/>
  <c r="T28" i="3" s="1"/>
  <c r="F29" i="3"/>
  <c r="F30" i="3"/>
  <c r="K30" i="3" s="1"/>
  <c r="T30" i="3" s="1"/>
  <c r="F31" i="3"/>
  <c r="K31" i="3" s="1"/>
  <c r="T31" i="3" s="1"/>
  <c r="F32" i="3"/>
  <c r="K32" i="3" s="1"/>
  <c r="T32" i="3" s="1"/>
  <c r="F33" i="3"/>
  <c r="K33" i="3" s="1"/>
  <c r="T33" i="3" s="1"/>
  <c r="F34" i="3"/>
  <c r="K34" i="3" s="1"/>
  <c r="T34" i="3" s="1"/>
  <c r="F35" i="3"/>
  <c r="K35" i="3" s="1"/>
  <c r="T35" i="3" s="1"/>
  <c r="F36" i="3"/>
  <c r="K36" i="3" s="1"/>
  <c r="T36" i="3" s="1"/>
  <c r="F37" i="3"/>
  <c r="K37" i="3" s="1"/>
  <c r="T37" i="3" s="1"/>
  <c r="F38" i="3"/>
  <c r="K38" i="3" s="1"/>
  <c r="T38" i="3" s="1"/>
  <c r="F39" i="3"/>
  <c r="K39" i="3" s="1"/>
  <c r="T39" i="3" s="1"/>
  <c r="F40" i="3"/>
  <c r="K40" i="3" s="1"/>
  <c r="T40" i="3" s="1"/>
  <c r="F41" i="3"/>
  <c r="K41" i="3" s="1"/>
  <c r="T41" i="3" s="1"/>
  <c r="F42" i="3"/>
  <c r="K42" i="3" s="1"/>
  <c r="T42" i="3" s="1"/>
  <c r="F43" i="3"/>
  <c r="K43" i="3" s="1"/>
  <c r="T43" i="3" s="1"/>
  <c r="F44" i="3"/>
  <c r="K44" i="3" s="1"/>
  <c r="T44" i="3" s="1"/>
  <c r="F45" i="3"/>
  <c r="K45" i="3" s="1"/>
  <c r="T45" i="3" s="1"/>
  <c r="F46" i="3"/>
  <c r="K46" i="3" s="1"/>
  <c r="T46" i="3" s="1"/>
  <c r="F47" i="3"/>
  <c r="K47" i="3" s="1"/>
  <c r="T47" i="3" s="1"/>
  <c r="F48" i="3"/>
  <c r="K48" i="3" s="1"/>
  <c r="T48" i="3" s="1"/>
  <c r="F49" i="3"/>
  <c r="K49" i="3" s="1"/>
  <c r="T49" i="3" s="1"/>
  <c r="F50" i="3"/>
  <c r="K50" i="3" s="1"/>
  <c r="T50" i="3" s="1"/>
  <c r="F51" i="3"/>
  <c r="K51" i="3" s="1"/>
  <c r="T51" i="3" s="1"/>
  <c r="F52" i="3"/>
  <c r="K52" i="3" s="1"/>
  <c r="T52" i="3" s="1"/>
  <c r="F53" i="3"/>
  <c r="K53" i="3" s="1"/>
  <c r="T53" i="3" s="1"/>
  <c r="F54" i="3"/>
  <c r="K54" i="3" s="1"/>
  <c r="T54" i="3" s="1"/>
  <c r="F55" i="3"/>
  <c r="K55" i="3" s="1"/>
  <c r="T55" i="3" s="1"/>
  <c r="F56" i="3"/>
  <c r="K56" i="3" s="1"/>
  <c r="T56" i="3" s="1"/>
  <c r="F57" i="3"/>
  <c r="K57" i="3" s="1"/>
  <c r="T57" i="3" s="1"/>
  <c r="F58" i="3"/>
  <c r="K58" i="3" s="1"/>
  <c r="T58" i="3" s="1"/>
  <c r="F59" i="3"/>
  <c r="K59" i="3" s="1"/>
  <c r="T59" i="3" s="1"/>
  <c r="F60" i="3"/>
  <c r="K60" i="3" s="1"/>
  <c r="T60" i="3" s="1"/>
  <c r="F61" i="3"/>
  <c r="K61" i="3" s="1"/>
  <c r="T61" i="3" s="1"/>
  <c r="F62" i="3"/>
  <c r="K62" i="3" s="1"/>
  <c r="T62" i="3" s="1"/>
  <c r="F63" i="3"/>
  <c r="K63" i="3" s="1"/>
  <c r="T63" i="3" s="1"/>
  <c r="F64" i="3"/>
  <c r="K64" i="3" s="1"/>
  <c r="T64" i="3" s="1"/>
  <c r="F65" i="3"/>
  <c r="K65" i="3" s="1"/>
  <c r="T65" i="3" s="1"/>
  <c r="F66" i="3"/>
  <c r="K66" i="3" s="1"/>
  <c r="T66" i="3" s="1"/>
  <c r="F67" i="3"/>
  <c r="K67" i="3" s="1"/>
  <c r="T67" i="3" s="1"/>
  <c r="F68" i="3"/>
  <c r="K68" i="3" s="1"/>
  <c r="T68" i="3" s="1"/>
  <c r="F69" i="3"/>
  <c r="K69" i="3" s="1"/>
  <c r="T69" i="3" s="1"/>
  <c r="F70" i="3"/>
  <c r="K70" i="3" s="1"/>
  <c r="T70" i="3" s="1"/>
  <c r="F71" i="3"/>
  <c r="K71" i="3" s="1"/>
  <c r="T71" i="3" s="1"/>
  <c r="F72" i="3"/>
  <c r="K72" i="3" s="1"/>
  <c r="T72" i="3" s="1"/>
  <c r="F73" i="3"/>
  <c r="K73" i="3" s="1"/>
  <c r="T73" i="3" s="1"/>
  <c r="F74" i="3"/>
  <c r="K74" i="3" s="1"/>
  <c r="T74" i="3" s="1"/>
  <c r="F75" i="3"/>
  <c r="K75" i="3" s="1"/>
  <c r="T75" i="3" s="1"/>
  <c r="F76" i="3"/>
  <c r="K76" i="3" s="1"/>
  <c r="T76" i="3" s="1"/>
  <c r="F77" i="3"/>
  <c r="K77" i="3" s="1"/>
  <c r="T77" i="3" s="1"/>
  <c r="F78" i="3"/>
  <c r="K78" i="3" s="1"/>
  <c r="T78" i="3" s="1"/>
  <c r="F79" i="3"/>
  <c r="K79" i="3" s="1"/>
  <c r="T79" i="3" s="1"/>
  <c r="F80" i="3"/>
  <c r="K80" i="3" s="1"/>
  <c r="T80" i="3" s="1"/>
  <c r="F81" i="3"/>
  <c r="K81" i="3" s="1"/>
  <c r="T81" i="3" s="1"/>
  <c r="F82" i="3"/>
  <c r="K82" i="3" s="1"/>
  <c r="T82" i="3" s="1"/>
  <c r="F83" i="3"/>
  <c r="K83" i="3" s="1"/>
  <c r="T83" i="3" s="1"/>
  <c r="F84" i="3"/>
  <c r="K84" i="3" s="1"/>
  <c r="T84" i="3" s="1"/>
  <c r="F85" i="3"/>
  <c r="K85" i="3" s="1"/>
  <c r="T85" i="3" s="1"/>
  <c r="F86" i="3"/>
  <c r="K86" i="3" s="1"/>
  <c r="T86" i="3" s="1"/>
  <c r="F87" i="3"/>
  <c r="K87" i="3" s="1"/>
  <c r="T87" i="3" s="1"/>
  <c r="F88" i="3"/>
  <c r="K88" i="3" s="1"/>
  <c r="T88" i="3" s="1"/>
  <c r="F89" i="3"/>
  <c r="K89" i="3" s="1"/>
  <c r="T89" i="3" s="1"/>
  <c r="F90" i="3"/>
  <c r="K90" i="3" s="1"/>
  <c r="T90" i="3" s="1"/>
  <c r="F91" i="3"/>
  <c r="K91" i="3" s="1"/>
  <c r="T91" i="3" s="1"/>
  <c r="F92" i="3"/>
  <c r="K92" i="3" s="1"/>
  <c r="T92" i="3" s="1"/>
  <c r="F93" i="3"/>
  <c r="K93" i="3" s="1"/>
  <c r="T93" i="3" s="1"/>
  <c r="F94" i="3"/>
  <c r="K94" i="3" s="1"/>
  <c r="T94" i="3" s="1"/>
  <c r="F95" i="3"/>
  <c r="K95" i="3" s="1"/>
  <c r="T95" i="3" s="1"/>
  <c r="F96" i="3"/>
  <c r="K96" i="3" s="1"/>
  <c r="T96" i="3" s="1"/>
  <c r="F97" i="3"/>
  <c r="K97" i="3" s="1"/>
  <c r="T97" i="3" s="1"/>
  <c r="F98" i="3"/>
  <c r="K98" i="3" s="1"/>
  <c r="T98" i="3" s="1"/>
  <c r="F99" i="3"/>
  <c r="K99" i="3" s="1"/>
  <c r="T99" i="3" s="1"/>
  <c r="F100" i="3"/>
  <c r="K100" i="3" s="1"/>
  <c r="T100" i="3" s="1"/>
  <c r="F101" i="3"/>
  <c r="K101" i="3" s="1"/>
  <c r="T101" i="3" s="1"/>
  <c r="F102" i="3"/>
  <c r="K102" i="3" s="1"/>
  <c r="T102" i="3" s="1"/>
  <c r="F103" i="3"/>
  <c r="K103" i="3" s="1"/>
  <c r="T103" i="3" s="1"/>
  <c r="F104" i="3"/>
  <c r="K104" i="3" s="1"/>
  <c r="T104" i="3" s="1"/>
  <c r="F105" i="3"/>
  <c r="K105" i="3" s="1"/>
  <c r="T105" i="3" s="1"/>
  <c r="F106" i="3"/>
  <c r="K106" i="3" s="1"/>
  <c r="T106" i="3" s="1"/>
  <c r="F107" i="3"/>
  <c r="K107" i="3" s="1"/>
  <c r="T107" i="3" s="1"/>
  <c r="F108" i="3"/>
  <c r="K108" i="3" s="1"/>
  <c r="T108" i="3" s="1"/>
  <c r="F109" i="3"/>
  <c r="K109" i="3" s="1"/>
  <c r="T109" i="3" s="1"/>
  <c r="F110" i="3"/>
  <c r="K110" i="3" s="1"/>
  <c r="T110" i="3" s="1"/>
  <c r="F111" i="3"/>
  <c r="K111" i="3" s="1"/>
  <c r="T111" i="3" s="1"/>
  <c r="F112" i="3"/>
  <c r="K112" i="3" s="1"/>
  <c r="T112" i="3" s="1"/>
  <c r="F113" i="3"/>
  <c r="K113" i="3" s="1"/>
  <c r="T113" i="3" s="1"/>
  <c r="F114" i="3"/>
  <c r="K114" i="3" s="1"/>
  <c r="T114" i="3" s="1"/>
  <c r="F115" i="3"/>
  <c r="K115" i="3" s="1"/>
  <c r="T115" i="3" s="1"/>
  <c r="F116" i="3"/>
  <c r="K116" i="3" s="1"/>
  <c r="T116" i="3" s="1"/>
  <c r="F117" i="3"/>
  <c r="K117" i="3" s="1"/>
  <c r="T117" i="3" s="1"/>
  <c r="F118" i="3"/>
  <c r="K118" i="3" s="1"/>
  <c r="T118" i="3" s="1"/>
  <c r="F119" i="3"/>
  <c r="K119" i="3" s="1"/>
  <c r="T119" i="3" s="1"/>
  <c r="F120" i="3"/>
  <c r="K120" i="3" s="1"/>
  <c r="T120" i="3" s="1"/>
  <c r="F121" i="3"/>
  <c r="K121" i="3" s="1"/>
  <c r="T121" i="3" s="1"/>
  <c r="F122" i="3"/>
  <c r="K122" i="3" s="1"/>
  <c r="T122" i="3" s="1"/>
  <c r="F123" i="3"/>
  <c r="K123" i="3" s="1"/>
  <c r="T123" i="3" s="1"/>
  <c r="F124" i="3"/>
  <c r="K124" i="3" s="1"/>
  <c r="T124" i="3" s="1"/>
  <c r="F125" i="3"/>
  <c r="K125" i="3" s="1"/>
  <c r="T125" i="3" s="1"/>
  <c r="F126" i="3"/>
  <c r="K126" i="3" s="1"/>
  <c r="T126" i="3" s="1"/>
  <c r="F127" i="3"/>
  <c r="K127" i="3" s="1"/>
  <c r="T127" i="3" s="1"/>
  <c r="F128" i="3"/>
  <c r="K128" i="3" s="1"/>
  <c r="T128" i="3" s="1"/>
  <c r="F129" i="3"/>
  <c r="K129" i="3" s="1"/>
  <c r="T129" i="3" s="1"/>
  <c r="F130" i="3"/>
  <c r="K130" i="3" s="1"/>
  <c r="T130" i="3" s="1"/>
  <c r="F131" i="3"/>
  <c r="K131" i="3" s="1"/>
  <c r="T131" i="3" s="1"/>
  <c r="F132" i="3"/>
  <c r="K132" i="3" s="1"/>
  <c r="T132" i="3" s="1"/>
  <c r="F133" i="3"/>
  <c r="K133" i="3" s="1"/>
  <c r="T133" i="3" s="1"/>
  <c r="F134" i="3"/>
  <c r="K134" i="3" s="1"/>
  <c r="T134" i="3" s="1"/>
  <c r="F135" i="3"/>
  <c r="K135" i="3" s="1"/>
  <c r="T135" i="3" s="1"/>
  <c r="F136" i="3"/>
  <c r="K136" i="3" s="1"/>
  <c r="T136" i="3" s="1"/>
  <c r="F137" i="3"/>
  <c r="K137" i="3" s="1"/>
  <c r="T137" i="3" s="1"/>
  <c r="F138" i="3"/>
  <c r="K138" i="3" s="1"/>
  <c r="T138" i="3" s="1"/>
  <c r="F139" i="3"/>
  <c r="K139" i="3" s="1"/>
  <c r="T139" i="3" s="1"/>
  <c r="F140" i="3"/>
  <c r="K140" i="3" s="1"/>
  <c r="T140" i="3" s="1"/>
  <c r="F141" i="3"/>
  <c r="K141" i="3" s="1"/>
  <c r="T141" i="3" s="1"/>
  <c r="F142" i="3"/>
  <c r="K142" i="3" s="1"/>
  <c r="T142" i="3" s="1"/>
  <c r="F143" i="3"/>
  <c r="K143" i="3" s="1"/>
  <c r="T143" i="3" s="1"/>
  <c r="F144" i="3"/>
  <c r="K144" i="3" s="1"/>
  <c r="T144" i="3" s="1"/>
  <c r="F145" i="3"/>
  <c r="K145" i="3" s="1"/>
  <c r="T145" i="3" s="1"/>
  <c r="F146" i="3"/>
  <c r="K146" i="3" s="1"/>
  <c r="T146" i="3" s="1"/>
  <c r="F147" i="3"/>
  <c r="K147" i="3" s="1"/>
  <c r="T147" i="3" s="1"/>
  <c r="F148" i="3"/>
  <c r="K148" i="3" s="1"/>
  <c r="T148" i="3" s="1"/>
  <c r="F149" i="3"/>
  <c r="K149" i="3" s="1"/>
  <c r="T149" i="3" s="1"/>
  <c r="F150" i="3"/>
  <c r="K150" i="3" s="1"/>
  <c r="T150" i="3" s="1"/>
  <c r="F151" i="3"/>
  <c r="K151" i="3" s="1"/>
  <c r="T151" i="3" s="1"/>
  <c r="F152" i="3"/>
  <c r="K152" i="3" s="1"/>
  <c r="T152" i="3" s="1"/>
  <c r="F153" i="3"/>
  <c r="K153" i="3" s="1"/>
  <c r="T153" i="3" s="1"/>
  <c r="F154" i="3"/>
  <c r="K154" i="3" s="1"/>
  <c r="T154" i="3" s="1"/>
  <c r="F155" i="3"/>
  <c r="K155" i="3" s="1"/>
  <c r="T155" i="3" s="1"/>
  <c r="F156" i="3"/>
  <c r="K156" i="3" s="1"/>
  <c r="T156" i="3" s="1"/>
  <c r="F157" i="3"/>
  <c r="K157" i="3" s="1"/>
  <c r="T157" i="3" s="1"/>
  <c r="F158" i="3"/>
  <c r="K158" i="3" s="1"/>
  <c r="T158" i="3" s="1"/>
  <c r="F159" i="3"/>
  <c r="K159" i="3" s="1"/>
  <c r="T159" i="3" s="1"/>
  <c r="F160" i="3"/>
  <c r="K160" i="3" s="1"/>
  <c r="T160" i="3" s="1"/>
  <c r="F161" i="3"/>
  <c r="K161" i="3" s="1"/>
  <c r="T161" i="3" s="1"/>
  <c r="F162" i="3"/>
  <c r="K162" i="3" s="1"/>
  <c r="T162" i="3" s="1"/>
  <c r="F163" i="3"/>
  <c r="K163" i="3" s="1"/>
  <c r="T163" i="3" s="1"/>
  <c r="F164" i="3"/>
  <c r="K164" i="3" s="1"/>
  <c r="T164" i="3" s="1"/>
  <c r="F165" i="3"/>
  <c r="K165" i="3" s="1"/>
  <c r="T165" i="3" s="1"/>
  <c r="F166" i="3"/>
  <c r="K166" i="3" s="1"/>
  <c r="T166" i="3" s="1"/>
  <c r="F167" i="3"/>
  <c r="K167" i="3" s="1"/>
  <c r="T167" i="3" s="1"/>
  <c r="F168" i="3"/>
  <c r="K168" i="3" s="1"/>
  <c r="T168" i="3" s="1"/>
  <c r="F169" i="3"/>
  <c r="K169" i="3" s="1"/>
  <c r="T169" i="3" s="1"/>
  <c r="F170" i="3"/>
  <c r="K170" i="3" s="1"/>
  <c r="T170" i="3" s="1"/>
  <c r="F171" i="3"/>
  <c r="K171" i="3" s="1"/>
  <c r="T171" i="3" s="1"/>
  <c r="F172" i="3"/>
  <c r="K172" i="3" s="1"/>
  <c r="T172" i="3" s="1"/>
  <c r="F173" i="3"/>
  <c r="K173" i="3" s="1"/>
  <c r="T173" i="3" s="1"/>
  <c r="F174" i="3"/>
  <c r="K174" i="3" s="1"/>
  <c r="T174" i="3" s="1"/>
  <c r="F175" i="3"/>
  <c r="K175" i="3" s="1"/>
  <c r="T175" i="3" s="1"/>
  <c r="F176" i="3"/>
  <c r="K176" i="3" s="1"/>
  <c r="T176" i="3" s="1"/>
  <c r="F177" i="3"/>
  <c r="K177" i="3" s="1"/>
  <c r="T177" i="3" s="1"/>
  <c r="F178" i="3"/>
  <c r="K178" i="3" s="1"/>
  <c r="T178" i="3" s="1"/>
  <c r="F179" i="3"/>
  <c r="K179" i="3" s="1"/>
  <c r="T179" i="3" s="1"/>
  <c r="F180" i="3"/>
  <c r="K180" i="3" s="1"/>
  <c r="T180" i="3" s="1"/>
  <c r="F181" i="3"/>
  <c r="K181" i="3" s="1"/>
  <c r="T181" i="3" s="1"/>
  <c r="F182" i="3"/>
  <c r="K182" i="3" s="1"/>
  <c r="T182" i="3" s="1"/>
  <c r="F183" i="3"/>
  <c r="K183" i="3" s="1"/>
  <c r="T183" i="3" s="1"/>
  <c r="F184" i="3"/>
  <c r="K184" i="3" s="1"/>
  <c r="T184" i="3" s="1"/>
  <c r="F185" i="3"/>
  <c r="K185" i="3" s="1"/>
  <c r="T185" i="3" s="1"/>
  <c r="F186" i="3"/>
  <c r="K186" i="3" s="1"/>
  <c r="T186" i="3" s="1"/>
  <c r="F187" i="3"/>
  <c r="K187" i="3" s="1"/>
  <c r="T187" i="3" s="1"/>
  <c r="F188" i="3"/>
  <c r="K188" i="3" s="1"/>
  <c r="T188" i="3" s="1"/>
  <c r="F189" i="3"/>
  <c r="K189" i="3" s="1"/>
  <c r="T189" i="3" s="1"/>
  <c r="F190" i="3"/>
  <c r="K190" i="3" s="1"/>
  <c r="T190" i="3" s="1"/>
  <c r="F191" i="3"/>
  <c r="K191" i="3" s="1"/>
  <c r="T191" i="3" s="1"/>
  <c r="F192" i="3"/>
  <c r="K192" i="3" s="1"/>
  <c r="T192" i="3" s="1"/>
  <c r="F193" i="3"/>
  <c r="K193" i="3" s="1"/>
  <c r="T193" i="3" s="1"/>
  <c r="F194" i="3"/>
  <c r="K194" i="3" s="1"/>
  <c r="T194" i="3" s="1"/>
  <c r="F195" i="3"/>
  <c r="K195" i="3" s="1"/>
  <c r="T195" i="3" s="1"/>
  <c r="F196" i="3"/>
  <c r="K196" i="3" s="1"/>
  <c r="T196" i="3" s="1"/>
  <c r="F197" i="3"/>
  <c r="K197" i="3" s="1"/>
  <c r="T197" i="3" s="1"/>
  <c r="F198" i="3"/>
  <c r="K198" i="3" s="1"/>
  <c r="T198" i="3" s="1"/>
  <c r="F199" i="3"/>
  <c r="K199" i="3" s="1"/>
  <c r="T199" i="3" s="1"/>
  <c r="F200" i="3"/>
  <c r="K200" i="3" s="1"/>
  <c r="T200" i="3" s="1"/>
  <c r="F201" i="3"/>
  <c r="K201" i="3" s="1"/>
  <c r="T201" i="3" s="1"/>
  <c r="F202" i="3"/>
  <c r="K202" i="3" s="1"/>
  <c r="T202" i="3" s="1"/>
  <c r="F203" i="3"/>
  <c r="K203" i="3" s="1"/>
  <c r="T203" i="3" s="1"/>
  <c r="F204" i="3"/>
  <c r="K204" i="3" s="1"/>
  <c r="T204" i="3" s="1"/>
  <c r="F205" i="3"/>
  <c r="K205" i="3" s="1"/>
  <c r="T205" i="3" s="1"/>
  <c r="F206" i="3"/>
  <c r="K206" i="3" s="1"/>
  <c r="T206" i="3" s="1"/>
  <c r="F207" i="3"/>
  <c r="K207" i="3" s="1"/>
  <c r="T207" i="3" s="1"/>
  <c r="F208" i="3"/>
  <c r="K208" i="3" s="1"/>
  <c r="T208" i="3" s="1"/>
  <c r="F209" i="3"/>
  <c r="K209" i="3" s="1"/>
  <c r="T209" i="3" s="1"/>
  <c r="F210" i="3"/>
  <c r="K210" i="3" s="1"/>
  <c r="T210" i="3" s="1"/>
  <c r="F211" i="3"/>
  <c r="K211" i="3" s="1"/>
  <c r="T211" i="3" s="1"/>
  <c r="F212" i="3"/>
  <c r="K212" i="3" s="1"/>
  <c r="T212" i="3" s="1"/>
  <c r="F213" i="3"/>
  <c r="K213" i="3" s="1"/>
  <c r="T213" i="3" s="1"/>
  <c r="F214" i="3"/>
  <c r="K214" i="3" s="1"/>
  <c r="T214" i="3" s="1"/>
  <c r="F215" i="3"/>
  <c r="K215" i="3" s="1"/>
  <c r="T215" i="3" s="1"/>
  <c r="F216" i="3"/>
  <c r="K216" i="3" s="1"/>
  <c r="T216" i="3" s="1"/>
  <c r="F217" i="3"/>
  <c r="K217" i="3" s="1"/>
  <c r="T217" i="3" s="1"/>
  <c r="F218" i="3"/>
  <c r="K218" i="3" s="1"/>
  <c r="T218" i="3" s="1"/>
  <c r="F219" i="3"/>
  <c r="K219" i="3" s="1"/>
  <c r="T219" i="3" s="1"/>
  <c r="F220" i="3"/>
  <c r="K220" i="3" s="1"/>
  <c r="T220" i="3" s="1"/>
  <c r="F221" i="3"/>
  <c r="K221" i="3" s="1"/>
  <c r="T221" i="3" s="1"/>
  <c r="F222" i="3"/>
  <c r="F223" i="3"/>
  <c r="K223" i="3" s="1"/>
  <c r="T223" i="3" s="1"/>
  <c r="F224" i="3"/>
  <c r="K224" i="3" s="1"/>
  <c r="T224" i="3" s="1"/>
  <c r="F225" i="3"/>
  <c r="K225" i="3" s="1"/>
  <c r="T225" i="3" s="1"/>
  <c r="F226" i="3"/>
  <c r="K226" i="3" s="1"/>
  <c r="T226" i="3" s="1"/>
  <c r="F227" i="3"/>
  <c r="K227" i="3" s="1"/>
  <c r="T227" i="3" s="1"/>
  <c r="F228" i="3"/>
  <c r="K228" i="3" s="1"/>
  <c r="T228" i="3" s="1"/>
  <c r="F229" i="3"/>
  <c r="K229" i="3" s="1"/>
  <c r="T229" i="3" s="1"/>
  <c r="F230" i="3"/>
  <c r="K230" i="3" s="1"/>
  <c r="T230" i="3" s="1"/>
  <c r="F231" i="3"/>
  <c r="K231" i="3" s="1"/>
  <c r="T231" i="3" s="1"/>
  <c r="F232" i="3"/>
  <c r="K232" i="3" s="1"/>
  <c r="T232" i="3" s="1"/>
  <c r="F233" i="3"/>
  <c r="K233" i="3" s="1"/>
  <c r="T233" i="3" s="1"/>
  <c r="F234" i="3"/>
  <c r="K234" i="3" s="1"/>
  <c r="T234" i="3" s="1"/>
  <c r="F235" i="3"/>
  <c r="K235" i="3" s="1"/>
  <c r="T235" i="3" s="1"/>
  <c r="F236" i="3"/>
  <c r="K236" i="3" s="1"/>
  <c r="T236" i="3" s="1"/>
  <c r="F237" i="3"/>
  <c r="K237" i="3" s="1"/>
  <c r="T237" i="3" s="1"/>
  <c r="F238" i="3"/>
  <c r="K238" i="3" s="1"/>
  <c r="T238" i="3" s="1"/>
  <c r="F239" i="3"/>
  <c r="K239" i="3" s="1"/>
  <c r="T239" i="3" s="1"/>
  <c r="F240" i="3"/>
  <c r="K240" i="3" s="1"/>
  <c r="T240" i="3" s="1"/>
  <c r="F241" i="3"/>
  <c r="K241" i="3" s="1"/>
  <c r="T241" i="3" s="1"/>
  <c r="F242" i="3"/>
  <c r="K242" i="3" s="1"/>
  <c r="T242" i="3" s="1"/>
  <c r="F243" i="3"/>
  <c r="K243" i="3" s="1"/>
  <c r="T243" i="3" s="1"/>
  <c r="F244" i="3"/>
  <c r="K244" i="3" s="1"/>
  <c r="T244" i="3" s="1"/>
  <c r="F245" i="3"/>
  <c r="K245" i="3" s="1"/>
  <c r="T245" i="3" s="1"/>
  <c r="F246" i="3"/>
  <c r="K246" i="3" s="1"/>
  <c r="T246" i="3" s="1"/>
  <c r="F247" i="3"/>
  <c r="K247" i="3" s="1"/>
  <c r="T247" i="3" s="1"/>
  <c r="F248" i="3"/>
  <c r="K248" i="3" s="1"/>
  <c r="T248" i="3" s="1"/>
  <c r="F249" i="3"/>
  <c r="K249" i="3" s="1"/>
  <c r="T249" i="3" s="1"/>
  <c r="F250" i="3"/>
  <c r="K250" i="3" s="1"/>
  <c r="T250" i="3" s="1"/>
  <c r="F251" i="3"/>
  <c r="K251" i="3" s="1"/>
  <c r="T251" i="3" s="1"/>
  <c r="F252" i="3"/>
  <c r="K252" i="3" s="1"/>
  <c r="T252" i="3" s="1"/>
  <c r="F253" i="3"/>
  <c r="K253" i="3" s="1"/>
  <c r="T253" i="3" s="1"/>
  <c r="F254" i="3"/>
  <c r="K254" i="3" s="1"/>
  <c r="T254" i="3" s="1"/>
  <c r="F255" i="3"/>
  <c r="K255" i="3" s="1"/>
  <c r="T255" i="3" s="1"/>
  <c r="F256" i="3"/>
  <c r="K256" i="3" s="1"/>
  <c r="T256" i="3" s="1"/>
  <c r="F257" i="3"/>
  <c r="K257" i="3" s="1"/>
  <c r="T257" i="3" s="1"/>
  <c r="F258" i="3"/>
  <c r="K258" i="3" s="1"/>
  <c r="T258" i="3" s="1"/>
  <c r="F259" i="3"/>
  <c r="K259" i="3" s="1"/>
  <c r="T259" i="3" s="1"/>
  <c r="F260" i="3"/>
  <c r="K260" i="3" s="1"/>
  <c r="T260" i="3" s="1"/>
  <c r="F261" i="3"/>
  <c r="K261" i="3" s="1"/>
  <c r="T261" i="3" s="1"/>
  <c r="F262" i="3"/>
  <c r="K262" i="3" s="1"/>
  <c r="T262" i="3" s="1"/>
  <c r="F263" i="3"/>
  <c r="K263" i="3" s="1"/>
  <c r="T263" i="3" s="1"/>
  <c r="F264" i="3"/>
  <c r="K264" i="3" s="1"/>
  <c r="T264" i="3" s="1"/>
  <c r="F265" i="3"/>
  <c r="K265" i="3" s="1"/>
  <c r="T265" i="3" s="1"/>
  <c r="F266" i="3"/>
  <c r="K266" i="3" s="1"/>
  <c r="T266" i="3" s="1"/>
  <c r="F267" i="3"/>
  <c r="K267" i="3" s="1"/>
  <c r="T267" i="3" s="1"/>
  <c r="F268" i="3"/>
  <c r="K268" i="3" s="1"/>
  <c r="T268" i="3" s="1"/>
  <c r="F269" i="3"/>
  <c r="K269" i="3" s="1"/>
  <c r="T269" i="3" s="1"/>
  <c r="F270" i="3"/>
  <c r="K270" i="3" s="1"/>
  <c r="T270" i="3" s="1"/>
  <c r="F271" i="3"/>
  <c r="K271" i="3" s="1"/>
  <c r="T271" i="3" s="1"/>
  <c r="F272" i="3"/>
  <c r="K272" i="3" s="1"/>
  <c r="T272" i="3" s="1"/>
  <c r="F273" i="3"/>
  <c r="K273" i="3" s="1"/>
  <c r="T273" i="3" s="1"/>
  <c r="F274" i="3"/>
  <c r="K274" i="3" s="1"/>
  <c r="T274" i="3" s="1"/>
  <c r="F275" i="3"/>
  <c r="K275" i="3" s="1"/>
  <c r="T275" i="3" s="1"/>
  <c r="F276" i="3"/>
  <c r="K276" i="3" s="1"/>
  <c r="T276" i="3" s="1"/>
  <c r="F277" i="3"/>
  <c r="K277" i="3" s="1"/>
  <c r="T277" i="3" s="1"/>
  <c r="F278" i="3"/>
  <c r="K278" i="3" s="1"/>
  <c r="T278" i="3" s="1"/>
  <c r="F279" i="3"/>
  <c r="K279" i="3" s="1"/>
  <c r="T279" i="3" s="1"/>
  <c r="F280" i="3"/>
  <c r="K280" i="3" s="1"/>
  <c r="T280" i="3" s="1"/>
  <c r="F281" i="3"/>
  <c r="K281" i="3" s="1"/>
  <c r="T281" i="3" s="1"/>
  <c r="F282" i="3"/>
  <c r="K282" i="3" s="1"/>
  <c r="T282" i="3" s="1"/>
  <c r="F283" i="3"/>
  <c r="K283" i="3" s="1"/>
  <c r="T283" i="3" s="1"/>
  <c r="F284" i="3"/>
  <c r="K284" i="3" s="1"/>
  <c r="T284" i="3" s="1"/>
  <c r="F285" i="3"/>
  <c r="K285" i="3" s="1"/>
  <c r="T285" i="3" s="1"/>
  <c r="F286" i="3"/>
  <c r="K286" i="3" s="1"/>
  <c r="T286" i="3" s="1"/>
  <c r="F287" i="3"/>
  <c r="K287" i="3" s="1"/>
  <c r="T287" i="3" s="1"/>
  <c r="F288" i="3"/>
  <c r="K288" i="3" s="1"/>
  <c r="T288" i="3" s="1"/>
  <c r="F289" i="3"/>
  <c r="K289" i="3" s="1"/>
  <c r="T289" i="3" s="1"/>
  <c r="F290" i="3"/>
  <c r="K290" i="3" s="1"/>
  <c r="T290" i="3" s="1"/>
  <c r="F291" i="3"/>
  <c r="K291" i="3" s="1"/>
  <c r="T291" i="3" s="1"/>
  <c r="F292" i="3"/>
  <c r="K292" i="3" s="1"/>
  <c r="T292" i="3" s="1"/>
  <c r="F293" i="3"/>
  <c r="K293" i="3" s="1"/>
  <c r="T293" i="3" s="1"/>
  <c r="F294" i="3"/>
  <c r="K294" i="3" s="1"/>
  <c r="T294" i="3" s="1"/>
  <c r="F295" i="3"/>
  <c r="K295" i="3" s="1"/>
  <c r="T295" i="3" s="1"/>
  <c r="F296" i="3"/>
  <c r="K296" i="3" s="1"/>
  <c r="T296" i="3" s="1"/>
  <c r="F297" i="3"/>
  <c r="K297" i="3" s="1"/>
  <c r="T297" i="3" s="1"/>
  <c r="F298" i="3"/>
  <c r="K298" i="3" s="1"/>
  <c r="T298" i="3" s="1"/>
  <c r="F299" i="3"/>
  <c r="K299" i="3" s="1"/>
  <c r="T299" i="3" s="1"/>
  <c r="F300" i="3"/>
  <c r="K300" i="3" s="1"/>
  <c r="T300" i="3" s="1"/>
  <c r="F301" i="3"/>
  <c r="K301" i="3" s="1"/>
  <c r="T301" i="3" s="1"/>
  <c r="F302" i="3"/>
  <c r="K302" i="3" s="1"/>
  <c r="T302" i="3" s="1"/>
  <c r="F303" i="3"/>
  <c r="K303" i="3" s="1"/>
  <c r="T303" i="3" s="1"/>
  <c r="F304" i="3"/>
  <c r="K304" i="3" s="1"/>
  <c r="T304" i="3" s="1"/>
  <c r="F305" i="3"/>
  <c r="K305" i="3" s="1"/>
  <c r="T305" i="3" s="1"/>
  <c r="F306" i="3"/>
  <c r="K306" i="3" s="1"/>
  <c r="T306" i="3" s="1"/>
  <c r="F307" i="3"/>
  <c r="K307" i="3" s="1"/>
  <c r="T307" i="3" s="1"/>
  <c r="F308" i="3"/>
  <c r="K308" i="3" s="1"/>
  <c r="T308" i="3" s="1"/>
  <c r="F309" i="3"/>
  <c r="K309" i="3" s="1"/>
  <c r="T309" i="3" s="1"/>
  <c r="F310" i="3"/>
  <c r="K310" i="3" s="1"/>
  <c r="T310" i="3" s="1"/>
  <c r="F311" i="3"/>
  <c r="K311" i="3" s="1"/>
  <c r="T311" i="3" s="1"/>
  <c r="F312" i="3"/>
  <c r="K312" i="3" s="1"/>
  <c r="T312" i="3" s="1"/>
  <c r="F313" i="3"/>
  <c r="K313" i="3" s="1"/>
  <c r="T313" i="3" s="1"/>
  <c r="F314" i="3"/>
  <c r="K314" i="3" s="1"/>
  <c r="T314" i="3" s="1"/>
  <c r="F315" i="3"/>
  <c r="K315" i="3" s="1"/>
  <c r="T315" i="3" s="1"/>
  <c r="F316" i="3"/>
  <c r="K316" i="3" s="1"/>
  <c r="T316" i="3" s="1"/>
  <c r="F317" i="3"/>
  <c r="K317" i="3" s="1"/>
  <c r="T317" i="3" s="1"/>
  <c r="F318" i="3"/>
  <c r="K318" i="3" s="1"/>
  <c r="T318" i="3" s="1"/>
  <c r="F319" i="3"/>
  <c r="K319" i="3" s="1"/>
  <c r="T319" i="3" s="1"/>
  <c r="F320" i="3"/>
  <c r="K320" i="3" s="1"/>
  <c r="T320" i="3" s="1"/>
  <c r="F321" i="3"/>
  <c r="K321" i="3" s="1"/>
  <c r="T321" i="3" s="1"/>
  <c r="F322" i="3"/>
  <c r="K322" i="3" s="1"/>
  <c r="T322" i="3" s="1"/>
  <c r="F323" i="3"/>
  <c r="K323" i="3" s="1"/>
  <c r="T323" i="3" s="1"/>
  <c r="F324" i="3"/>
  <c r="K324" i="3" s="1"/>
  <c r="T324" i="3" s="1"/>
  <c r="F325" i="3"/>
  <c r="K325" i="3" s="1"/>
  <c r="T325" i="3" s="1"/>
  <c r="F326" i="3"/>
  <c r="K326" i="3" s="1"/>
  <c r="T326" i="3" s="1"/>
  <c r="F327" i="3"/>
  <c r="K327" i="3" s="1"/>
  <c r="T327" i="3" s="1"/>
  <c r="F328" i="3"/>
  <c r="K328" i="3" s="1"/>
  <c r="T328" i="3" s="1"/>
  <c r="F329" i="3"/>
  <c r="K329" i="3" s="1"/>
  <c r="T329" i="3" s="1"/>
  <c r="F330" i="3"/>
  <c r="K330" i="3" s="1"/>
  <c r="T330" i="3" s="1"/>
  <c r="F331" i="3"/>
  <c r="K331" i="3" s="1"/>
  <c r="T331" i="3" s="1"/>
  <c r="F332" i="3"/>
  <c r="K332" i="3" s="1"/>
  <c r="T332" i="3" s="1"/>
  <c r="F333" i="3"/>
  <c r="K333" i="3" s="1"/>
  <c r="T333" i="3" s="1"/>
  <c r="F334" i="3"/>
  <c r="K334" i="3" s="1"/>
  <c r="T334" i="3" s="1"/>
  <c r="F335" i="3"/>
  <c r="K335" i="3" s="1"/>
  <c r="T335" i="3" s="1"/>
  <c r="F336" i="3"/>
  <c r="K336" i="3" s="1"/>
  <c r="T336" i="3" s="1"/>
  <c r="F337" i="3"/>
  <c r="K337" i="3" s="1"/>
  <c r="T337" i="3" s="1"/>
  <c r="F338" i="3"/>
  <c r="K338" i="3" s="1"/>
  <c r="T338" i="3" s="1"/>
  <c r="F339" i="3"/>
  <c r="K339" i="3" s="1"/>
  <c r="T339" i="3" s="1"/>
  <c r="F340" i="3"/>
  <c r="K340" i="3" s="1"/>
  <c r="T340" i="3" s="1"/>
  <c r="F341" i="3"/>
  <c r="K341" i="3" s="1"/>
  <c r="T341" i="3" s="1"/>
  <c r="F342" i="3"/>
  <c r="K342" i="3" s="1"/>
  <c r="T342" i="3" s="1"/>
  <c r="F343" i="3"/>
  <c r="F344" i="3"/>
  <c r="K344" i="3" s="1"/>
  <c r="T344" i="3" s="1"/>
  <c r="F345" i="3"/>
  <c r="K345" i="3" s="1"/>
  <c r="T345" i="3" s="1"/>
  <c r="F346" i="3"/>
  <c r="K346" i="3" s="1"/>
  <c r="T346" i="3" s="1"/>
  <c r="F347" i="3"/>
  <c r="K347" i="3" s="1"/>
  <c r="T347" i="3" s="1"/>
  <c r="F348" i="3"/>
  <c r="K348" i="3" s="1"/>
  <c r="T348" i="3" s="1"/>
  <c r="F349" i="3"/>
  <c r="K349" i="3" s="1"/>
  <c r="T349" i="3" s="1"/>
  <c r="F350" i="3"/>
  <c r="K350" i="3" s="1"/>
  <c r="T350" i="3" s="1"/>
  <c r="F351" i="3"/>
  <c r="K351" i="3" s="1"/>
  <c r="T351" i="3" s="1"/>
  <c r="F352" i="3"/>
  <c r="K352" i="3" s="1"/>
  <c r="T352" i="3" s="1"/>
  <c r="F353" i="3"/>
  <c r="K353" i="3" s="1"/>
  <c r="T353" i="3" s="1"/>
  <c r="F354" i="3"/>
  <c r="K354" i="3" s="1"/>
  <c r="T354" i="3" s="1"/>
  <c r="F355" i="3"/>
  <c r="K355" i="3" s="1"/>
  <c r="T355" i="3" s="1"/>
  <c r="F356" i="3"/>
  <c r="K356" i="3" s="1"/>
  <c r="T356" i="3" s="1"/>
  <c r="F357" i="3"/>
  <c r="K357" i="3" s="1"/>
  <c r="T357" i="3" s="1"/>
  <c r="F358" i="3"/>
  <c r="K358" i="3" s="1"/>
  <c r="T358" i="3" s="1"/>
  <c r="F359" i="3"/>
  <c r="K359" i="3" s="1"/>
  <c r="T359" i="3" s="1"/>
  <c r="F360" i="3"/>
  <c r="K360" i="3" s="1"/>
  <c r="T360" i="3" s="1"/>
  <c r="F361" i="3"/>
  <c r="K361" i="3" s="1"/>
  <c r="T361" i="3" s="1"/>
  <c r="F362" i="3"/>
  <c r="K362" i="3" s="1"/>
  <c r="T362" i="3" s="1"/>
  <c r="F363" i="3"/>
  <c r="K363" i="3" s="1"/>
  <c r="T363" i="3" s="1"/>
  <c r="F364" i="3"/>
  <c r="K364" i="3" s="1"/>
  <c r="T364" i="3" s="1"/>
  <c r="F365" i="3"/>
  <c r="K365" i="3" s="1"/>
  <c r="T365" i="3" s="1"/>
  <c r="F366" i="3"/>
  <c r="K366" i="3" s="1"/>
  <c r="T366" i="3" s="1"/>
  <c r="F367" i="3"/>
  <c r="K367" i="3" s="1"/>
  <c r="T367" i="3" s="1"/>
  <c r="F368" i="3"/>
  <c r="K368" i="3" s="1"/>
  <c r="T368" i="3" s="1"/>
  <c r="F369" i="3"/>
  <c r="K369" i="3" s="1"/>
  <c r="T369" i="3" s="1"/>
  <c r="F370" i="3"/>
  <c r="K370" i="3" s="1"/>
  <c r="T370" i="3" s="1"/>
  <c r="F371" i="3"/>
  <c r="K371" i="3" s="1"/>
  <c r="T371" i="3" s="1"/>
  <c r="F372" i="3"/>
  <c r="K372" i="3" s="1"/>
  <c r="T372" i="3" s="1"/>
  <c r="F373" i="3"/>
  <c r="K373" i="3" s="1"/>
  <c r="T373" i="3" s="1"/>
  <c r="F374" i="3"/>
  <c r="K374" i="3" s="1"/>
  <c r="T374" i="3" s="1"/>
  <c r="F375" i="3"/>
  <c r="K375" i="3" s="1"/>
  <c r="T375" i="3" s="1"/>
  <c r="F376" i="3"/>
  <c r="K376" i="3" s="1"/>
  <c r="T376" i="3" s="1"/>
  <c r="F377" i="3"/>
  <c r="K377" i="3" s="1"/>
  <c r="T377" i="3" s="1"/>
  <c r="F378" i="3"/>
  <c r="K378" i="3" s="1"/>
  <c r="T378" i="3" s="1"/>
  <c r="F379" i="3"/>
  <c r="K379" i="3" s="1"/>
  <c r="T379" i="3" s="1"/>
  <c r="F380" i="3"/>
  <c r="K380" i="3" s="1"/>
  <c r="T380" i="3" s="1"/>
  <c r="F381" i="3"/>
  <c r="K381" i="3" s="1"/>
  <c r="T381" i="3" s="1"/>
  <c r="F382" i="3"/>
  <c r="K382" i="3" s="1"/>
  <c r="T382" i="3" s="1"/>
  <c r="F383" i="3"/>
  <c r="K383" i="3" s="1"/>
  <c r="T383" i="3" s="1"/>
  <c r="F384" i="3"/>
  <c r="K384" i="3" s="1"/>
  <c r="T384" i="3" s="1"/>
  <c r="F385" i="3"/>
  <c r="K385" i="3" s="1"/>
  <c r="T385" i="3" s="1"/>
  <c r="F386" i="3"/>
  <c r="K386" i="3" s="1"/>
  <c r="T386" i="3" s="1"/>
  <c r="F387" i="3"/>
  <c r="K387" i="3" s="1"/>
  <c r="T387" i="3" s="1"/>
  <c r="F388" i="3"/>
  <c r="K388" i="3" s="1"/>
  <c r="T388" i="3" s="1"/>
  <c r="F389" i="3"/>
  <c r="K389" i="3" s="1"/>
  <c r="T389" i="3" s="1"/>
  <c r="F390" i="3"/>
  <c r="K390" i="3" s="1"/>
  <c r="T390" i="3" s="1"/>
  <c r="F391" i="3"/>
  <c r="K391" i="3" s="1"/>
  <c r="T391" i="3" s="1"/>
  <c r="F392" i="3"/>
  <c r="K392" i="3" s="1"/>
  <c r="T392" i="3" s="1"/>
  <c r="F393" i="3"/>
  <c r="K393" i="3" s="1"/>
  <c r="T393" i="3" s="1"/>
  <c r="F394" i="3"/>
  <c r="K394" i="3" s="1"/>
  <c r="T394" i="3" s="1"/>
  <c r="F395" i="3"/>
  <c r="K395" i="3" s="1"/>
  <c r="T395" i="3" s="1"/>
  <c r="F396" i="3"/>
  <c r="K396" i="3" s="1"/>
  <c r="T396" i="3" s="1"/>
  <c r="F397" i="3"/>
  <c r="K397" i="3" s="1"/>
  <c r="T397" i="3" s="1"/>
  <c r="F398" i="3"/>
  <c r="K398" i="3" s="1"/>
  <c r="T398" i="3" s="1"/>
  <c r="F399" i="3"/>
  <c r="K399" i="3" s="1"/>
  <c r="T399" i="3" s="1"/>
  <c r="F400" i="3"/>
  <c r="K400" i="3" s="1"/>
  <c r="T400" i="3" s="1"/>
  <c r="F401" i="3"/>
  <c r="K401" i="3" s="1"/>
  <c r="T401" i="3" s="1"/>
  <c r="F402" i="3"/>
  <c r="K402" i="3" s="1"/>
  <c r="T402" i="3" s="1"/>
  <c r="F403" i="3"/>
  <c r="K403" i="3" s="1"/>
  <c r="T403" i="3" s="1"/>
  <c r="F404" i="3"/>
  <c r="K404" i="3" s="1"/>
  <c r="T404" i="3" s="1"/>
  <c r="F405" i="3"/>
  <c r="K405" i="3" s="1"/>
  <c r="T405" i="3" s="1"/>
  <c r="F406" i="3"/>
  <c r="K406" i="3" s="1"/>
  <c r="T406" i="3" s="1"/>
  <c r="F407" i="3"/>
  <c r="K407" i="3" s="1"/>
  <c r="T407" i="3" s="1"/>
  <c r="F408" i="3"/>
  <c r="K408" i="3" s="1"/>
  <c r="T408" i="3" s="1"/>
  <c r="F409" i="3"/>
  <c r="K409" i="3" s="1"/>
  <c r="T409" i="3" s="1"/>
  <c r="F410" i="3"/>
  <c r="K410" i="3" s="1"/>
  <c r="T410" i="3" s="1"/>
  <c r="F411" i="3"/>
  <c r="K411" i="3" s="1"/>
  <c r="T411" i="3" s="1"/>
  <c r="F412" i="3"/>
  <c r="K412" i="3" s="1"/>
  <c r="T412" i="3" s="1"/>
  <c r="F413" i="3"/>
  <c r="K413" i="3" s="1"/>
  <c r="T413" i="3" s="1"/>
  <c r="F414" i="3"/>
  <c r="K414" i="3" s="1"/>
  <c r="T414" i="3" s="1"/>
  <c r="F415" i="3"/>
  <c r="K415" i="3" s="1"/>
  <c r="T415" i="3" s="1"/>
  <c r="F416" i="3"/>
  <c r="K416" i="3" s="1"/>
  <c r="T416" i="3" s="1"/>
  <c r="F417" i="3"/>
  <c r="K417" i="3" s="1"/>
  <c r="T417" i="3" s="1"/>
  <c r="F418" i="3"/>
  <c r="K418" i="3" s="1"/>
  <c r="T418" i="3" s="1"/>
  <c r="F419" i="3"/>
  <c r="K419" i="3" s="1"/>
  <c r="T419" i="3" s="1"/>
  <c r="F420" i="3"/>
  <c r="K420" i="3" s="1"/>
  <c r="T420" i="3" s="1"/>
  <c r="F421" i="3"/>
  <c r="K421" i="3" s="1"/>
  <c r="T421" i="3" s="1"/>
  <c r="F422" i="3"/>
  <c r="K422" i="3" s="1"/>
  <c r="T422" i="3" s="1"/>
  <c r="F423" i="3"/>
  <c r="K423" i="3" s="1"/>
  <c r="T423" i="3" s="1"/>
  <c r="F424" i="3"/>
  <c r="K424" i="3" s="1"/>
  <c r="T424" i="3" s="1"/>
  <c r="F425" i="3"/>
  <c r="K425" i="3" s="1"/>
  <c r="T425" i="3" s="1"/>
  <c r="F426" i="3"/>
  <c r="K426" i="3" s="1"/>
  <c r="T426" i="3" s="1"/>
  <c r="F427" i="3"/>
  <c r="K427" i="3" s="1"/>
  <c r="T427" i="3" s="1"/>
  <c r="F428" i="3"/>
  <c r="K428" i="3" s="1"/>
  <c r="T428" i="3" s="1"/>
  <c r="F429" i="3"/>
  <c r="K429" i="3" s="1"/>
  <c r="T429" i="3" s="1"/>
  <c r="F430" i="3"/>
  <c r="K430" i="3" s="1"/>
  <c r="T430" i="3" s="1"/>
  <c r="F431" i="3"/>
  <c r="K431" i="3" s="1"/>
  <c r="T431" i="3" s="1"/>
  <c r="F432" i="3"/>
  <c r="K432" i="3" s="1"/>
  <c r="T432" i="3" s="1"/>
  <c r="F433" i="3"/>
  <c r="K433" i="3" s="1"/>
  <c r="T433" i="3" s="1"/>
  <c r="F434" i="3"/>
  <c r="K434" i="3" s="1"/>
  <c r="T434" i="3" s="1"/>
  <c r="F435" i="3"/>
  <c r="K435" i="3" s="1"/>
  <c r="T435" i="3" s="1"/>
  <c r="F436" i="3"/>
  <c r="K436" i="3" s="1"/>
  <c r="T436" i="3" s="1"/>
  <c r="F437" i="3"/>
  <c r="K437" i="3" s="1"/>
  <c r="T437" i="3" s="1"/>
  <c r="F438" i="3"/>
  <c r="K438" i="3" s="1"/>
  <c r="T438" i="3" s="1"/>
  <c r="F439" i="3"/>
  <c r="K439" i="3" s="1"/>
  <c r="T439" i="3" s="1"/>
  <c r="F440" i="3"/>
  <c r="K440" i="3" s="1"/>
  <c r="T440" i="3" s="1"/>
  <c r="F441" i="3"/>
  <c r="K441" i="3" s="1"/>
  <c r="T441" i="3" s="1"/>
  <c r="F442" i="3"/>
  <c r="K442" i="3" s="1"/>
  <c r="T442" i="3" s="1"/>
  <c r="F443" i="3"/>
  <c r="K443" i="3" s="1"/>
  <c r="T443" i="3" s="1"/>
  <c r="F444" i="3"/>
  <c r="K444" i="3" s="1"/>
  <c r="T444" i="3" s="1"/>
  <c r="F445" i="3"/>
  <c r="K445" i="3" s="1"/>
  <c r="T445" i="3" s="1"/>
  <c r="F446" i="3"/>
  <c r="K446" i="3" s="1"/>
  <c r="T446" i="3" s="1"/>
  <c r="F447" i="3"/>
  <c r="K447" i="3" s="1"/>
  <c r="T447" i="3" s="1"/>
  <c r="F448" i="3"/>
  <c r="K448" i="3" s="1"/>
  <c r="T448" i="3" s="1"/>
  <c r="F449" i="3"/>
  <c r="K449" i="3" s="1"/>
  <c r="T449" i="3" s="1"/>
  <c r="F450" i="3"/>
  <c r="K450" i="3" s="1"/>
  <c r="T450" i="3" s="1"/>
  <c r="F451" i="3"/>
  <c r="K451" i="3" s="1"/>
  <c r="T451" i="3" s="1"/>
  <c r="F452" i="3"/>
  <c r="K452" i="3" s="1"/>
  <c r="T452" i="3" s="1"/>
  <c r="F453" i="3"/>
  <c r="K453" i="3" s="1"/>
  <c r="T453" i="3" s="1"/>
  <c r="F454" i="3"/>
  <c r="K454" i="3" s="1"/>
  <c r="T454" i="3" s="1"/>
  <c r="F455" i="3"/>
  <c r="K455" i="3" s="1"/>
  <c r="T455" i="3" s="1"/>
  <c r="F456" i="3"/>
  <c r="K456" i="3" s="1"/>
  <c r="T456" i="3" s="1"/>
  <c r="F457" i="3"/>
  <c r="K457" i="3" s="1"/>
  <c r="T457" i="3" s="1"/>
  <c r="F458" i="3"/>
  <c r="K458" i="3" s="1"/>
  <c r="T458" i="3" s="1"/>
  <c r="F459" i="3"/>
  <c r="K459" i="3" s="1"/>
  <c r="T459" i="3" s="1"/>
  <c r="F460" i="3"/>
  <c r="K460" i="3" s="1"/>
  <c r="T460" i="3" s="1"/>
  <c r="F461" i="3"/>
  <c r="K461" i="3" s="1"/>
  <c r="T461" i="3" s="1"/>
  <c r="F462" i="3"/>
  <c r="K462" i="3" s="1"/>
  <c r="T462" i="3" s="1"/>
  <c r="F463" i="3"/>
  <c r="K463" i="3" s="1"/>
  <c r="T463" i="3" s="1"/>
  <c r="F464" i="3"/>
  <c r="F465" i="3"/>
  <c r="K465" i="3" s="1"/>
  <c r="T465" i="3" s="1"/>
  <c r="F466" i="3"/>
  <c r="K466" i="3" s="1"/>
  <c r="T466" i="3" s="1"/>
  <c r="F467" i="3"/>
  <c r="K467" i="3" s="1"/>
  <c r="T467" i="3" s="1"/>
  <c r="F468" i="3"/>
  <c r="K468" i="3" s="1"/>
  <c r="T468" i="3" s="1"/>
  <c r="F469" i="3"/>
  <c r="K469" i="3" s="1"/>
  <c r="T469" i="3" s="1"/>
  <c r="F470" i="3"/>
  <c r="K470" i="3" s="1"/>
  <c r="T470" i="3" s="1"/>
  <c r="F471" i="3"/>
  <c r="K471" i="3" s="1"/>
  <c r="T471" i="3" s="1"/>
  <c r="F472" i="3"/>
  <c r="K472" i="3" s="1"/>
  <c r="T472" i="3" s="1"/>
  <c r="F473" i="3"/>
  <c r="K473" i="3" s="1"/>
  <c r="T473" i="3" s="1"/>
  <c r="F474" i="3"/>
  <c r="K474" i="3" s="1"/>
  <c r="T474" i="3" s="1"/>
  <c r="F475" i="3"/>
  <c r="K475" i="3" s="1"/>
  <c r="T475" i="3" s="1"/>
  <c r="F476" i="3"/>
  <c r="K476" i="3" s="1"/>
  <c r="T476" i="3" s="1"/>
  <c r="F477" i="3"/>
  <c r="K477" i="3" s="1"/>
  <c r="T477" i="3" s="1"/>
  <c r="F478" i="3"/>
  <c r="K478" i="3" s="1"/>
  <c r="T478" i="3" s="1"/>
  <c r="F479" i="3"/>
  <c r="K479" i="3" s="1"/>
  <c r="T479" i="3" s="1"/>
  <c r="F480" i="3"/>
  <c r="K480" i="3" s="1"/>
  <c r="T480" i="3" s="1"/>
  <c r="F481" i="3"/>
  <c r="K481" i="3" s="1"/>
  <c r="T481" i="3" s="1"/>
  <c r="F482" i="3"/>
  <c r="K482" i="3" s="1"/>
  <c r="T482" i="3" s="1"/>
  <c r="F483" i="3"/>
  <c r="K483" i="3" s="1"/>
  <c r="T483" i="3" s="1"/>
  <c r="F484" i="3"/>
  <c r="K484" i="3" s="1"/>
  <c r="T484" i="3" s="1"/>
  <c r="F485" i="3"/>
  <c r="K485" i="3" s="1"/>
  <c r="T485" i="3" s="1"/>
  <c r="F486" i="3"/>
  <c r="K486" i="3" s="1"/>
  <c r="T486" i="3" s="1"/>
  <c r="F487" i="3"/>
  <c r="K487" i="3" s="1"/>
  <c r="T487" i="3" s="1"/>
  <c r="F488" i="3"/>
  <c r="K488" i="3" s="1"/>
  <c r="T488" i="3" s="1"/>
  <c r="F489" i="3"/>
  <c r="K489" i="3" s="1"/>
  <c r="T489" i="3" s="1"/>
  <c r="F490" i="3"/>
  <c r="K490" i="3" s="1"/>
  <c r="T490" i="3" s="1"/>
  <c r="F491" i="3"/>
  <c r="K491" i="3" s="1"/>
  <c r="T491" i="3" s="1"/>
  <c r="F492" i="3"/>
  <c r="K492" i="3" s="1"/>
  <c r="T492" i="3" s="1"/>
  <c r="F493" i="3"/>
  <c r="K493" i="3" s="1"/>
  <c r="T493" i="3" s="1"/>
  <c r="F494" i="3"/>
  <c r="K494" i="3" s="1"/>
  <c r="T494" i="3" s="1"/>
  <c r="F495" i="3"/>
  <c r="K495" i="3" s="1"/>
  <c r="T495" i="3" s="1"/>
  <c r="F496" i="3"/>
  <c r="K496" i="3" s="1"/>
  <c r="T496" i="3" s="1"/>
  <c r="F497" i="3"/>
  <c r="K497" i="3" s="1"/>
  <c r="T497" i="3" s="1"/>
  <c r="F498" i="3"/>
  <c r="K498" i="3" s="1"/>
  <c r="T498" i="3" s="1"/>
  <c r="F499" i="3"/>
  <c r="K499" i="3" s="1"/>
  <c r="T499" i="3" s="1"/>
  <c r="F500" i="3"/>
  <c r="K500" i="3" s="1"/>
  <c r="T500" i="3" s="1"/>
  <c r="F501" i="3"/>
  <c r="K501" i="3" s="1"/>
  <c r="T501" i="3" s="1"/>
  <c r="E2" i="3"/>
  <c r="E3" i="3"/>
  <c r="E4" i="3"/>
  <c r="N4" i="3" s="1"/>
  <c r="E5" i="3"/>
  <c r="N5" i="3" s="1"/>
  <c r="E6" i="3"/>
  <c r="N6" i="3" s="1"/>
  <c r="E7" i="3"/>
  <c r="N7" i="3" s="1"/>
  <c r="E8" i="3"/>
  <c r="E9" i="3"/>
  <c r="E10" i="3"/>
  <c r="N10" i="3" s="1"/>
  <c r="E11" i="3"/>
  <c r="E12" i="3"/>
  <c r="N12" i="3" s="1"/>
  <c r="E13" i="3"/>
  <c r="N13" i="3" s="1"/>
  <c r="E14" i="3"/>
  <c r="E15" i="3"/>
  <c r="E16" i="3"/>
  <c r="N16" i="3" s="1"/>
  <c r="E17" i="3"/>
  <c r="E18" i="3"/>
  <c r="N18" i="3" s="1"/>
  <c r="E19" i="3"/>
  <c r="N19" i="3" s="1"/>
  <c r="E20" i="3"/>
  <c r="E21" i="3"/>
  <c r="E22" i="3"/>
  <c r="N22" i="3" s="1"/>
  <c r="E23" i="3"/>
  <c r="E24" i="3"/>
  <c r="N24" i="3" s="1"/>
  <c r="E25" i="3"/>
  <c r="N25" i="3" s="1"/>
  <c r="E26" i="3"/>
  <c r="E27" i="3"/>
  <c r="E28" i="3"/>
  <c r="N28" i="3" s="1"/>
  <c r="E29" i="3"/>
  <c r="E30" i="3"/>
  <c r="N30" i="3" s="1"/>
  <c r="E31" i="3"/>
  <c r="N31" i="3" s="1"/>
  <c r="E32" i="3"/>
  <c r="E33" i="3"/>
  <c r="E34" i="3"/>
  <c r="N34" i="3" s="1"/>
  <c r="E35" i="3"/>
  <c r="E36" i="3"/>
  <c r="N36" i="3" s="1"/>
  <c r="E37" i="3"/>
  <c r="N37" i="3" s="1"/>
  <c r="E38" i="3"/>
  <c r="E39" i="3"/>
  <c r="E40" i="3"/>
  <c r="N40" i="3" s="1"/>
  <c r="E41" i="3"/>
  <c r="E42" i="3"/>
  <c r="N42" i="3" s="1"/>
  <c r="E43" i="3"/>
  <c r="N43" i="3" s="1"/>
  <c r="E44" i="3"/>
  <c r="E45" i="3"/>
  <c r="E46" i="3"/>
  <c r="N46" i="3" s="1"/>
  <c r="E47" i="3"/>
  <c r="E48" i="3"/>
  <c r="N48" i="3" s="1"/>
  <c r="E49" i="3"/>
  <c r="N49" i="3" s="1"/>
  <c r="E50" i="3"/>
  <c r="E51" i="3"/>
  <c r="E52" i="3"/>
  <c r="N52" i="3" s="1"/>
  <c r="E53" i="3"/>
  <c r="E54" i="3"/>
  <c r="N54" i="3" s="1"/>
  <c r="E55" i="3"/>
  <c r="N55" i="3" s="1"/>
  <c r="E56" i="3"/>
  <c r="E57" i="3"/>
  <c r="E58" i="3"/>
  <c r="N58" i="3" s="1"/>
  <c r="E59" i="3"/>
  <c r="E60" i="3"/>
  <c r="N60" i="3" s="1"/>
  <c r="E61" i="3"/>
  <c r="N61" i="3" s="1"/>
  <c r="E62" i="3"/>
  <c r="E63" i="3"/>
  <c r="E64" i="3"/>
  <c r="N64" i="3" s="1"/>
  <c r="E65" i="3"/>
  <c r="N65" i="3" s="1"/>
  <c r="E66" i="3"/>
  <c r="N66" i="3" s="1"/>
  <c r="E67" i="3"/>
  <c r="N67" i="3" s="1"/>
  <c r="E68" i="3"/>
  <c r="E69" i="3"/>
  <c r="E70" i="3"/>
  <c r="N70" i="3" s="1"/>
  <c r="E71" i="3"/>
  <c r="E72" i="3"/>
  <c r="N72" i="3" s="1"/>
  <c r="E73" i="3"/>
  <c r="N73" i="3" s="1"/>
  <c r="E74" i="3"/>
  <c r="E75" i="3"/>
  <c r="E76" i="3"/>
  <c r="N76" i="3" s="1"/>
  <c r="E77" i="3"/>
  <c r="E78" i="3"/>
  <c r="N78" i="3" s="1"/>
  <c r="E79" i="3"/>
  <c r="N79" i="3" s="1"/>
  <c r="E80" i="3"/>
  <c r="E81" i="3"/>
  <c r="E82" i="3"/>
  <c r="N82" i="3" s="1"/>
  <c r="E83" i="3"/>
  <c r="E84" i="3"/>
  <c r="N84" i="3" s="1"/>
  <c r="E85" i="3"/>
  <c r="N85" i="3" s="1"/>
  <c r="E86" i="3"/>
  <c r="E87" i="3"/>
  <c r="E88" i="3"/>
  <c r="N88" i="3" s="1"/>
  <c r="E89" i="3"/>
  <c r="E90" i="3"/>
  <c r="N90" i="3" s="1"/>
  <c r="E91" i="3"/>
  <c r="N91" i="3" s="1"/>
  <c r="E92" i="3"/>
  <c r="E93" i="3"/>
  <c r="E94" i="3"/>
  <c r="N94" i="3" s="1"/>
  <c r="E95" i="3"/>
  <c r="E96" i="3"/>
  <c r="N96" i="3" s="1"/>
  <c r="E97" i="3"/>
  <c r="N97" i="3" s="1"/>
  <c r="E98" i="3"/>
  <c r="E99" i="3"/>
  <c r="E100" i="3"/>
  <c r="N100" i="3" s="1"/>
  <c r="E101" i="3"/>
  <c r="E102" i="3"/>
  <c r="N102" i="3" s="1"/>
  <c r="E103" i="3"/>
  <c r="N103" i="3" s="1"/>
  <c r="E104" i="3"/>
  <c r="E105" i="3"/>
  <c r="E106" i="3"/>
  <c r="N106" i="3" s="1"/>
  <c r="E107" i="3"/>
  <c r="E108" i="3"/>
  <c r="N108" i="3" s="1"/>
  <c r="E109" i="3"/>
  <c r="N109" i="3" s="1"/>
  <c r="E110" i="3"/>
  <c r="E111" i="3"/>
  <c r="E112" i="3"/>
  <c r="N112" i="3" s="1"/>
  <c r="E113" i="3"/>
  <c r="E114" i="3"/>
  <c r="N114" i="3" s="1"/>
  <c r="E115" i="3"/>
  <c r="N115" i="3" s="1"/>
  <c r="E116" i="3"/>
  <c r="E117" i="3"/>
  <c r="E118" i="3"/>
  <c r="N118" i="3" s="1"/>
  <c r="E119" i="3"/>
  <c r="E120" i="3"/>
  <c r="N120" i="3" s="1"/>
  <c r="E121" i="3"/>
  <c r="N121" i="3" s="1"/>
  <c r="E122" i="3"/>
  <c r="E123" i="3"/>
  <c r="E124" i="3"/>
  <c r="N124" i="3" s="1"/>
  <c r="E125" i="3"/>
  <c r="E126" i="3"/>
  <c r="N126" i="3" s="1"/>
  <c r="E127" i="3"/>
  <c r="N127" i="3" s="1"/>
  <c r="E128" i="3"/>
  <c r="E129" i="3"/>
  <c r="E130" i="3"/>
  <c r="N130" i="3" s="1"/>
  <c r="E131" i="3"/>
  <c r="E132" i="3"/>
  <c r="N132" i="3" s="1"/>
  <c r="E133" i="3"/>
  <c r="N133" i="3" s="1"/>
  <c r="E134" i="3"/>
  <c r="E135" i="3"/>
  <c r="E136" i="3"/>
  <c r="N136" i="3" s="1"/>
  <c r="E137" i="3"/>
  <c r="E138" i="3"/>
  <c r="N138" i="3" s="1"/>
  <c r="E139" i="3"/>
  <c r="N139" i="3" s="1"/>
  <c r="E140" i="3"/>
  <c r="E141" i="3"/>
  <c r="E142" i="3"/>
  <c r="N142" i="3" s="1"/>
  <c r="E143" i="3"/>
  <c r="E144" i="3"/>
  <c r="N144" i="3" s="1"/>
  <c r="E145" i="3"/>
  <c r="N145" i="3" s="1"/>
  <c r="E146" i="3"/>
  <c r="N146" i="3" s="1"/>
  <c r="E147" i="3"/>
  <c r="E148" i="3"/>
  <c r="N148" i="3" s="1"/>
  <c r="E149" i="3"/>
  <c r="E150" i="3"/>
  <c r="N150" i="3" s="1"/>
  <c r="E151" i="3"/>
  <c r="N151" i="3" s="1"/>
  <c r="E152" i="3"/>
  <c r="E153" i="3"/>
  <c r="E154" i="3"/>
  <c r="N154" i="3" s="1"/>
  <c r="E155" i="3"/>
  <c r="E156" i="3"/>
  <c r="N156" i="3" s="1"/>
  <c r="E157" i="3"/>
  <c r="N157" i="3" s="1"/>
  <c r="E158" i="3"/>
  <c r="E159" i="3"/>
  <c r="E160" i="3"/>
  <c r="N160" i="3" s="1"/>
  <c r="E161" i="3"/>
  <c r="E162" i="3"/>
  <c r="N162" i="3" s="1"/>
  <c r="E163" i="3"/>
  <c r="N163" i="3" s="1"/>
  <c r="E164" i="3"/>
  <c r="E165" i="3"/>
  <c r="E166" i="3"/>
  <c r="N166" i="3" s="1"/>
  <c r="E167" i="3"/>
  <c r="N167" i="3" s="1"/>
  <c r="E168" i="3"/>
  <c r="N168" i="3" s="1"/>
  <c r="E169" i="3"/>
  <c r="N169" i="3" s="1"/>
  <c r="E170" i="3"/>
  <c r="E171" i="3"/>
  <c r="E172" i="3"/>
  <c r="N172" i="3" s="1"/>
  <c r="E173" i="3"/>
  <c r="E174" i="3"/>
  <c r="N174" i="3" s="1"/>
  <c r="E175" i="3"/>
  <c r="N175" i="3" s="1"/>
  <c r="E176" i="3"/>
  <c r="E177" i="3"/>
  <c r="E178" i="3"/>
  <c r="N178" i="3" s="1"/>
  <c r="E179" i="3"/>
  <c r="E180" i="3"/>
  <c r="N180" i="3" s="1"/>
  <c r="E181" i="3"/>
  <c r="N181" i="3" s="1"/>
  <c r="E182" i="3"/>
  <c r="N182" i="3" s="1"/>
  <c r="E183" i="3"/>
  <c r="E184" i="3"/>
  <c r="N184" i="3" s="1"/>
  <c r="E185" i="3"/>
  <c r="E186" i="3"/>
  <c r="N186" i="3" s="1"/>
  <c r="E187" i="3"/>
  <c r="N187" i="3" s="1"/>
  <c r="E188" i="3"/>
  <c r="E189" i="3"/>
  <c r="E190" i="3"/>
  <c r="N190" i="3" s="1"/>
  <c r="E191" i="3"/>
  <c r="E192" i="3"/>
  <c r="N192" i="3" s="1"/>
  <c r="E193" i="3"/>
  <c r="N193" i="3" s="1"/>
  <c r="E194" i="3"/>
  <c r="E195" i="3"/>
  <c r="E196" i="3"/>
  <c r="N196" i="3" s="1"/>
  <c r="E197" i="3"/>
  <c r="E198" i="3"/>
  <c r="E199" i="3"/>
  <c r="N199" i="3" s="1"/>
  <c r="E200" i="3"/>
  <c r="E201" i="3"/>
  <c r="E202" i="3"/>
  <c r="N202" i="3" s="1"/>
  <c r="E203" i="3"/>
  <c r="E204" i="3"/>
  <c r="N204" i="3" s="1"/>
  <c r="E205" i="3"/>
  <c r="N205" i="3" s="1"/>
  <c r="E206" i="3"/>
  <c r="E207" i="3"/>
  <c r="E208" i="3"/>
  <c r="N208" i="3" s="1"/>
  <c r="E209" i="3"/>
  <c r="E210" i="3"/>
  <c r="N210" i="3" s="1"/>
  <c r="E211" i="3"/>
  <c r="N211" i="3" s="1"/>
  <c r="E212" i="3"/>
  <c r="E213" i="3"/>
  <c r="E214" i="3"/>
  <c r="N214" i="3" s="1"/>
  <c r="E215" i="3"/>
  <c r="N215" i="3" s="1"/>
  <c r="E216" i="3"/>
  <c r="N216" i="3" s="1"/>
  <c r="E217" i="3"/>
  <c r="N217" i="3" s="1"/>
  <c r="E218" i="3"/>
  <c r="E219" i="3"/>
  <c r="E220" i="3"/>
  <c r="N220" i="3" s="1"/>
  <c r="E221" i="3"/>
  <c r="E222" i="3"/>
  <c r="N222" i="3" s="1"/>
  <c r="E223" i="3"/>
  <c r="N223" i="3" s="1"/>
  <c r="E224" i="3"/>
  <c r="E225" i="3"/>
  <c r="E226" i="3"/>
  <c r="N226" i="3" s="1"/>
  <c r="E227" i="3"/>
  <c r="E228" i="3"/>
  <c r="N228" i="3" s="1"/>
  <c r="E229" i="3"/>
  <c r="N229" i="3" s="1"/>
  <c r="E230" i="3"/>
  <c r="E231" i="3"/>
  <c r="E232" i="3"/>
  <c r="N232" i="3" s="1"/>
  <c r="E233" i="3"/>
  <c r="E234" i="3"/>
  <c r="N234" i="3" s="1"/>
  <c r="E235" i="3"/>
  <c r="N235" i="3" s="1"/>
  <c r="E236" i="3"/>
  <c r="E237" i="3"/>
  <c r="E238" i="3"/>
  <c r="N238" i="3" s="1"/>
  <c r="E239" i="3"/>
  <c r="E240" i="3"/>
  <c r="N240" i="3" s="1"/>
  <c r="E241" i="3"/>
  <c r="N241" i="3" s="1"/>
  <c r="E242" i="3"/>
  <c r="E243" i="3"/>
  <c r="E244" i="3"/>
  <c r="N244" i="3" s="1"/>
  <c r="E245" i="3"/>
  <c r="E246" i="3"/>
  <c r="N246" i="3" s="1"/>
  <c r="E247" i="3"/>
  <c r="N247" i="3" s="1"/>
  <c r="E248" i="3"/>
  <c r="N248" i="3" s="1"/>
  <c r="E249" i="3"/>
  <c r="E250" i="3"/>
  <c r="N250" i="3" s="1"/>
  <c r="E251" i="3"/>
  <c r="E252" i="3"/>
  <c r="N252" i="3" s="1"/>
  <c r="E253" i="3"/>
  <c r="N253" i="3" s="1"/>
  <c r="E254" i="3"/>
  <c r="E255" i="3"/>
  <c r="E256" i="3"/>
  <c r="N256" i="3" s="1"/>
  <c r="E257" i="3"/>
  <c r="E258" i="3"/>
  <c r="N258" i="3" s="1"/>
  <c r="E259" i="3"/>
  <c r="N259" i="3" s="1"/>
  <c r="E260" i="3"/>
  <c r="N260" i="3" s="1"/>
  <c r="E261" i="3"/>
  <c r="E262" i="3"/>
  <c r="N262" i="3" s="1"/>
  <c r="E263" i="3"/>
  <c r="E264" i="3"/>
  <c r="N264" i="3" s="1"/>
  <c r="E265" i="3"/>
  <c r="N265" i="3" s="1"/>
  <c r="E266" i="3"/>
  <c r="E267" i="3"/>
  <c r="E268" i="3"/>
  <c r="N268" i="3" s="1"/>
  <c r="E269" i="3"/>
  <c r="E270" i="3"/>
  <c r="N270" i="3" s="1"/>
  <c r="E271" i="3"/>
  <c r="N271" i="3" s="1"/>
  <c r="E272" i="3"/>
  <c r="E273" i="3"/>
  <c r="E274" i="3"/>
  <c r="N274" i="3" s="1"/>
  <c r="E275" i="3"/>
  <c r="E276" i="3"/>
  <c r="N276" i="3" s="1"/>
  <c r="E277" i="3"/>
  <c r="N277" i="3" s="1"/>
  <c r="E278" i="3"/>
  <c r="E279" i="3"/>
  <c r="E280" i="3"/>
  <c r="N280" i="3" s="1"/>
  <c r="E281" i="3"/>
  <c r="E282" i="3"/>
  <c r="N282" i="3" s="1"/>
  <c r="E283" i="3"/>
  <c r="N283" i="3" s="1"/>
  <c r="E284" i="3"/>
  <c r="E285" i="3"/>
  <c r="E286" i="3"/>
  <c r="N286" i="3" s="1"/>
  <c r="E287" i="3"/>
  <c r="E288" i="3"/>
  <c r="N288" i="3" s="1"/>
  <c r="E289" i="3"/>
  <c r="N289" i="3" s="1"/>
  <c r="E290" i="3"/>
  <c r="E291" i="3"/>
  <c r="E292" i="3"/>
  <c r="N292" i="3" s="1"/>
  <c r="E293" i="3"/>
  <c r="E294" i="3"/>
  <c r="N294" i="3" s="1"/>
  <c r="E295" i="3"/>
  <c r="N295" i="3" s="1"/>
  <c r="E296" i="3"/>
  <c r="E297" i="3"/>
  <c r="E298" i="3"/>
  <c r="N298" i="3" s="1"/>
  <c r="E299" i="3"/>
  <c r="E300" i="3"/>
  <c r="N300" i="3" s="1"/>
  <c r="E301" i="3"/>
  <c r="N301" i="3" s="1"/>
  <c r="E302" i="3"/>
  <c r="E303" i="3"/>
  <c r="E304" i="3"/>
  <c r="N304" i="3" s="1"/>
  <c r="E305" i="3"/>
  <c r="E306" i="3"/>
  <c r="N306" i="3" s="1"/>
  <c r="E307" i="3"/>
  <c r="N307" i="3" s="1"/>
  <c r="E308" i="3"/>
  <c r="E309" i="3"/>
  <c r="E310" i="3"/>
  <c r="N310" i="3" s="1"/>
  <c r="E311" i="3"/>
  <c r="E312" i="3"/>
  <c r="N312" i="3" s="1"/>
  <c r="E313" i="3"/>
  <c r="N313" i="3" s="1"/>
  <c r="E314" i="3"/>
  <c r="E315" i="3"/>
  <c r="E316" i="3"/>
  <c r="N316" i="3" s="1"/>
  <c r="E317" i="3"/>
  <c r="E318" i="3"/>
  <c r="N318" i="3" s="1"/>
  <c r="E319" i="3"/>
  <c r="N319" i="3" s="1"/>
  <c r="E320" i="3"/>
  <c r="E321" i="3"/>
  <c r="E322" i="3"/>
  <c r="N322" i="3" s="1"/>
  <c r="E323" i="3"/>
  <c r="E324" i="3"/>
  <c r="N324" i="3" s="1"/>
  <c r="E325" i="3"/>
  <c r="N325" i="3" s="1"/>
  <c r="E326" i="3"/>
  <c r="E327" i="3"/>
  <c r="E328" i="3"/>
  <c r="N328" i="3" s="1"/>
  <c r="E329" i="3"/>
  <c r="E330" i="3"/>
  <c r="N330" i="3" s="1"/>
  <c r="E331" i="3"/>
  <c r="N331" i="3" s="1"/>
  <c r="E332" i="3"/>
  <c r="E333" i="3"/>
  <c r="E334" i="3"/>
  <c r="N334" i="3" s="1"/>
  <c r="E335" i="3"/>
  <c r="E336" i="3"/>
  <c r="N336" i="3" s="1"/>
  <c r="E337" i="3"/>
  <c r="N337" i="3" s="1"/>
  <c r="E338" i="3"/>
  <c r="E339" i="3"/>
  <c r="E340" i="3"/>
  <c r="N340" i="3" s="1"/>
  <c r="E341" i="3"/>
  <c r="E342" i="3"/>
  <c r="N342" i="3" s="1"/>
  <c r="E343" i="3"/>
  <c r="N343" i="3" s="1"/>
  <c r="E344" i="3"/>
  <c r="E345" i="3"/>
  <c r="E346" i="3"/>
  <c r="N346" i="3" s="1"/>
  <c r="E347" i="3"/>
  <c r="N347" i="3" s="1"/>
  <c r="E348" i="3"/>
  <c r="N348" i="3" s="1"/>
  <c r="E349" i="3"/>
  <c r="N349" i="3" s="1"/>
  <c r="E350" i="3"/>
  <c r="E351" i="3"/>
  <c r="E352" i="3"/>
  <c r="N352" i="3" s="1"/>
  <c r="E353" i="3"/>
  <c r="E354" i="3"/>
  <c r="N354" i="3" s="1"/>
  <c r="E355" i="3"/>
  <c r="N355" i="3" s="1"/>
  <c r="E356" i="3"/>
  <c r="E357" i="3"/>
  <c r="E358" i="3"/>
  <c r="E359" i="3"/>
  <c r="E360" i="3"/>
  <c r="N360" i="3" s="1"/>
  <c r="E361" i="3"/>
  <c r="N361" i="3" s="1"/>
  <c r="E362" i="3"/>
  <c r="E363" i="3"/>
  <c r="E364" i="3"/>
  <c r="N364" i="3" s="1"/>
  <c r="E365" i="3"/>
  <c r="E366" i="3"/>
  <c r="N366" i="3" s="1"/>
  <c r="E367" i="3"/>
  <c r="N367" i="3" s="1"/>
  <c r="E368" i="3"/>
  <c r="E369" i="3"/>
  <c r="N369" i="3" s="1"/>
  <c r="E370" i="3"/>
  <c r="N370" i="3" s="1"/>
  <c r="E371" i="3"/>
  <c r="E372" i="3"/>
  <c r="N372" i="3" s="1"/>
  <c r="E373" i="3"/>
  <c r="N373" i="3" s="1"/>
  <c r="E374" i="3"/>
  <c r="E375" i="3"/>
  <c r="E376" i="3"/>
  <c r="N376" i="3" s="1"/>
  <c r="E377" i="3"/>
  <c r="E378" i="3"/>
  <c r="N378" i="3" s="1"/>
  <c r="E379" i="3"/>
  <c r="N379" i="3" s="1"/>
  <c r="E380" i="3"/>
  <c r="E381" i="3"/>
  <c r="E382" i="3"/>
  <c r="N382" i="3" s="1"/>
  <c r="E383" i="3"/>
  <c r="E384" i="3"/>
  <c r="N384" i="3" s="1"/>
  <c r="E385" i="3"/>
  <c r="N385" i="3" s="1"/>
  <c r="E386" i="3"/>
  <c r="E387" i="3"/>
  <c r="E388" i="3"/>
  <c r="N388" i="3" s="1"/>
  <c r="E389" i="3"/>
  <c r="E390" i="3"/>
  <c r="N390" i="3" s="1"/>
  <c r="E391" i="3"/>
  <c r="N391" i="3" s="1"/>
  <c r="E392" i="3"/>
  <c r="E393" i="3"/>
  <c r="E394" i="3"/>
  <c r="N394" i="3" s="1"/>
  <c r="E395" i="3"/>
  <c r="E396" i="3"/>
  <c r="N396" i="3" s="1"/>
  <c r="E397" i="3"/>
  <c r="N397" i="3" s="1"/>
  <c r="E398" i="3"/>
  <c r="E399" i="3"/>
  <c r="E400" i="3"/>
  <c r="N400" i="3" s="1"/>
  <c r="E401" i="3"/>
  <c r="N401" i="3" s="1"/>
  <c r="E402" i="3"/>
  <c r="N402" i="3" s="1"/>
  <c r="E403" i="3"/>
  <c r="N403" i="3" s="1"/>
  <c r="E404" i="3"/>
  <c r="E405" i="3"/>
  <c r="E406" i="3"/>
  <c r="N406" i="3" s="1"/>
  <c r="E407" i="3"/>
  <c r="E408" i="3"/>
  <c r="N408" i="3" s="1"/>
  <c r="E409" i="3"/>
  <c r="N409" i="3" s="1"/>
  <c r="E410" i="3"/>
  <c r="E411" i="3"/>
  <c r="E412" i="3"/>
  <c r="N412" i="3" s="1"/>
  <c r="E413" i="3"/>
  <c r="E414" i="3"/>
  <c r="N414" i="3" s="1"/>
  <c r="E415" i="3"/>
  <c r="N415" i="3" s="1"/>
  <c r="E416" i="3"/>
  <c r="E417" i="3"/>
  <c r="E418" i="3"/>
  <c r="N418" i="3" s="1"/>
  <c r="E419" i="3"/>
  <c r="E420" i="3"/>
  <c r="N420" i="3" s="1"/>
  <c r="E421" i="3"/>
  <c r="N421" i="3" s="1"/>
  <c r="E422" i="3"/>
  <c r="E423" i="3"/>
  <c r="E424" i="3"/>
  <c r="N424" i="3" s="1"/>
  <c r="E425" i="3"/>
  <c r="E426" i="3"/>
  <c r="N426" i="3" s="1"/>
  <c r="E427" i="3"/>
  <c r="N427" i="3" s="1"/>
  <c r="E428" i="3"/>
  <c r="E429" i="3"/>
  <c r="E430" i="3"/>
  <c r="N430" i="3" s="1"/>
  <c r="E431" i="3"/>
  <c r="E432" i="3"/>
  <c r="N432" i="3" s="1"/>
  <c r="E433" i="3"/>
  <c r="N433" i="3" s="1"/>
  <c r="E434" i="3"/>
  <c r="E435" i="3"/>
  <c r="E436" i="3"/>
  <c r="N436" i="3" s="1"/>
  <c r="E437" i="3"/>
  <c r="E438" i="3"/>
  <c r="N438" i="3" s="1"/>
  <c r="E439" i="3"/>
  <c r="N439" i="3" s="1"/>
  <c r="E440" i="3"/>
  <c r="E441" i="3"/>
  <c r="E442" i="3"/>
  <c r="N442" i="3" s="1"/>
  <c r="E443" i="3"/>
  <c r="E444" i="3"/>
  <c r="N444" i="3" s="1"/>
  <c r="E445" i="3"/>
  <c r="N445" i="3" s="1"/>
  <c r="E446" i="3"/>
  <c r="E447" i="3"/>
  <c r="E448" i="3"/>
  <c r="N448" i="3" s="1"/>
  <c r="E449" i="3"/>
  <c r="E450" i="3"/>
  <c r="N450" i="3" s="1"/>
  <c r="E451" i="3"/>
  <c r="N451" i="3" s="1"/>
  <c r="E452" i="3"/>
  <c r="E453" i="3"/>
  <c r="E454" i="3"/>
  <c r="N454" i="3" s="1"/>
  <c r="E455" i="3"/>
  <c r="N455" i="3" s="1"/>
  <c r="E456" i="3"/>
  <c r="N456" i="3" s="1"/>
  <c r="E457" i="3"/>
  <c r="N457" i="3" s="1"/>
  <c r="E458" i="3"/>
  <c r="E459" i="3"/>
  <c r="E460" i="3"/>
  <c r="N460" i="3" s="1"/>
  <c r="E461" i="3"/>
  <c r="E462" i="3"/>
  <c r="N462" i="3" s="1"/>
  <c r="E463" i="3"/>
  <c r="N463" i="3" s="1"/>
  <c r="E464" i="3"/>
  <c r="E465" i="3"/>
  <c r="E466" i="3"/>
  <c r="N466" i="3" s="1"/>
  <c r="E467" i="3"/>
  <c r="E468" i="3"/>
  <c r="N468" i="3" s="1"/>
  <c r="E469" i="3"/>
  <c r="N469" i="3" s="1"/>
  <c r="E470" i="3"/>
  <c r="E471" i="3"/>
  <c r="E472" i="3"/>
  <c r="N472" i="3" s="1"/>
  <c r="E473" i="3"/>
  <c r="E474" i="3"/>
  <c r="N474" i="3" s="1"/>
  <c r="E475" i="3"/>
  <c r="N475" i="3" s="1"/>
  <c r="E476" i="3"/>
  <c r="E477" i="3"/>
  <c r="N477" i="3" s="1"/>
  <c r="E478" i="3"/>
  <c r="N478" i="3" s="1"/>
  <c r="E479" i="3"/>
  <c r="E480" i="3"/>
  <c r="N480" i="3" s="1"/>
  <c r="E481" i="3"/>
  <c r="N481" i="3" s="1"/>
  <c r="E482" i="3"/>
  <c r="E483" i="3"/>
  <c r="E484" i="3"/>
  <c r="N484" i="3" s="1"/>
  <c r="E485" i="3"/>
  <c r="E486" i="3"/>
  <c r="N486" i="3" s="1"/>
  <c r="E487" i="3"/>
  <c r="N487" i="3" s="1"/>
  <c r="E488" i="3"/>
  <c r="E489" i="3"/>
  <c r="E490" i="3"/>
  <c r="N490" i="3" s="1"/>
  <c r="E491" i="3"/>
  <c r="E492" i="3"/>
  <c r="N492" i="3" s="1"/>
  <c r="E493" i="3"/>
  <c r="N493" i="3" s="1"/>
  <c r="E494" i="3"/>
  <c r="E495" i="3"/>
  <c r="E496" i="3"/>
  <c r="N496" i="3" s="1"/>
  <c r="E497" i="3"/>
  <c r="E498" i="3"/>
  <c r="N498" i="3" s="1"/>
  <c r="E499" i="3"/>
  <c r="N499" i="3" s="1"/>
  <c r="E500" i="3"/>
  <c r="E5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N287" i="3" s="1"/>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P483" i="3" l="1"/>
  <c r="P459" i="3"/>
  <c r="P435" i="3"/>
  <c r="P423" i="3"/>
  <c r="P363" i="3"/>
  <c r="P351" i="3"/>
  <c r="P279" i="3"/>
  <c r="P243" i="3"/>
  <c r="O225" i="3"/>
  <c r="S225" i="3" s="1"/>
  <c r="P213" i="3"/>
  <c r="P165" i="3"/>
  <c r="P99" i="3"/>
  <c r="P27" i="3"/>
  <c r="P495" i="3"/>
  <c r="P387" i="3"/>
  <c r="P291" i="3"/>
  <c r="P255" i="3"/>
  <c r="P237" i="3"/>
  <c r="O219" i="3"/>
  <c r="S219" i="3" s="1"/>
  <c r="P189" i="3"/>
  <c r="P171" i="3"/>
  <c r="P141" i="3"/>
  <c r="P21" i="3"/>
  <c r="P500" i="3"/>
  <c r="P488" i="3"/>
  <c r="P69" i="3"/>
  <c r="P51" i="3"/>
  <c r="N501" i="3"/>
  <c r="N495" i="3"/>
  <c r="N489" i="3"/>
  <c r="N483" i="3"/>
  <c r="N471" i="3"/>
  <c r="N465" i="3"/>
  <c r="N459" i="3"/>
  <c r="N453" i="3"/>
  <c r="N447" i="3"/>
  <c r="N441" i="3"/>
  <c r="N435" i="3"/>
  <c r="N429" i="3"/>
  <c r="N417" i="3"/>
  <c r="N411" i="3"/>
  <c r="N405" i="3"/>
  <c r="N399" i="3"/>
  <c r="N393" i="3"/>
  <c r="N387" i="3"/>
  <c r="N381" i="3"/>
  <c r="N375" i="3"/>
  <c r="N363" i="3"/>
  <c r="N357" i="3"/>
  <c r="N351" i="3"/>
  <c r="N345" i="3"/>
  <c r="N339" i="3"/>
  <c r="N333" i="3"/>
  <c r="N327" i="3"/>
  <c r="N321" i="3"/>
  <c r="N315" i="3"/>
  <c r="N309" i="3"/>
  <c r="N303" i="3"/>
  <c r="N297" i="3"/>
  <c r="N291" i="3"/>
  <c r="N285" i="3"/>
  <c r="N279" i="3"/>
  <c r="N273" i="3"/>
  <c r="N267" i="3"/>
  <c r="N261" i="3"/>
  <c r="N255" i="3"/>
  <c r="N249" i="3"/>
  <c r="N243" i="3"/>
  <c r="N237" i="3"/>
  <c r="N231" i="3"/>
  <c r="N225" i="3"/>
  <c r="N219" i="3"/>
  <c r="N213" i="3"/>
  <c r="N207" i="3"/>
  <c r="N201" i="3"/>
  <c r="N195" i="3"/>
  <c r="N189" i="3"/>
  <c r="N183" i="3"/>
  <c r="N177" i="3"/>
  <c r="N171" i="3"/>
  <c r="N165" i="3"/>
  <c r="N159" i="3"/>
  <c r="N153" i="3"/>
  <c r="N147" i="3"/>
  <c r="N141" i="3"/>
  <c r="N135" i="3"/>
  <c r="N129" i="3"/>
  <c r="N123" i="3"/>
  <c r="N117" i="3"/>
  <c r="N111" i="3"/>
  <c r="N105" i="3"/>
  <c r="N99" i="3"/>
  <c r="N93" i="3"/>
  <c r="N87" i="3"/>
  <c r="N81" i="3"/>
  <c r="N75" i="3"/>
  <c r="N69" i="3"/>
  <c r="N63" i="3"/>
  <c r="N57" i="3"/>
  <c r="N51" i="3"/>
  <c r="N45" i="3"/>
  <c r="N39" i="3"/>
  <c r="N33" i="3"/>
  <c r="N27" i="3"/>
  <c r="N21" i="3"/>
  <c r="N15" i="3"/>
  <c r="N9" i="3"/>
  <c r="N3" i="3"/>
  <c r="N500" i="3"/>
  <c r="N494" i="3"/>
  <c r="N488" i="3"/>
  <c r="N482" i="3"/>
  <c r="N476" i="3"/>
  <c r="N470" i="3"/>
  <c r="N464" i="3"/>
  <c r="N458" i="3"/>
  <c r="N452" i="3"/>
  <c r="N446" i="3"/>
  <c r="N440" i="3"/>
  <c r="N434" i="3"/>
  <c r="N428" i="3"/>
  <c r="N422" i="3"/>
  <c r="N416" i="3"/>
  <c r="N410" i="3"/>
  <c r="N404" i="3"/>
  <c r="N398" i="3"/>
  <c r="N392" i="3"/>
  <c r="N386" i="3"/>
  <c r="N380" i="3"/>
  <c r="N374" i="3"/>
  <c r="N368" i="3"/>
  <c r="N362" i="3"/>
  <c r="N356" i="3"/>
  <c r="N350" i="3"/>
  <c r="N344" i="3"/>
  <c r="N338" i="3"/>
  <c r="N332" i="3"/>
  <c r="N326" i="3"/>
  <c r="N320" i="3"/>
  <c r="N314" i="3"/>
  <c r="N308" i="3"/>
  <c r="N302" i="3"/>
  <c r="N296" i="3"/>
  <c r="N290" i="3"/>
  <c r="N284" i="3"/>
  <c r="N278" i="3"/>
  <c r="N272" i="3"/>
  <c r="N266" i="3"/>
  <c r="N254" i="3"/>
  <c r="N242" i="3"/>
  <c r="N236" i="3"/>
  <c r="N230" i="3"/>
  <c r="N224" i="3"/>
  <c r="N218" i="3"/>
  <c r="N212" i="3"/>
  <c r="N206" i="3"/>
  <c r="N200" i="3"/>
  <c r="N194" i="3"/>
  <c r="N188" i="3"/>
  <c r="N176" i="3"/>
  <c r="N170" i="3"/>
  <c r="N164" i="3"/>
  <c r="N158" i="3"/>
  <c r="N152" i="3"/>
  <c r="N140" i="3"/>
  <c r="N134" i="3"/>
  <c r="N128" i="3"/>
  <c r="N122" i="3"/>
  <c r="N116" i="3"/>
  <c r="N110" i="3"/>
  <c r="N104" i="3"/>
  <c r="N98" i="3"/>
  <c r="N92" i="3"/>
  <c r="N80" i="3"/>
  <c r="N74" i="3"/>
  <c r="N68" i="3"/>
  <c r="N62" i="3"/>
  <c r="N56" i="3"/>
  <c r="N50" i="3"/>
  <c r="N44" i="3"/>
  <c r="N38" i="3"/>
  <c r="N32" i="3"/>
  <c r="N26" i="3"/>
  <c r="N20" i="3"/>
  <c r="N14" i="3"/>
  <c r="N8" i="3"/>
  <c r="N2" i="3"/>
  <c r="P90" i="3"/>
  <c r="P84" i="3"/>
  <c r="P78" i="3"/>
  <c r="P72" i="3"/>
  <c r="P66" i="3"/>
  <c r="P60" i="3"/>
  <c r="P54" i="3"/>
  <c r="P48" i="3"/>
  <c r="P42" i="3"/>
  <c r="P36" i="3"/>
  <c r="P30" i="3"/>
  <c r="P24" i="3"/>
  <c r="P18" i="3"/>
  <c r="P12" i="3"/>
  <c r="P6" i="3"/>
  <c r="P471" i="3"/>
  <c r="P399" i="3"/>
  <c r="P327" i="3"/>
  <c r="P315" i="3"/>
  <c r="P195" i="3"/>
  <c r="P123" i="3"/>
  <c r="P267" i="3"/>
  <c r="N497" i="3"/>
  <c r="N491" i="3"/>
  <c r="N485" i="3"/>
  <c r="N479" i="3"/>
  <c r="N473" i="3"/>
  <c r="N467" i="3"/>
  <c r="N461" i="3"/>
  <c r="N449" i="3"/>
  <c r="N443" i="3"/>
  <c r="N437" i="3"/>
  <c r="N431" i="3"/>
  <c r="N425" i="3"/>
  <c r="N419" i="3"/>
  <c r="N413" i="3"/>
  <c r="N407" i="3"/>
  <c r="N395" i="3"/>
  <c r="N389" i="3"/>
  <c r="N383" i="3"/>
  <c r="N377" i="3"/>
  <c r="N371" i="3"/>
  <c r="N365" i="3"/>
  <c r="N359" i="3"/>
  <c r="N353" i="3"/>
  <c r="N341" i="3"/>
  <c r="N335" i="3"/>
  <c r="N329" i="3"/>
  <c r="N323" i="3"/>
  <c r="N317" i="3"/>
  <c r="N311" i="3"/>
  <c r="N305" i="3"/>
  <c r="N299" i="3"/>
  <c r="N293" i="3"/>
  <c r="N281" i="3"/>
  <c r="N275" i="3"/>
  <c r="N269" i="3"/>
  <c r="N263" i="3"/>
  <c r="N257" i="3"/>
  <c r="N251" i="3"/>
  <c r="N245" i="3"/>
  <c r="N239" i="3"/>
  <c r="N233" i="3"/>
  <c r="N227" i="3"/>
  <c r="N221" i="3"/>
  <c r="N209" i="3"/>
  <c r="N203" i="3"/>
  <c r="N197" i="3"/>
  <c r="N191" i="3"/>
  <c r="N185" i="3"/>
  <c r="N179" i="3"/>
  <c r="N173" i="3"/>
  <c r="N161" i="3"/>
  <c r="N155" i="3"/>
  <c r="N149" i="3"/>
  <c r="N143" i="3"/>
  <c r="N137" i="3"/>
  <c r="N131" i="3"/>
  <c r="N125" i="3"/>
  <c r="N119" i="3"/>
  <c r="N113" i="3"/>
  <c r="N107" i="3"/>
  <c r="N101" i="3"/>
  <c r="N95" i="3"/>
  <c r="N89" i="3"/>
  <c r="N83" i="3"/>
  <c r="N77" i="3"/>
  <c r="N71" i="3"/>
  <c r="N59" i="3"/>
  <c r="N53" i="3"/>
  <c r="N47" i="3"/>
  <c r="N41" i="3"/>
  <c r="N35" i="3"/>
  <c r="N29" i="3"/>
  <c r="N23" i="3"/>
  <c r="N17" i="3"/>
  <c r="N11" i="3"/>
  <c r="P447" i="3"/>
  <c r="P411" i="3"/>
  <c r="P375" i="3"/>
  <c r="P339" i="3"/>
  <c r="P303" i="3"/>
  <c r="O487" i="3"/>
  <c r="S487" i="3" s="1"/>
  <c r="P391" i="3"/>
  <c r="P355" i="3"/>
  <c r="P271" i="3"/>
  <c r="P235" i="3"/>
  <c r="O151" i="3"/>
  <c r="S151" i="3" s="1"/>
  <c r="O451" i="3"/>
  <c r="S451" i="3" s="1"/>
  <c r="P415" i="3"/>
  <c r="O367" i="3"/>
  <c r="S367" i="3" s="1"/>
  <c r="O259" i="3"/>
  <c r="S259" i="3" s="1"/>
  <c r="P463" i="3"/>
  <c r="P427" i="3"/>
  <c r="O331" i="3"/>
  <c r="S331" i="3" s="1"/>
  <c r="O307" i="3"/>
  <c r="S307" i="3" s="1"/>
  <c r="P283" i="3"/>
  <c r="O335" i="3"/>
  <c r="S335" i="3" s="1"/>
  <c r="O179" i="3"/>
  <c r="S179" i="3" s="1"/>
  <c r="O403" i="3"/>
  <c r="S403" i="3" s="1"/>
  <c r="O379" i="3"/>
  <c r="S379" i="3" s="1"/>
  <c r="P343" i="3"/>
  <c r="P319" i="3"/>
  <c r="O295" i="3"/>
  <c r="S295" i="3" s="1"/>
  <c r="P247" i="3"/>
  <c r="O479" i="3"/>
  <c r="S479" i="3" s="1"/>
  <c r="P498" i="3"/>
  <c r="P492" i="3"/>
  <c r="P486" i="3"/>
  <c r="P480" i="3"/>
  <c r="P474" i="3"/>
  <c r="P468" i="3"/>
  <c r="P462" i="3"/>
  <c r="P456" i="3"/>
  <c r="P450" i="3"/>
  <c r="P444" i="3"/>
  <c r="P438" i="3"/>
  <c r="P432" i="3"/>
  <c r="P426" i="3"/>
  <c r="P420" i="3"/>
  <c r="P414" i="3"/>
  <c r="P408" i="3"/>
  <c r="P402" i="3"/>
  <c r="P396" i="3"/>
  <c r="P390" i="3"/>
  <c r="P384" i="3"/>
  <c r="P378" i="3"/>
  <c r="P372" i="3"/>
  <c r="P366" i="3"/>
  <c r="P360" i="3"/>
  <c r="P354" i="3"/>
  <c r="P348" i="3"/>
  <c r="P342" i="3"/>
  <c r="P336" i="3"/>
  <c r="P330" i="3"/>
  <c r="P324" i="3"/>
  <c r="P318" i="3"/>
  <c r="P312" i="3"/>
  <c r="P306" i="3"/>
  <c r="P300" i="3"/>
  <c r="P294" i="3"/>
  <c r="P288" i="3"/>
  <c r="P282" i="3"/>
  <c r="P276" i="3"/>
  <c r="P270" i="3"/>
  <c r="P264" i="3"/>
  <c r="P258" i="3"/>
  <c r="P252" i="3"/>
  <c r="P246" i="3"/>
  <c r="P240" i="3"/>
  <c r="P234" i="3"/>
  <c r="P228" i="3"/>
  <c r="P222" i="3"/>
  <c r="P216" i="3"/>
  <c r="P210" i="3"/>
  <c r="P204" i="3"/>
  <c r="P198" i="3"/>
  <c r="P192" i="3"/>
  <c r="P186" i="3"/>
  <c r="P180" i="3"/>
  <c r="P174" i="3"/>
  <c r="P168" i="3"/>
  <c r="P162" i="3"/>
  <c r="P156" i="3"/>
  <c r="P150" i="3"/>
  <c r="P144" i="3"/>
  <c r="P138" i="3"/>
  <c r="P132" i="3"/>
  <c r="P126" i="3"/>
  <c r="P120" i="3"/>
  <c r="P114" i="3"/>
  <c r="P108" i="3"/>
  <c r="P102" i="3"/>
  <c r="P96" i="3"/>
  <c r="P476" i="3"/>
  <c r="P491" i="3"/>
  <c r="P479" i="3"/>
  <c r="P467" i="3"/>
  <c r="P455" i="3"/>
  <c r="O443" i="3"/>
  <c r="S443" i="3" s="1"/>
  <c r="P431" i="3"/>
  <c r="P419" i="3"/>
  <c r="P407" i="3"/>
  <c r="O395" i="3"/>
  <c r="S395" i="3" s="1"/>
  <c r="P383" i="3"/>
  <c r="O371" i="3"/>
  <c r="S371" i="3" s="1"/>
  <c r="P359" i="3"/>
  <c r="P347" i="3"/>
  <c r="P335" i="3"/>
  <c r="O323" i="3"/>
  <c r="S323" i="3" s="1"/>
  <c r="P311" i="3"/>
  <c r="O299" i="3"/>
  <c r="S299" i="3" s="1"/>
  <c r="P287" i="3"/>
  <c r="P275" i="3"/>
  <c r="P263" i="3"/>
  <c r="O251" i="3"/>
  <c r="S251" i="3" s="1"/>
  <c r="O239" i="3"/>
  <c r="S239" i="3" s="1"/>
  <c r="P233" i="3"/>
  <c r="P227" i="3"/>
  <c r="P209" i="3"/>
  <c r="P203" i="3"/>
  <c r="P185" i="3"/>
  <c r="P179" i="3"/>
  <c r="P161" i="3"/>
  <c r="P155" i="3"/>
  <c r="P137" i="3"/>
  <c r="P113" i="3"/>
  <c r="P107" i="3"/>
  <c r="P83" i="3"/>
  <c r="P65" i="3"/>
  <c r="P41" i="3"/>
  <c r="P35" i="3"/>
  <c r="P403" i="3"/>
  <c r="P86" i="3"/>
  <c r="P62" i="3"/>
  <c r="P38" i="3"/>
  <c r="P14" i="3"/>
  <c r="O439" i="3"/>
  <c r="S439" i="3" s="1"/>
  <c r="P439" i="3"/>
  <c r="P478" i="3"/>
  <c r="O455" i="3"/>
  <c r="S455" i="3" s="1"/>
  <c r="O311" i="3"/>
  <c r="S311" i="3" s="1"/>
  <c r="P367" i="3"/>
  <c r="P496" i="3"/>
  <c r="P490" i="3"/>
  <c r="P484" i="3"/>
  <c r="P472" i="3"/>
  <c r="P460" i="3"/>
  <c r="P454" i="3"/>
  <c r="P448" i="3"/>
  <c r="P442" i="3"/>
  <c r="P436" i="3"/>
  <c r="P430" i="3"/>
  <c r="P424" i="3"/>
  <c r="P418" i="3"/>
  <c r="P412" i="3"/>
  <c r="P406" i="3"/>
  <c r="P400" i="3"/>
  <c r="P394" i="3"/>
  <c r="P388" i="3"/>
  <c r="P382" i="3"/>
  <c r="P376" i="3"/>
  <c r="P370" i="3"/>
  <c r="P364" i="3"/>
  <c r="P358" i="3"/>
  <c r="P352" i="3"/>
  <c r="P346" i="3"/>
  <c r="P340" i="3"/>
  <c r="P334" i="3"/>
  <c r="P328" i="3"/>
  <c r="P322" i="3"/>
  <c r="P316" i="3"/>
  <c r="P310" i="3"/>
  <c r="P304" i="3"/>
  <c r="P298" i="3"/>
  <c r="P292" i="3"/>
  <c r="P286" i="3"/>
  <c r="P280" i="3"/>
  <c r="P274" i="3"/>
  <c r="P268" i="3"/>
  <c r="P262" i="3"/>
  <c r="P256" i="3"/>
  <c r="P250" i="3"/>
  <c r="P244" i="3"/>
  <c r="P238" i="3"/>
  <c r="P232" i="3"/>
  <c r="P226" i="3"/>
  <c r="P220" i="3"/>
  <c r="P214" i="3"/>
  <c r="P208" i="3"/>
  <c r="P202" i="3"/>
  <c r="P196" i="3"/>
  <c r="P190" i="3"/>
  <c r="P184" i="3"/>
  <c r="P178" i="3"/>
  <c r="P172" i="3"/>
  <c r="P166" i="3"/>
  <c r="P160" i="3"/>
  <c r="P154" i="3"/>
  <c r="P148" i="3"/>
  <c r="P142" i="3"/>
  <c r="P136" i="3"/>
  <c r="P130" i="3"/>
  <c r="P124" i="3"/>
  <c r="P118" i="3"/>
  <c r="P112" i="3"/>
  <c r="P106" i="3"/>
  <c r="P100" i="3"/>
  <c r="P94" i="3"/>
  <c r="P88" i="3"/>
  <c r="P82" i="3"/>
  <c r="P76" i="3"/>
  <c r="P70" i="3"/>
  <c r="P64" i="3"/>
  <c r="P58" i="3"/>
  <c r="P52" i="3"/>
  <c r="P46" i="3"/>
  <c r="P40" i="3"/>
  <c r="P34" i="3"/>
  <c r="P28" i="3"/>
  <c r="P22" i="3"/>
  <c r="P16" i="3"/>
  <c r="P10" i="3"/>
  <c r="P4" i="3"/>
  <c r="O431" i="3"/>
  <c r="S431" i="3" s="1"/>
  <c r="O287" i="3"/>
  <c r="S287" i="3" s="1"/>
  <c r="O107" i="3"/>
  <c r="S107" i="3" s="1"/>
  <c r="P331" i="3"/>
  <c r="O407" i="3"/>
  <c r="S407" i="3" s="1"/>
  <c r="O263" i="3"/>
  <c r="S263" i="3" s="1"/>
  <c r="O65" i="3"/>
  <c r="S65" i="3" s="1"/>
  <c r="P295" i="3"/>
  <c r="P206" i="3"/>
  <c r="P182" i="3"/>
  <c r="P158" i="3"/>
  <c r="P134" i="3"/>
  <c r="P110" i="3"/>
  <c r="O383" i="3"/>
  <c r="S383" i="3" s="1"/>
  <c r="O237" i="3"/>
  <c r="S237" i="3" s="1"/>
  <c r="O21" i="3"/>
  <c r="S21" i="3" s="1"/>
  <c r="P259" i="3"/>
  <c r="O79" i="3"/>
  <c r="S79" i="3" s="1"/>
  <c r="O359" i="3"/>
  <c r="S359" i="3" s="1"/>
  <c r="O209" i="3"/>
  <c r="S209" i="3" s="1"/>
  <c r="P219" i="3"/>
  <c r="P93" i="3"/>
  <c r="P497" i="3"/>
  <c r="O497" i="3"/>
  <c r="S497" i="3" s="1"/>
  <c r="O437" i="3"/>
  <c r="S437" i="3" s="1"/>
  <c r="P437" i="3"/>
  <c r="O413" i="3"/>
  <c r="S413" i="3" s="1"/>
  <c r="P413" i="3"/>
  <c r="O389" i="3"/>
  <c r="S389" i="3" s="1"/>
  <c r="P389" i="3"/>
  <c r="O365" i="3"/>
  <c r="S365" i="3" s="1"/>
  <c r="P365" i="3"/>
  <c r="O305" i="3"/>
  <c r="S305" i="3" s="1"/>
  <c r="P305" i="3"/>
  <c r="O281" i="3"/>
  <c r="S281" i="3" s="1"/>
  <c r="P281" i="3"/>
  <c r="P191" i="3"/>
  <c r="O191" i="3"/>
  <c r="S191" i="3" s="1"/>
  <c r="P173" i="3"/>
  <c r="O173" i="3"/>
  <c r="S173" i="3" s="1"/>
  <c r="P149" i="3"/>
  <c r="O149" i="3"/>
  <c r="S149" i="3" s="1"/>
  <c r="P131" i="3"/>
  <c r="O131" i="3"/>
  <c r="S131" i="3" s="1"/>
  <c r="P119" i="3"/>
  <c r="O119" i="3"/>
  <c r="S119" i="3" s="1"/>
  <c r="P95" i="3"/>
  <c r="O95" i="3"/>
  <c r="S95" i="3" s="1"/>
  <c r="P53" i="3"/>
  <c r="O53" i="3"/>
  <c r="S53" i="3" s="1"/>
  <c r="P29" i="3"/>
  <c r="O29" i="3"/>
  <c r="S29" i="3" s="1"/>
  <c r="P11" i="3"/>
  <c r="O11" i="3"/>
  <c r="S11" i="3" s="1"/>
  <c r="P489" i="3"/>
  <c r="O489" i="3"/>
  <c r="S489" i="3" s="1"/>
  <c r="P477" i="3"/>
  <c r="O477" i="3"/>
  <c r="S477" i="3" s="1"/>
  <c r="O453" i="3"/>
  <c r="S453" i="3" s="1"/>
  <c r="P453" i="3"/>
  <c r="O463" i="3"/>
  <c r="S463" i="3" s="1"/>
  <c r="O415" i="3"/>
  <c r="S415" i="3" s="1"/>
  <c r="O391" i="3"/>
  <c r="S391" i="3" s="1"/>
  <c r="O343" i="3"/>
  <c r="S343" i="3" s="1"/>
  <c r="O319" i="3"/>
  <c r="S319" i="3" s="1"/>
  <c r="O271" i="3"/>
  <c r="S271" i="3" s="1"/>
  <c r="O247" i="3"/>
  <c r="S247" i="3" s="1"/>
  <c r="O189" i="3"/>
  <c r="S189" i="3" s="1"/>
  <c r="O161" i="3"/>
  <c r="S161" i="3" s="1"/>
  <c r="O123" i="3"/>
  <c r="S123" i="3" s="1"/>
  <c r="O35" i="3"/>
  <c r="S35" i="3" s="1"/>
  <c r="P451" i="3"/>
  <c r="P379" i="3"/>
  <c r="P307" i="3"/>
  <c r="O461" i="3"/>
  <c r="S461" i="3" s="1"/>
  <c r="P461" i="3"/>
  <c r="O425" i="3"/>
  <c r="S425" i="3" s="1"/>
  <c r="P425" i="3"/>
  <c r="O341" i="3"/>
  <c r="S341" i="3" s="1"/>
  <c r="P341" i="3"/>
  <c r="O317" i="3"/>
  <c r="S317" i="3" s="1"/>
  <c r="P317" i="3"/>
  <c r="O293" i="3"/>
  <c r="S293" i="3" s="1"/>
  <c r="P293" i="3"/>
  <c r="O257" i="3"/>
  <c r="S257" i="3" s="1"/>
  <c r="P257" i="3"/>
  <c r="P215" i="3"/>
  <c r="O215" i="3"/>
  <c r="S215" i="3" s="1"/>
  <c r="P167" i="3"/>
  <c r="O167" i="3"/>
  <c r="S167" i="3" s="1"/>
  <c r="P125" i="3"/>
  <c r="O125" i="3"/>
  <c r="S125" i="3" s="1"/>
  <c r="P101" i="3"/>
  <c r="O101" i="3"/>
  <c r="S101" i="3" s="1"/>
  <c r="P89" i="3"/>
  <c r="O89" i="3"/>
  <c r="S89" i="3" s="1"/>
  <c r="P77" i="3"/>
  <c r="O77" i="3"/>
  <c r="S77" i="3" s="1"/>
  <c r="P59" i="3"/>
  <c r="O59" i="3"/>
  <c r="S59" i="3" s="1"/>
  <c r="P47" i="3"/>
  <c r="O47" i="3"/>
  <c r="S47" i="3" s="1"/>
  <c r="P23" i="3"/>
  <c r="O23" i="3"/>
  <c r="S23" i="3" s="1"/>
  <c r="P5" i="3"/>
  <c r="O5" i="3"/>
  <c r="S5" i="3" s="1"/>
  <c r="P501" i="3"/>
  <c r="O501" i="3"/>
  <c r="S501" i="3" s="1"/>
  <c r="P499" i="3"/>
  <c r="P493" i="3"/>
  <c r="O493" i="3"/>
  <c r="S493" i="3" s="1"/>
  <c r="P487" i="3"/>
  <c r="P481" i="3"/>
  <c r="O481" i="3"/>
  <c r="S481" i="3" s="1"/>
  <c r="P475" i="3"/>
  <c r="P469" i="3"/>
  <c r="O469" i="3"/>
  <c r="S469" i="3" s="1"/>
  <c r="P457" i="3"/>
  <c r="O457" i="3"/>
  <c r="S457" i="3" s="1"/>
  <c r="P445" i="3"/>
  <c r="O445" i="3"/>
  <c r="S445" i="3" s="1"/>
  <c r="P433" i="3"/>
  <c r="O433" i="3"/>
  <c r="S433" i="3" s="1"/>
  <c r="P421" i="3"/>
  <c r="O421" i="3"/>
  <c r="S421" i="3" s="1"/>
  <c r="P409" i="3"/>
  <c r="O409" i="3"/>
  <c r="S409" i="3" s="1"/>
  <c r="P397" i="3"/>
  <c r="O397" i="3"/>
  <c r="S397" i="3" s="1"/>
  <c r="P385" i="3"/>
  <c r="O385" i="3"/>
  <c r="S385" i="3" s="1"/>
  <c r="P373" i="3"/>
  <c r="O373" i="3"/>
  <c r="S373" i="3" s="1"/>
  <c r="P361" i="3"/>
  <c r="O361" i="3"/>
  <c r="S361" i="3" s="1"/>
  <c r="P349" i="3"/>
  <c r="O349" i="3"/>
  <c r="S349" i="3" s="1"/>
  <c r="P337" i="3"/>
  <c r="O337" i="3"/>
  <c r="S337" i="3" s="1"/>
  <c r="P325" i="3"/>
  <c r="O325" i="3"/>
  <c r="S325" i="3" s="1"/>
  <c r="P313" i="3"/>
  <c r="O313" i="3"/>
  <c r="S313" i="3" s="1"/>
  <c r="P301" i="3"/>
  <c r="O301" i="3"/>
  <c r="S301" i="3" s="1"/>
  <c r="P289" i="3"/>
  <c r="O289" i="3"/>
  <c r="S289" i="3" s="1"/>
  <c r="P277" i="3"/>
  <c r="O277" i="3"/>
  <c r="S277" i="3" s="1"/>
  <c r="P265" i="3"/>
  <c r="O265" i="3"/>
  <c r="S265" i="3" s="1"/>
  <c r="P253" i="3"/>
  <c r="O253" i="3"/>
  <c r="S253" i="3" s="1"/>
  <c r="O241" i="3"/>
  <c r="S241" i="3" s="1"/>
  <c r="P241" i="3"/>
  <c r="O235" i="3"/>
  <c r="S235" i="3" s="1"/>
  <c r="P229" i="3"/>
  <c r="O229" i="3"/>
  <c r="S229" i="3" s="1"/>
  <c r="P223" i="3"/>
  <c r="P217" i="3"/>
  <c r="O217" i="3"/>
  <c r="S217" i="3" s="1"/>
  <c r="P211" i="3"/>
  <c r="O211" i="3"/>
  <c r="S211" i="3" s="1"/>
  <c r="P205" i="3"/>
  <c r="O205" i="3"/>
  <c r="S205" i="3" s="1"/>
  <c r="P199" i="3"/>
  <c r="P193" i="3"/>
  <c r="O193" i="3"/>
  <c r="S193" i="3" s="1"/>
  <c r="P187" i="3"/>
  <c r="O187" i="3"/>
  <c r="S187" i="3" s="1"/>
  <c r="P181" i="3"/>
  <c r="O181" i="3"/>
  <c r="S181" i="3" s="1"/>
  <c r="P175" i="3"/>
  <c r="P169" i="3"/>
  <c r="O169" i="3"/>
  <c r="S169" i="3" s="1"/>
  <c r="P163" i="3"/>
  <c r="O163" i="3"/>
  <c r="S163" i="3" s="1"/>
  <c r="P157" i="3"/>
  <c r="O157" i="3"/>
  <c r="S157" i="3" s="1"/>
  <c r="P151" i="3"/>
  <c r="P145" i="3"/>
  <c r="O145" i="3"/>
  <c r="S145" i="3" s="1"/>
  <c r="P139" i="3"/>
  <c r="O139" i="3"/>
  <c r="S139" i="3" s="1"/>
  <c r="P133" i="3"/>
  <c r="O133" i="3"/>
  <c r="S133" i="3" s="1"/>
  <c r="P127" i="3"/>
  <c r="P121" i="3"/>
  <c r="O121" i="3"/>
  <c r="S121" i="3" s="1"/>
  <c r="P115" i="3"/>
  <c r="O115" i="3"/>
  <c r="S115" i="3" s="1"/>
  <c r="P109" i="3"/>
  <c r="O109" i="3"/>
  <c r="S109" i="3" s="1"/>
  <c r="P103" i="3"/>
  <c r="O103" i="3"/>
  <c r="S103" i="3" s="1"/>
  <c r="P97" i="3"/>
  <c r="O97" i="3"/>
  <c r="S97" i="3" s="1"/>
  <c r="P91" i="3"/>
  <c r="O91" i="3"/>
  <c r="S91" i="3" s="1"/>
  <c r="P85" i="3"/>
  <c r="O85" i="3"/>
  <c r="S85" i="3" s="1"/>
  <c r="P79" i="3"/>
  <c r="P73" i="3"/>
  <c r="O73" i="3"/>
  <c r="S73" i="3" s="1"/>
  <c r="P67" i="3"/>
  <c r="O67" i="3"/>
  <c r="S67" i="3" s="1"/>
  <c r="P61" i="3"/>
  <c r="O61" i="3"/>
  <c r="S61" i="3" s="1"/>
  <c r="P55" i="3"/>
  <c r="P49" i="3"/>
  <c r="O49" i="3"/>
  <c r="S49" i="3" s="1"/>
  <c r="P43" i="3"/>
  <c r="O43" i="3"/>
  <c r="S43" i="3" s="1"/>
  <c r="P37" i="3"/>
  <c r="O37" i="3"/>
  <c r="S37" i="3" s="1"/>
  <c r="P31" i="3"/>
  <c r="O31" i="3"/>
  <c r="S31" i="3" s="1"/>
  <c r="P25" i="3"/>
  <c r="O25" i="3"/>
  <c r="S25" i="3" s="1"/>
  <c r="P19" i="3"/>
  <c r="O19" i="3"/>
  <c r="S19" i="3" s="1"/>
  <c r="P13" i="3"/>
  <c r="O13" i="3"/>
  <c r="S13" i="3" s="1"/>
  <c r="P7" i="3"/>
  <c r="O483" i="3"/>
  <c r="S483" i="3" s="1"/>
  <c r="O459" i="3"/>
  <c r="S459" i="3" s="1"/>
  <c r="O435" i="3"/>
  <c r="S435" i="3" s="1"/>
  <c r="O411" i="3"/>
  <c r="S411" i="3" s="1"/>
  <c r="O387" i="3"/>
  <c r="S387" i="3" s="1"/>
  <c r="O363" i="3"/>
  <c r="S363" i="3" s="1"/>
  <c r="O339" i="3"/>
  <c r="S339" i="3" s="1"/>
  <c r="O315" i="3"/>
  <c r="S315" i="3" s="1"/>
  <c r="O291" i="3"/>
  <c r="S291" i="3" s="1"/>
  <c r="O267" i="3"/>
  <c r="S267" i="3" s="1"/>
  <c r="O243" i="3"/>
  <c r="S243" i="3" s="1"/>
  <c r="O213" i="3"/>
  <c r="S213" i="3" s="1"/>
  <c r="O185" i="3"/>
  <c r="S185" i="3" s="1"/>
  <c r="O155" i="3"/>
  <c r="S155" i="3" s="1"/>
  <c r="O113" i="3"/>
  <c r="S113" i="3" s="1"/>
  <c r="O69" i="3"/>
  <c r="S69" i="3" s="1"/>
  <c r="O27" i="3"/>
  <c r="S27" i="3" s="1"/>
  <c r="P443" i="3"/>
  <c r="P371" i="3"/>
  <c r="P299" i="3"/>
  <c r="P225" i="3"/>
  <c r="P485" i="3"/>
  <c r="O485" i="3"/>
  <c r="S485" i="3" s="1"/>
  <c r="O401" i="3"/>
  <c r="S401" i="3" s="1"/>
  <c r="P401" i="3"/>
  <c r="O329" i="3"/>
  <c r="S329" i="3" s="1"/>
  <c r="P329" i="3"/>
  <c r="O269" i="3"/>
  <c r="S269" i="3" s="1"/>
  <c r="P269" i="3"/>
  <c r="P221" i="3"/>
  <c r="O221" i="3"/>
  <c r="S221" i="3" s="1"/>
  <c r="P197" i="3"/>
  <c r="O197" i="3"/>
  <c r="S197" i="3" s="1"/>
  <c r="O499" i="3"/>
  <c r="S499" i="3" s="1"/>
  <c r="O475" i="3"/>
  <c r="S475" i="3" s="1"/>
  <c r="O427" i="3"/>
  <c r="S427" i="3" s="1"/>
  <c r="O355" i="3"/>
  <c r="S355" i="3" s="1"/>
  <c r="O283" i="3"/>
  <c r="S283" i="3" s="1"/>
  <c r="O233" i="3"/>
  <c r="S233" i="3" s="1"/>
  <c r="O203" i="3"/>
  <c r="S203" i="3" s="1"/>
  <c r="O175" i="3"/>
  <c r="S175" i="3" s="1"/>
  <c r="O141" i="3"/>
  <c r="S141" i="3" s="1"/>
  <c r="O99" i="3"/>
  <c r="S99" i="3" s="1"/>
  <c r="O55" i="3"/>
  <c r="S55" i="3" s="1"/>
  <c r="O7" i="3"/>
  <c r="S7" i="3" s="1"/>
  <c r="P395" i="3"/>
  <c r="P323" i="3"/>
  <c r="P251" i="3"/>
  <c r="P473" i="3"/>
  <c r="O473" i="3"/>
  <c r="S473" i="3" s="1"/>
  <c r="O449" i="3"/>
  <c r="S449" i="3" s="1"/>
  <c r="P449" i="3"/>
  <c r="O377" i="3"/>
  <c r="S377" i="3" s="1"/>
  <c r="P377" i="3"/>
  <c r="O353" i="3"/>
  <c r="S353" i="3" s="1"/>
  <c r="P353" i="3"/>
  <c r="P143" i="3"/>
  <c r="O143" i="3"/>
  <c r="S143" i="3" s="1"/>
  <c r="P71" i="3"/>
  <c r="O71" i="3"/>
  <c r="S71" i="3" s="1"/>
  <c r="P17" i="3"/>
  <c r="O17" i="3"/>
  <c r="S17" i="3" s="1"/>
  <c r="O495" i="3"/>
  <c r="S495" i="3" s="1"/>
  <c r="O471" i="3"/>
  <c r="S471" i="3" s="1"/>
  <c r="O447" i="3"/>
  <c r="S447" i="3" s="1"/>
  <c r="O423" i="3"/>
  <c r="S423" i="3" s="1"/>
  <c r="O399" i="3"/>
  <c r="S399" i="3" s="1"/>
  <c r="O375" i="3"/>
  <c r="S375" i="3" s="1"/>
  <c r="O351" i="3"/>
  <c r="S351" i="3" s="1"/>
  <c r="O327" i="3"/>
  <c r="S327" i="3" s="1"/>
  <c r="O303" i="3"/>
  <c r="S303" i="3" s="1"/>
  <c r="O279" i="3"/>
  <c r="S279" i="3" s="1"/>
  <c r="O255" i="3"/>
  <c r="S255" i="3" s="1"/>
  <c r="O227" i="3"/>
  <c r="S227" i="3" s="1"/>
  <c r="O199" i="3"/>
  <c r="S199" i="3" s="1"/>
  <c r="O171" i="3"/>
  <c r="S171" i="3" s="1"/>
  <c r="O137" i="3"/>
  <c r="S137" i="3" s="1"/>
  <c r="O93" i="3"/>
  <c r="S93" i="3" s="1"/>
  <c r="O51" i="3"/>
  <c r="S51" i="3" s="1"/>
  <c r="P194" i="3"/>
  <c r="P170" i="3"/>
  <c r="P146" i="3"/>
  <c r="P122" i="3"/>
  <c r="P98" i="3"/>
  <c r="P74" i="3"/>
  <c r="P50" i="3"/>
  <c r="P26" i="3"/>
  <c r="O245" i="3"/>
  <c r="S245" i="3" s="1"/>
  <c r="P245" i="3"/>
  <c r="O465" i="3"/>
  <c r="S465" i="3" s="1"/>
  <c r="P465" i="3"/>
  <c r="O441" i="3"/>
  <c r="S441" i="3" s="1"/>
  <c r="P441" i="3"/>
  <c r="O429" i="3"/>
  <c r="S429" i="3" s="1"/>
  <c r="P429" i="3"/>
  <c r="O417" i="3"/>
  <c r="S417" i="3" s="1"/>
  <c r="P417" i="3"/>
  <c r="O405" i="3"/>
  <c r="S405" i="3" s="1"/>
  <c r="P405" i="3"/>
  <c r="O393" i="3"/>
  <c r="S393" i="3" s="1"/>
  <c r="P393" i="3"/>
  <c r="O381" i="3"/>
  <c r="S381" i="3" s="1"/>
  <c r="P381" i="3"/>
  <c r="O369" i="3"/>
  <c r="S369" i="3" s="1"/>
  <c r="P369" i="3"/>
  <c r="O357" i="3"/>
  <c r="S357" i="3" s="1"/>
  <c r="P357" i="3"/>
  <c r="O345" i="3"/>
  <c r="S345" i="3" s="1"/>
  <c r="P345" i="3"/>
  <c r="O333" i="3"/>
  <c r="S333" i="3" s="1"/>
  <c r="P333" i="3"/>
  <c r="O321" i="3"/>
  <c r="S321" i="3" s="1"/>
  <c r="P321" i="3"/>
  <c r="O309" i="3"/>
  <c r="S309" i="3" s="1"/>
  <c r="P309" i="3"/>
  <c r="O297" i="3"/>
  <c r="S297" i="3" s="1"/>
  <c r="P297" i="3"/>
  <c r="O285" i="3"/>
  <c r="S285" i="3" s="1"/>
  <c r="P285" i="3"/>
  <c r="O273" i="3"/>
  <c r="S273" i="3" s="1"/>
  <c r="P273" i="3"/>
  <c r="O261" i="3"/>
  <c r="S261" i="3" s="1"/>
  <c r="P261" i="3"/>
  <c r="O249" i="3"/>
  <c r="S249" i="3" s="1"/>
  <c r="P249" i="3"/>
  <c r="O231" i="3"/>
  <c r="S231" i="3" s="1"/>
  <c r="P231" i="3"/>
  <c r="P207" i="3"/>
  <c r="O207" i="3"/>
  <c r="S207" i="3" s="1"/>
  <c r="P201" i="3"/>
  <c r="O201" i="3"/>
  <c r="S201" i="3" s="1"/>
  <c r="P183" i="3"/>
  <c r="O183" i="3"/>
  <c r="S183" i="3" s="1"/>
  <c r="P177" i="3"/>
  <c r="O177" i="3"/>
  <c r="S177" i="3" s="1"/>
  <c r="P159" i="3"/>
  <c r="O159" i="3"/>
  <c r="S159" i="3" s="1"/>
  <c r="P153" i="3"/>
  <c r="O153" i="3"/>
  <c r="S153" i="3" s="1"/>
  <c r="P147" i="3"/>
  <c r="O147" i="3"/>
  <c r="S147" i="3" s="1"/>
  <c r="P135" i="3"/>
  <c r="O135" i="3"/>
  <c r="S135" i="3" s="1"/>
  <c r="P129" i="3"/>
  <c r="O129" i="3"/>
  <c r="S129" i="3" s="1"/>
  <c r="P117" i="3"/>
  <c r="O117" i="3"/>
  <c r="S117" i="3" s="1"/>
  <c r="P111" i="3"/>
  <c r="O111" i="3"/>
  <c r="S111" i="3" s="1"/>
  <c r="P105" i="3"/>
  <c r="O105" i="3"/>
  <c r="S105" i="3" s="1"/>
  <c r="P87" i="3"/>
  <c r="O87" i="3"/>
  <c r="S87" i="3" s="1"/>
  <c r="P81" i="3"/>
  <c r="O81" i="3"/>
  <c r="S81" i="3" s="1"/>
  <c r="P75" i="3"/>
  <c r="O75" i="3"/>
  <c r="S75" i="3" s="1"/>
  <c r="P63" i="3"/>
  <c r="O63" i="3"/>
  <c r="S63" i="3" s="1"/>
  <c r="P57" i="3"/>
  <c r="O57" i="3"/>
  <c r="S57" i="3" s="1"/>
  <c r="P45" i="3"/>
  <c r="O45" i="3"/>
  <c r="S45" i="3" s="1"/>
  <c r="P39" i="3"/>
  <c r="O39" i="3"/>
  <c r="S39" i="3" s="1"/>
  <c r="P33" i="3"/>
  <c r="O33" i="3"/>
  <c r="S33" i="3" s="1"/>
  <c r="P15" i="3"/>
  <c r="O15" i="3"/>
  <c r="S15" i="3" s="1"/>
  <c r="P9" i="3"/>
  <c r="O9" i="3"/>
  <c r="S9" i="3" s="1"/>
  <c r="P3" i="3"/>
  <c r="O3" i="3"/>
  <c r="S3" i="3" s="1"/>
  <c r="O491" i="3"/>
  <c r="S491" i="3" s="1"/>
  <c r="O467" i="3"/>
  <c r="S467" i="3" s="1"/>
  <c r="O419" i="3"/>
  <c r="S419" i="3" s="1"/>
  <c r="O347" i="3"/>
  <c r="S347" i="3" s="1"/>
  <c r="O275" i="3"/>
  <c r="S275" i="3" s="1"/>
  <c r="O223" i="3"/>
  <c r="S223" i="3" s="1"/>
  <c r="O195" i="3"/>
  <c r="S195" i="3" s="1"/>
  <c r="O165" i="3"/>
  <c r="S165" i="3" s="1"/>
  <c r="O127" i="3"/>
  <c r="S127" i="3" s="1"/>
  <c r="O83" i="3"/>
  <c r="S83" i="3" s="1"/>
  <c r="O41" i="3"/>
  <c r="S41" i="3" s="1"/>
  <c r="P239" i="3"/>
  <c r="O500" i="3"/>
  <c r="S500" i="3" s="1"/>
  <c r="O494" i="3"/>
  <c r="S494" i="3" s="1"/>
  <c r="O488" i="3"/>
  <c r="S488" i="3" s="1"/>
  <c r="O482" i="3"/>
  <c r="S482" i="3" s="1"/>
  <c r="O476" i="3"/>
  <c r="S476" i="3" s="1"/>
  <c r="O470" i="3"/>
  <c r="S470" i="3" s="1"/>
  <c r="O464" i="3"/>
  <c r="S464" i="3" s="1"/>
  <c r="P464" i="3"/>
  <c r="O458" i="3"/>
  <c r="S458" i="3" s="1"/>
  <c r="P458" i="3"/>
  <c r="O452" i="3"/>
  <c r="S452" i="3" s="1"/>
  <c r="P452" i="3"/>
  <c r="O446" i="3"/>
  <c r="S446" i="3" s="1"/>
  <c r="P446" i="3"/>
  <c r="O440" i="3"/>
  <c r="S440" i="3" s="1"/>
  <c r="P440" i="3"/>
  <c r="O434" i="3"/>
  <c r="S434" i="3" s="1"/>
  <c r="P434" i="3"/>
  <c r="O428" i="3"/>
  <c r="S428" i="3" s="1"/>
  <c r="P428" i="3"/>
  <c r="O422" i="3"/>
  <c r="S422" i="3" s="1"/>
  <c r="P422" i="3"/>
  <c r="O416" i="3"/>
  <c r="S416" i="3" s="1"/>
  <c r="P416" i="3"/>
  <c r="O410" i="3"/>
  <c r="S410" i="3" s="1"/>
  <c r="P410" i="3"/>
  <c r="O404" i="3"/>
  <c r="S404" i="3" s="1"/>
  <c r="P404" i="3"/>
  <c r="O398" i="3"/>
  <c r="S398" i="3" s="1"/>
  <c r="P398" i="3"/>
  <c r="O392" i="3"/>
  <c r="S392" i="3" s="1"/>
  <c r="P392" i="3"/>
  <c r="O386" i="3"/>
  <c r="S386" i="3" s="1"/>
  <c r="P386" i="3"/>
  <c r="O380" i="3"/>
  <c r="S380" i="3" s="1"/>
  <c r="P380" i="3"/>
  <c r="O374" i="3"/>
  <c r="S374" i="3" s="1"/>
  <c r="P374" i="3"/>
  <c r="O368" i="3"/>
  <c r="S368" i="3" s="1"/>
  <c r="P368" i="3"/>
  <c r="O362" i="3"/>
  <c r="S362" i="3" s="1"/>
  <c r="P362" i="3"/>
  <c r="O356" i="3"/>
  <c r="S356" i="3" s="1"/>
  <c r="P356" i="3"/>
  <c r="O350" i="3"/>
  <c r="S350" i="3" s="1"/>
  <c r="P350" i="3"/>
  <c r="O344" i="3"/>
  <c r="S344" i="3" s="1"/>
  <c r="P344" i="3"/>
  <c r="O338" i="3"/>
  <c r="S338" i="3" s="1"/>
  <c r="P338" i="3"/>
  <c r="O332" i="3"/>
  <c r="S332" i="3" s="1"/>
  <c r="P332" i="3"/>
  <c r="O326" i="3"/>
  <c r="S326" i="3" s="1"/>
  <c r="P326" i="3"/>
  <c r="O320" i="3"/>
  <c r="S320" i="3" s="1"/>
  <c r="P320" i="3"/>
  <c r="O314" i="3"/>
  <c r="S314" i="3" s="1"/>
  <c r="P314" i="3"/>
  <c r="O308" i="3"/>
  <c r="S308" i="3" s="1"/>
  <c r="P308" i="3"/>
  <c r="O302" i="3"/>
  <c r="S302" i="3" s="1"/>
  <c r="P302" i="3"/>
  <c r="O296" i="3"/>
  <c r="S296" i="3" s="1"/>
  <c r="P296" i="3"/>
  <c r="O290" i="3"/>
  <c r="S290" i="3" s="1"/>
  <c r="P290" i="3"/>
  <c r="O284" i="3"/>
  <c r="S284" i="3" s="1"/>
  <c r="P284" i="3"/>
  <c r="O278" i="3"/>
  <c r="S278" i="3" s="1"/>
  <c r="P278" i="3"/>
  <c r="O272" i="3"/>
  <c r="S272" i="3" s="1"/>
  <c r="P272" i="3"/>
  <c r="O266" i="3"/>
  <c r="S266" i="3" s="1"/>
  <c r="P266" i="3"/>
  <c r="O260" i="3"/>
  <c r="S260" i="3" s="1"/>
  <c r="P260" i="3"/>
  <c r="O254" i="3"/>
  <c r="S254" i="3" s="1"/>
  <c r="P254" i="3"/>
  <c r="O248" i="3"/>
  <c r="S248" i="3" s="1"/>
  <c r="P248" i="3"/>
  <c r="O242" i="3"/>
  <c r="S242" i="3" s="1"/>
  <c r="P242" i="3"/>
  <c r="O236" i="3"/>
  <c r="S236" i="3" s="1"/>
  <c r="P236" i="3"/>
  <c r="O230" i="3"/>
  <c r="S230" i="3" s="1"/>
  <c r="P230" i="3"/>
  <c r="O224" i="3"/>
  <c r="S224" i="3" s="1"/>
  <c r="P224" i="3"/>
  <c r="O218" i="3"/>
  <c r="S218" i="3" s="1"/>
  <c r="P218" i="3"/>
  <c r="O212" i="3"/>
  <c r="S212" i="3" s="1"/>
  <c r="P212" i="3"/>
  <c r="O206" i="3"/>
  <c r="S206" i="3" s="1"/>
  <c r="O200" i="3"/>
  <c r="S200" i="3" s="1"/>
  <c r="P200" i="3"/>
  <c r="O194" i="3"/>
  <c r="S194" i="3" s="1"/>
  <c r="O188" i="3"/>
  <c r="S188" i="3" s="1"/>
  <c r="P188" i="3"/>
  <c r="O182" i="3"/>
  <c r="S182" i="3" s="1"/>
  <c r="O176" i="3"/>
  <c r="S176" i="3" s="1"/>
  <c r="P176" i="3"/>
  <c r="O170" i="3"/>
  <c r="S170" i="3" s="1"/>
  <c r="O164" i="3"/>
  <c r="S164" i="3" s="1"/>
  <c r="P164" i="3"/>
  <c r="O158" i="3"/>
  <c r="S158" i="3" s="1"/>
  <c r="O152" i="3"/>
  <c r="S152" i="3" s="1"/>
  <c r="P152" i="3"/>
  <c r="O146" i="3"/>
  <c r="S146" i="3" s="1"/>
  <c r="O140" i="3"/>
  <c r="S140" i="3" s="1"/>
  <c r="P140" i="3"/>
  <c r="O134" i="3"/>
  <c r="S134" i="3" s="1"/>
  <c r="O128" i="3"/>
  <c r="S128" i="3" s="1"/>
  <c r="P128" i="3"/>
  <c r="O122" i="3"/>
  <c r="S122" i="3" s="1"/>
  <c r="O116" i="3"/>
  <c r="S116" i="3" s="1"/>
  <c r="P116" i="3"/>
  <c r="O110" i="3"/>
  <c r="S110" i="3" s="1"/>
  <c r="O104" i="3"/>
  <c r="S104" i="3" s="1"/>
  <c r="P104" i="3"/>
  <c r="O98" i="3"/>
  <c r="S98" i="3" s="1"/>
  <c r="O92" i="3"/>
  <c r="S92" i="3" s="1"/>
  <c r="P92" i="3"/>
  <c r="O86" i="3"/>
  <c r="S86" i="3" s="1"/>
  <c r="O80" i="3"/>
  <c r="S80" i="3" s="1"/>
  <c r="P80" i="3"/>
  <c r="O74" i="3"/>
  <c r="S74" i="3" s="1"/>
  <c r="O68" i="3"/>
  <c r="S68" i="3" s="1"/>
  <c r="P68" i="3"/>
  <c r="O62" i="3"/>
  <c r="S62" i="3" s="1"/>
  <c r="O56" i="3"/>
  <c r="S56" i="3" s="1"/>
  <c r="P56" i="3"/>
  <c r="O50" i="3"/>
  <c r="S50" i="3" s="1"/>
  <c r="O44" i="3"/>
  <c r="S44" i="3" s="1"/>
  <c r="P44" i="3"/>
  <c r="O38" i="3"/>
  <c r="S38" i="3" s="1"/>
  <c r="O32" i="3"/>
  <c r="S32" i="3" s="1"/>
  <c r="P32" i="3"/>
  <c r="O26" i="3"/>
  <c r="S26" i="3" s="1"/>
  <c r="O20" i="3"/>
  <c r="S20" i="3" s="1"/>
  <c r="P20" i="3"/>
  <c r="O14" i="3"/>
  <c r="S14" i="3" s="1"/>
  <c r="O8" i="3"/>
  <c r="S8" i="3" s="1"/>
  <c r="P8" i="3"/>
  <c r="P494" i="3"/>
  <c r="P482" i="3"/>
  <c r="P470" i="3"/>
  <c r="O498" i="3"/>
  <c r="S498" i="3" s="1"/>
  <c r="O492" i="3"/>
  <c r="S492" i="3" s="1"/>
  <c r="O486" i="3"/>
  <c r="S486" i="3" s="1"/>
  <c r="O480" i="3"/>
  <c r="S480" i="3" s="1"/>
  <c r="O474" i="3"/>
  <c r="S474" i="3" s="1"/>
  <c r="O468" i="3"/>
  <c r="S468" i="3" s="1"/>
  <c r="O462" i="3"/>
  <c r="S462" i="3" s="1"/>
  <c r="O456" i="3"/>
  <c r="S456" i="3" s="1"/>
  <c r="O450" i="3"/>
  <c r="S450" i="3" s="1"/>
  <c r="O444" i="3"/>
  <c r="S444" i="3" s="1"/>
  <c r="O438" i="3"/>
  <c r="S438" i="3" s="1"/>
  <c r="O432" i="3"/>
  <c r="S432" i="3" s="1"/>
  <c r="O426" i="3"/>
  <c r="S426" i="3" s="1"/>
  <c r="O420" i="3"/>
  <c r="S420" i="3" s="1"/>
  <c r="O414" i="3"/>
  <c r="S414" i="3" s="1"/>
  <c r="O408" i="3"/>
  <c r="S408" i="3" s="1"/>
  <c r="O402" i="3"/>
  <c r="S402" i="3" s="1"/>
  <c r="O396" i="3"/>
  <c r="S396" i="3" s="1"/>
  <c r="O390" i="3"/>
  <c r="S390" i="3" s="1"/>
  <c r="O384" i="3"/>
  <c r="S384" i="3" s="1"/>
  <c r="O378" i="3"/>
  <c r="S378" i="3" s="1"/>
  <c r="O372" i="3"/>
  <c r="S372" i="3" s="1"/>
  <c r="O366" i="3"/>
  <c r="S366" i="3" s="1"/>
  <c r="O360" i="3"/>
  <c r="S360" i="3" s="1"/>
  <c r="O354" i="3"/>
  <c r="S354" i="3" s="1"/>
  <c r="O348" i="3"/>
  <c r="S348" i="3" s="1"/>
  <c r="O342" i="3"/>
  <c r="S342" i="3" s="1"/>
  <c r="O336" i="3"/>
  <c r="S336" i="3" s="1"/>
  <c r="O330" i="3"/>
  <c r="S330" i="3" s="1"/>
  <c r="O324" i="3"/>
  <c r="S324" i="3" s="1"/>
  <c r="O318" i="3"/>
  <c r="S318" i="3" s="1"/>
  <c r="O312" i="3"/>
  <c r="S312" i="3" s="1"/>
  <c r="O306" i="3"/>
  <c r="S306" i="3" s="1"/>
  <c r="O300" i="3"/>
  <c r="S300" i="3" s="1"/>
  <c r="O294" i="3"/>
  <c r="S294" i="3" s="1"/>
  <c r="O288" i="3"/>
  <c r="S288" i="3" s="1"/>
  <c r="O282" i="3"/>
  <c r="S282" i="3" s="1"/>
  <c r="O276" i="3"/>
  <c r="S276" i="3" s="1"/>
  <c r="O270" i="3"/>
  <c r="S270" i="3" s="1"/>
  <c r="O264" i="3"/>
  <c r="S264" i="3" s="1"/>
  <c r="O258" i="3"/>
  <c r="S258" i="3" s="1"/>
  <c r="O252" i="3"/>
  <c r="S252" i="3" s="1"/>
  <c r="O246" i="3"/>
  <c r="S246" i="3" s="1"/>
  <c r="O240" i="3"/>
  <c r="S240" i="3" s="1"/>
  <c r="O234" i="3"/>
  <c r="S234" i="3" s="1"/>
  <c r="O228" i="3"/>
  <c r="S228" i="3" s="1"/>
  <c r="O222" i="3"/>
  <c r="S222" i="3" s="1"/>
  <c r="O216" i="3"/>
  <c r="S216" i="3" s="1"/>
  <c r="O210" i="3"/>
  <c r="S210" i="3" s="1"/>
  <c r="O204" i="3"/>
  <c r="S204" i="3" s="1"/>
  <c r="O198" i="3"/>
  <c r="S198" i="3" s="1"/>
  <c r="O192" i="3"/>
  <c r="S192" i="3" s="1"/>
  <c r="O186" i="3"/>
  <c r="S186" i="3" s="1"/>
  <c r="O180" i="3"/>
  <c r="S180" i="3" s="1"/>
  <c r="O174" i="3"/>
  <c r="S174" i="3" s="1"/>
  <c r="O168" i="3"/>
  <c r="S168" i="3" s="1"/>
  <c r="O162" i="3"/>
  <c r="S162" i="3" s="1"/>
  <c r="O156" i="3"/>
  <c r="S156" i="3" s="1"/>
  <c r="O150" i="3"/>
  <c r="S150" i="3" s="1"/>
  <c r="O144" i="3"/>
  <c r="S144" i="3" s="1"/>
  <c r="O138" i="3"/>
  <c r="S138" i="3" s="1"/>
  <c r="O132" i="3"/>
  <c r="S132" i="3" s="1"/>
  <c r="O126" i="3"/>
  <c r="S126" i="3" s="1"/>
  <c r="O120" i="3"/>
  <c r="S120" i="3" s="1"/>
  <c r="O114" i="3"/>
  <c r="S114" i="3" s="1"/>
  <c r="O108" i="3"/>
  <c r="S108" i="3" s="1"/>
  <c r="O102" i="3"/>
  <c r="S102" i="3" s="1"/>
  <c r="O96" i="3"/>
  <c r="S96" i="3" s="1"/>
  <c r="O90" i="3"/>
  <c r="S90" i="3" s="1"/>
  <c r="O84" i="3"/>
  <c r="S84" i="3" s="1"/>
  <c r="O78" i="3"/>
  <c r="S78" i="3" s="1"/>
  <c r="O72" i="3"/>
  <c r="S72" i="3" s="1"/>
  <c r="O66" i="3"/>
  <c r="S66" i="3" s="1"/>
  <c r="O60" i="3"/>
  <c r="S60" i="3" s="1"/>
  <c r="O54" i="3"/>
  <c r="S54" i="3" s="1"/>
  <c r="O48" i="3"/>
  <c r="S48" i="3" s="1"/>
  <c r="O42" i="3"/>
  <c r="S42" i="3" s="1"/>
  <c r="O36" i="3"/>
  <c r="S36" i="3" s="1"/>
  <c r="O30" i="3"/>
  <c r="S30" i="3" s="1"/>
  <c r="O24" i="3"/>
  <c r="S24" i="3" s="1"/>
  <c r="O18" i="3"/>
  <c r="S18" i="3" s="1"/>
  <c r="O12" i="3"/>
  <c r="S12" i="3" s="1"/>
  <c r="O6" i="3"/>
  <c r="S6" i="3" s="1"/>
  <c r="P2" i="3"/>
  <c r="O496" i="3"/>
  <c r="S496" i="3" s="1"/>
  <c r="O490" i="3"/>
  <c r="S490" i="3" s="1"/>
  <c r="O484" i="3"/>
  <c r="S484" i="3" s="1"/>
  <c r="O478" i="3"/>
  <c r="S478" i="3" s="1"/>
  <c r="O472" i="3"/>
  <c r="S472" i="3" s="1"/>
  <c r="P466" i="3"/>
  <c r="O460" i="3"/>
  <c r="S460" i="3" s="1"/>
  <c r="O454" i="3"/>
  <c r="S454" i="3" s="1"/>
  <c r="O448" i="3"/>
  <c r="S448" i="3" s="1"/>
  <c r="O442" i="3"/>
  <c r="S442" i="3" s="1"/>
  <c r="O436" i="3"/>
  <c r="S436" i="3" s="1"/>
  <c r="O430" i="3"/>
  <c r="S430" i="3" s="1"/>
  <c r="O424" i="3"/>
  <c r="S424" i="3" s="1"/>
  <c r="O418" i="3"/>
  <c r="S418" i="3" s="1"/>
  <c r="O412" i="3"/>
  <c r="S412" i="3" s="1"/>
  <c r="O406" i="3"/>
  <c r="S406" i="3" s="1"/>
  <c r="O400" i="3"/>
  <c r="S400" i="3" s="1"/>
  <c r="O394" i="3"/>
  <c r="S394" i="3" s="1"/>
  <c r="O388" i="3"/>
  <c r="S388" i="3" s="1"/>
  <c r="O382" i="3"/>
  <c r="S382" i="3" s="1"/>
  <c r="O376" i="3"/>
  <c r="S376" i="3" s="1"/>
  <c r="O370" i="3"/>
  <c r="S370" i="3" s="1"/>
  <c r="O364" i="3"/>
  <c r="S364" i="3" s="1"/>
  <c r="O358" i="3"/>
  <c r="S358" i="3" s="1"/>
  <c r="O352" i="3"/>
  <c r="S352" i="3" s="1"/>
  <c r="O346" i="3"/>
  <c r="S346" i="3" s="1"/>
  <c r="O340" i="3"/>
  <c r="S340" i="3" s="1"/>
  <c r="O334" i="3"/>
  <c r="S334" i="3" s="1"/>
  <c r="O328" i="3"/>
  <c r="S328" i="3" s="1"/>
  <c r="O322" i="3"/>
  <c r="S322" i="3" s="1"/>
  <c r="O316" i="3"/>
  <c r="S316" i="3" s="1"/>
  <c r="O310" i="3"/>
  <c r="S310" i="3" s="1"/>
  <c r="O304" i="3"/>
  <c r="S304" i="3" s="1"/>
  <c r="O298" i="3"/>
  <c r="S298" i="3" s="1"/>
  <c r="O292" i="3"/>
  <c r="S292" i="3" s="1"/>
  <c r="O286" i="3"/>
  <c r="S286" i="3" s="1"/>
  <c r="O280" i="3"/>
  <c r="S280" i="3" s="1"/>
  <c r="O274" i="3"/>
  <c r="S274" i="3" s="1"/>
  <c r="O268" i="3"/>
  <c r="S268" i="3" s="1"/>
  <c r="O262" i="3"/>
  <c r="S262" i="3" s="1"/>
  <c r="O256" i="3"/>
  <c r="S256" i="3" s="1"/>
  <c r="O250" i="3"/>
  <c r="S250" i="3" s="1"/>
  <c r="O244" i="3"/>
  <c r="S244" i="3" s="1"/>
  <c r="O238" i="3"/>
  <c r="S238" i="3" s="1"/>
  <c r="O232" i="3"/>
  <c r="S232" i="3" s="1"/>
  <c r="O226" i="3"/>
  <c r="S226" i="3" s="1"/>
  <c r="O220" i="3"/>
  <c r="S220" i="3" s="1"/>
  <c r="O214" i="3"/>
  <c r="S214" i="3" s="1"/>
  <c r="O208" i="3"/>
  <c r="S208" i="3" s="1"/>
  <c r="O202" i="3"/>
  <c r="S202" i="3" s="1"/>
  <c r="O196" i="3"/>
  <c r="S196" i="3" s="1"/>
  <c r="O190" i="3"/>
  <c r="S190" i="3" s="1"/>
  <c r="O184" i="3"/>
  <c r="S184" i="3" s="1"/>
  <c r="O178" i="3"/>
  <c r="S178" i="3" s="1"/>
  <c r="O172" i="3"/>
  <c r="S172" i="3" s="1"/>
  <c r="O166" i="3"/>
  <c r="S166" i="3" s="1"/>
  <c r="O160" i="3"/>
  <c r="S160" i="3" s="1"/>
  <c r="O154" i="3"/>
  <c r="S154" i="3" s="1"/>
  <c r="O148" i="3"/>
  <c r="S148" i="3" s="1"/>
  <c r="O142" i="3"/>
  <c r="S142" i="3" s="1"/>
  <c r="O136" i="3"/>
  <c r="S136" i="3" s="1"/>
  <c r="O130" i="3"/>
  <c r="S130" i="3" s="1"/>
  <c r="O124" i="3"/>
  <c r="S124" i="3" s="1"/>
  <c r="O118" i="3"/>
  <c r="S118" i="3" s="1"/>
  <c r="O112" i="3"/>
  <c r="S112" i="3" s="1"/>
  <c r="O106" i="3"/>
  <c r="S106" i="3" s="1"/>
  <c r="O100" i="3"/>
  <c r="S100" i="3" s="1"/>
  <c r="O94" i="3"/>
  <c r="S94" i="3" s="1"/>
  <c r="O88" i="3"/>
  <c r="S88" i="3" s="1"/>
  <c r="O82" i="3"/>
  <c r="S82" i="3" s="1"/>
  <c r="O76" i="3"/>
  <c r="S76" i="3" s="1"/>
  <c r="O70" i="3"/>
  <c r="S70" i="3" s="1"/>
  <c r="O64" i="3"/>
  <c r="S64" i="3" s="1"/>
  <c r="O58" i="3"/>
  <c r="S58" i="3" s="1"/>
  <c r="O52" i="3"/>
  <c r="S52" i="3" s="1"/>
  <c r="O46" i="3"/>
  <c r="S46" i="3" s="1"/>
  <c r="O40" i="3"/>
  <c r="S40" i="3" s="1"/>
  <c r="O34" i="3"/>
  <c r="S34" i="3" s="1"/>
  <c r="O28" i="3"/>
  <c r="S28" i="3" s="1"/>
  <c r="O22" i="3"/>
  <c r="S22" i="3" s="1"/>
  <c r="O16" i="3"/>
  <c r="S16" i="3" s="1"/>
  <c r="O10" i="3"/>
  <c r="S10" i="3" s="1"/>
  <c r="O4" i="3"/>
  <c r="S4" i="3" s="1"/>
  <c r="O466" i="3"/>
  <c r="S466" i="3" s="1"/>
  <c r="O2" i="3"/>
  <c r="S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B92A41-F2F7-49D1-BD4E-540FAA54D8C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<sst xmlns="http://schemas.openxmlformats.org/spreadsheetml/2006/main" count="12165" uniqueCount="2341">
  <si>
    <t>Address</t>
  </si>
  <si>
    <t>PostalCode</t>
  </si>
  <si>
    <t>Phone</t>
  </si>
  <si>
    <t>Country</t>
  </si>
  <si>
    <t>CityInput</t>
  </si>
  <si>
    <t>PropertyID</t>
  </si>
  <si>
    <t>Status</t>
  </si>
  <si>
    <t>UpdatedDate</t>
  </si>
  <si>
    <t>SourceSystem</t>
  </si>
  <si>
    <t>Notes</t>
  </si>
  <si>
    <t>FranceToulouse</t>
  </si>
  <si>
    <t>+17-315833500</t>
  </si>
  <si>
    <t>France</t>
  </si>
  <si>
    <t>Toulouse</t>
  </si>
  <si>
    <t>PROP00001</t>
  </si>
  <si>
    <t>Active</t>
  </si>
  <si>
    <t>ServiceNow</t>
  </si>
  <si>
    <t>Check postal code</t>
  </si>
  <si>
    <t>Lyon, Donald Cove 35, France</t>
  </si>
  <si>
    <t>+80-319837636</t>
  </si>
  <si>
    <t>Lyon</t>
  </si>
  <si>
    <t>PROP00002</t>
  </si>
  <si>
    <t>Inactive</t>
  </si>
  <si>
    <t>Planon</t>
  </si>
  <si>
    <t>Pending validation</t>
  </si>
  <si>
    <t>UKLeeds, UK</t>
  </si>
  <si>
    <t>+9-597990383</t>
  </si>
  <si>
    <t>UK</t>
  </si>
  <si>
    <t>Leeds</t>
  </si>
  <si>
    <t>PROP00003</t>
  </si>
  <si>
    <t>ToulouseJeffery Parkways231, France</t>
  </si>
  <si>
    <t>+41-562032557</t>
  </si>
  <si>
    <t>PROP00004</t>
  </si>
  <si>
    <t>MDG</t>
  </si>
  <si>
    <t>AdelaideAnna Stravenue73, Australia</t>
  </si>
  <si>
    <t>+58-662081724</t>
  </si>
  <si>
    <t>Australia</t>
  </si>
  <si>
    <t>Adelaide</t>
  </si>
  <si>
    <t>PROP00005</t>
  </si>
  <si>
    <t>Salesforce</t>
  </si>
  <si>
    <t>USA, Phoenix</t>
  </si>
  <si>
    <t>+75-783458296</t>
  </si>
  <si>
    <t>USA</t>
  </si>
  <si>
    <t>Phoenix</t>
  </si>
  <si>
    <t>PROP00006</t>
  </si>
  <si>
    <t>Katherine Estate 93, Germany, Cologne</t>
  </si>
  <si>
    <t>+24-457327975</t>
  </si>
  <si>
    <t>Germany</t>
  </si>
  <si>
    <t>Cologne</t>
  </si>
  <si>
    <t>PROP00007</t>
  </si>
  <si>
    <t>Imported from legacy system</t>
  </si>
  <si>
    <t>Peterson Drives 204, Germany, Cologne</t>
  </si>
  <si>
    <t>+49-576610421</t>
  </si>
  <si>
    <t>PROP00008</t>
  </si>
  <si>
    <t>SAP</t>
  </si>
  <si>
    <t>SpainBarcelona, Spain</t>
  </si>
  <si>
    <t>+34-805788258</t>
  </si>
  <si>
    <t>Spain</t>
  </si>
  <si>
    <t>Barcelona</t>
  </si>
  <si>
    <t>PROP00009</t>
  </si>
  <si>
    <t>Abbott Rapids 298, Brazil, Brasília</t>
  </si>
  <si>
    <t>+74-707015923</t>
  </si>
  <si>
    <t>Brazil</t>
  </si>
  <si>
    <t>Brasília</t>
  </si>
  <si>
    <t>PROP00010</t>
  </si>
  <si>
    <t>Australia, Perth</t>
  </si>
  <si>
    <t>+19-563762604</t>
  </si>
  <si>
    <t>Perth</t>
  </si>
  <si>
    <t>PROP00011</t>
  </si>
  <si>
    <t>CanadaOttawa</t>
  </si>
  <si>
    <t>+76-641811982</t>
  </si>
  <si>
    <t>Canada</t>
  </si>
  <si>
    <t>Ottawa</t>
  </si>
  <si>
    <t>PROP00012</t>
  </si>
  <si>
    <t>USALos AngelesRay Squares47</t>
  </si>
  <si>
    <t>+28-603554893</t>
  </si>
  <si>
    <t>Los Angeles</t>
  </si>
  <si>
    <t>PROP00013</t>
  </si>
  <si>
    <t>Verified</t>
  </si>
  <si>
    <t>Donna Trail 183, UK, Leeds</t>
  </si>
  <si>
    <t>+43-971324654</t>
  </si>
  <si>
    <t>PROP00014</t>
  </si>
  <si>
    <t>ItalyRome</t>
  </si>
  <si>
    <t>+85-846405798</t>
  </si>
  <si>
    <t>Italy</t>
  </si>
  <si>
    <t>Rome</t>
  </si>
  <si>
    <t>PROP00015</t>
  </si>
  <si>
    <t>BrazilSalvador, Brazil</t>
  </si>
  <si>
    <t>+27-184834988</t>
  </si>
  <si>
    <t>Salvador</t>
  </si>
  <si>
    <t>PROP00016</t>
  </si>
  <si>
    <t>CanadaCalgary, Canada</t>
  </si>
  <si>
    <t>+28-803880368</t>
  </si>
  <si>
    <t>Calgary</t>
  </si>
  <si>
    <t>PROP00017</t>
  </si>
  <si>
    <t>Needs review</t>
  </si>
  <si>
    <t>UK, Birmingham</t>
  </si>
  <si>
    <t>+41-132506172</t>
  </si>
  <si>
    <t>Birmingham</t>
  </si>
  <si>
    <t>PROP00018</t>
  </si>
  <si>
    <t>BrasíliaChelsea Extension100, Brazil</t>
  </si>
  <si>
    <t>+67-358446679</t>
  </si>
  <si>
    <t>PROP00019</t>
  </si>
  <si>
    <t>Canada, Calgary, Frank Light 65</t>
  </si>
  <si>
    <t>+42-523118317</t>
  </si>
  <si>
    <t>PROP00020</t>
  </si>
  <si>
    <t>Chicago, Gabrielle Ville 211, USA</t>
  </si>
  <si>
    <t>+92-984554908</t>
  </si>
  <si>
    <t>Chicago</t>
  </si>
  <si>
    <t>PROP00021</t>
  </si>
  <si>
    <t>GermanyMunichLydia Valley281</t>
  </si>
  <si>
    <t>+48-719462908</t>
  </si>
  <si>
    <t>Munich</t>
  </si>
  <si>
    <t>PROP00022</t>
  </si>
  <si>
    <t>GermanyCologne</t>
  </si>
  <si>
    <t>+65-946225910</t>
  </si>
  <si>
    <t>PROP00023</t>
  </si>
  <si>
    <t>ItalyFlorenceLewis Parks198</t>
  </si>
  <si>
    <t>+69-262946533</t>
  </si>
  <si>
    <t>Florence</t>
  </si>
  <si>
    <t>PROP00024</t>
  </si>
  <si>
    <t>Thomas Dam 63, France, Marseille</t>
  </si>
  <si>
    <t>+87-969160078</t>
  </si>
  <si>
    <t>Marseille</t>
  </si>
  <si>
    <t>PROP00025</t>
  </si>
  <si>
    <t>Burgess Meadow 171, Australia, Melbourne</t>
  </si>
  <si>
    <t>+91-598066265</t>
  </si>
  <si>
    <t>Melbourne</t>
  </si>
  <si>
    <t>PROP00026</t>
  </si>
  <si>
    <t>SydneyCox Dam230, Australia</t>
  </si>
  <si>
    <t>+26-438045007</t>
  </si>
  <si>
    <t>Sydney</t>
  </si>
  <si>
    <t>PROP00027</t>
  </si>
  <si>
    <t>LeedsDavis Causeway293, UK</t>
  </si>
  <si>
    <t>+52-806505381</t>
  </si>
  <si>
    <t>PROP00028</t>
  </si>
  <si>
    <t>Courtney Turnpike165, Bordeaux, France</t>
  </si>
  <si>
    <t>+61-184724290</t>
  </si>
  <si>
    <t>Bordeaux</t>
  </si>
  <si>
    <t>PROP00029</t>
  </si>
  <si>
    <t>Germany, Cologne</t>
  </si>
  <si>
    <t>+84-507576334</t>
  </si>
  <si>
    <t>PROP00030</t>
  </si>
  <si>
    <t>Canada, Ottawa</t>
  </si>
  <si>
    <t>+13-132980297</t>
  </si>
  <si>
    <t>PROP00031</t>
  </si>
  <si>
    <t>UKBirmingham, UK</t>
  </si>
  <si>
    <t>+36-618266385</t>
  </si>
  <si>
    <t>PROP00032</t>
  </si>
  <si>
    <t>MunichMack Junctions229, Germany</t>
  </si>
  <si>
    <t>+35-763070022</t>
  </si>
  <si>
    <t>PROP00033</t>
  </si>
  <si>
    <t>Graham Motorway 9, Rio de Janeiro</t>
  </si>
  <si>
    <t>+5-377335239</t>
  </si>
  <si>
    <t>Rio de Janeiro</t>
  </si>
  <si>
    <t>PROP00034</t>
  </si>
  <si>
    <t>UK, Manchester, Stanton Track 112</t>
  </si>
  <si>
    <t>+82-366448994</t>
  </si>
  <si>
    <t>Manchester</t>
  </si>
  <si>
    <t>PROP00035</t>
  </si>
  <si>
    <t>Australia, Brisbane, Monica Hills 117</t>
  </si>
  <si>
    <t>+8-137243090</t>
  </si>
  <si>
    <t>Brisbane</t>
  </si>
  <si>
    <t>PROP00036</t>
  </si>
  <si>
    <t>France, Paris, Eric Track 273</t>
  </si>
  <si>
    <t>+7-834425624</t>
  </si>
  <si>
    <t>Paris</t>
  </si>
  <si>
    <t>PROP00037</t>
  </si>
  <si>
    <t>SydneyCarol Overpass103, Australia</t>
  </si>
  <si>
    <t>+54-303640140</t>
  </si>
  <si>
    <t>PROP00038</t>
  </si>
  <si>
    <t>SapporoSarah Wells54, Japan</t>
  </si>
  <si>
    <t>+15-618313077</t>
  </si>
  <si>
    <t>Japan</t>
  </si>
  <si>
    <t>Sapporo</t>
  </si>
  <si>
    <t>PROP00039</t>
  </si>
  <si>
    <t>Brian Wells1, Cologne, Germany</t>
  </si>
  <si>
    <t>+88-717877765</t>
  </si>
  <si>
    <t>PROP00040</t>
  </si>
  <si>
    <t>Christopher Oval 268, Germany, Hamburg</t>
  </si>
  <si>
    <t>+41-674271263</t>
  </si>
  <si>
    <t>Hamburg</t>
  </si>
  <si>
    <t>PROP00041</t>
  </si>
  <si>
    <t>FranceToulouse, France</t>
  </si>
  <si>
    <t>+11-495234164</t>
  </si>
  <si>
    <t>PROP00042</t>
  </si>
  <si>
    <t>Joseph Well 117, Salvador</t>
  </si>
  <si>
    <t>+97-188042154</t>
  </si>
  <si>
    <t>PROP00043</t>
  </si>
  <si>
    <t>Brandt Plains 73, Japan, Osaka</t>
  </si>
  <si>
    <t>+56-127164941</t>
  </si>
  <si>
    <t>Osaka</t>
  </si>
  <si>
    <t>PROP00044</t>
  </si>
  <si>
    <t>JapanOsaka</t>
  </si>
  <si>
    <t>+56-410716797</t>
  </si>
  <si>
    <t>PROP00045</t>
  </si>
  <si>
    <t>AustraliaAdelaideKim Path237</t>
  </si>
  <si>
    <t>+95-122092046</t>
  </si>
  <si>
    <t>PROP00046</t>
  </si>
  <si>
    <t>John Circles101, Turin, Italy</t>
  </si>
  <si>
    <t>+19-387273819</t>
  </si>
  <si>
    <t>Turin</t>
  </si>
  <si>
    <t>PROP00047</t>
  </si>
  <si>
    <t>Brianna Forks 9, Brazil, Brasília</t>
  </si>
  <si>
    <t>+62-899523499</t>
  </si>
  <si>
    <t>PROP00048</t>
  </si>
  <si>
    <t>Japan, Osaka, Adrian Station 145</t>
  </si>
  <si>
    <t>+67-672353502</t>
  </si>
  <si>
    <t>PROP00049</t>
  </si>
  <si>
    <t>Jeremy Bypass 39, Australia, Sydney</t>
  </si>
  <si>
    <t>+88-308900942</t>
  </si>
  <si>
    <t>PROP00050</t>
  </si>
  <si>
    <t>GermanyCologneWillie Harbors52</t>
  </si>
  <si>
    <t>+80-988550237</t>
  </si>
  <si>
    <t>PROP00051</t>
  </si>
  <si>
    <t>ItalyRome, Italy</t>
  </si>
  <si>
    <t>+15-682304192</t>
  </si>
  <si>
    <t>PROP00052</t>
  </si>
  <si>
    <t>Brazil, Salvador, Sanchez Mountains 24</t>
  </si>
  <si>
    <t>+73-780711687</t>
  </si>
  <si>
    <t>PROP00053</t>
  </si>
  <si>
    <t>SpainMadrid</t>
  </si>
  <si>
    <t>+59-479803995</t>
  </si>
  <si>
    <t>Madrid</t>
  </si>
  <si>
    <t>PROP00054</t>
  </si>
  <si>
    <t>Henderson Mountain 121, USA, Los Angeles</t>
  </si>
  <si>
    <t>+34-334321119</t>
  </si>
  <si>
    <t>PROP00055</t>
  </si>
  <si>
    <t>Emily Rue 280, Liverpool</t>
  </si>
  <si>
    <t>+9-449353772</t>
  </si>
  <si>
    <t>Liverpool</t>
  </si>
  <si>
    <t>PROP00056</t>
  </si>
  <si>
    <t>Italy, Naples, Richard Junction 168</t>
  </si>
  <si>
    <t>+19-149280558</t>
  </si>
  <si>
    <t>Naples</t>
  </si>
  <si>
    <t>PROP00057</t>
  </si>
  <si>
    <t>James Plain175, Munich, Germany</t>
  </si>
  <si>
    <t>+36-371993988</t>
  </si>
  <si>
    <t>PROP00058</t>
  </si>
  <si>
    <t>LondonRobert Harbors170, UK</t>
  </si>
  <si>
    <t>+83-257012393</t>
  </si>
  <si>
    <t>London</t>
  </si>
  <si>
    <t>PROP00059</t>
  </si>
  <si>
    <t>Brisbane, Nancy Club 162, Australia</t>
  </si>
  <si>
    <t>+62-461988150</t>
  </si>
  <si>
    <t>PROP00060</t>
  </si>
  <si>
    <t>Italy, Milan</t>
  </si>
  <si>
    <t>+56-645238025</t>
  </si>
  <si>
    <t>Milan</t>
  </si>
  <si>
    <t>PROP00061</t>
  </si>
  <si>
    <t>SpainSeville</t>
  </si>
  <si>
    <t>+15-775114197</t>
  </si>
  <si>
    <t>Seville</t>
  </si>
  <si>
    <t>PROP00062</t>
  </si>
  <si>
    <t>BrazilRio de JaneiroRichard Orchard104</t>
  </si>
  <si>
    <t>+26-116958637</t>
  </si>
  <si>
    <t>PROP00063</t>
  </si>
  <si>
    <t>Barrera Expressway 8, Italy, Florence</t>
  </si>
  <si>
    <t>+19-823637428</t>
  </si>
  <si>
    <t>PROP00064</t>
  </si>
  <si>
    <t>Tricia Greens 134, UK, Liverpool</t>
  </si>
  <si>
    <t>+40-714942290</t>
  </si>
  <si>
    <t>PROP00065</t>
  </si>
  <si>
    <t>USAChicagoHenderson Street66</t>
  </si>
  <si>
    <t>+51-930349048</t>
  </si>
  <si>
    <t>PROP00066</t>
  </si>
  <si>
    <t>+2-179667335</t>
  </si>
  <si>
    <t>PROP00067</t>
  </si>
  <si>
    <t>Beth Plains244, Kyoto, Japan</t>
  </si>
  <si>
    <t>+76-822620464</t>
  </si>
  <si>
    <t>Kyoto</t>
  </si>
  <si>
    <t>PROP00068</t>
  </si>
  <si>
    <t>JapanKyoto</t>
  </si>
  <si>
    <t>+10-284307187</t>
  </si>
  <si>
    <t>PROP00069</t>
  </si>
  <si>
    <t>Brian Pass 14, Canada, Montreal</t>
  </si>
  <si>
    <t>+45-470241496</t>
  </si>
  <si>
    <t>Montreal</t>
  </si>
  <si>
    <t>PROP00070</t>
  </si>
  <si>
    <t>AustraliaSydney</t>
  </si>
  <si>
    <t>+54-855570893</t>
  </si>
  <si>
    <t>PROP00071</t>
  </si>
  <si>
    <t>MunichRichard Port188, Germany</t>
  </si>
  <si>
    <t>+74-771894322</t>
  </si>
  <si>
    <t>PROP00072</t>
  </si>
  <si>
    <t>Cologne, Christine Manor 113, Germany</t>
  </si>
  <si>
    <t>+9-738348476</t>
  </si>
  <si>
    <t>PROP00073</t>
  </si>
  <si>
    <t>Los Angeles, Donovan Ford 265, USA</t>
  </si>
  <si>
    <t>+57-284587208</t>
  </si>
  <si>
    <t>PROP00074</t>
  </si>
  <si>
    <t>Allen Locks 62, Rome</t>
  </si>
  <si>
    <t>+54-983740017</t>
  </si>
  <si>
    <t>PROP00075</t>
  </si>
  <si>
    <t>Bryant Terrace182, Munich, Germany</t>
  </si>
  <si>
    <t>+90-195206528</t>
  </si>
  <si>
    <t>PROP00076</t>
  </si>
  <si>
    <t>Canada, Calgary, Stephen Port 133</t>
  </si>
  <si>
    <t>+94-149826730</t>
  </si>
  <si>
    <t>PROP00077</t>
  </si>
  <si>
    <t>Spain, Barcelona</t>
  </si>
  <si>
    <t>+46-812005552</t>
  </si>
  <si>
    <t>PROP00078</t>
  </si>
  <si>
    <t>Sarah Cliff288, Houston, USA</t>
  </si>
  <si>
    <t>+80-204097491</t>
  </si>
  <si>
    <t>Houston</t>
  </si>
  <si>
    <t>PROP00079</t>
  </si>
  <si>
    <t>FranceBordeaux, France</t>
  </si>
  <si>
    <t>+71-821851087</t>
  </si>
  <si>
    <t>PROP00080</t>
  </si>
  <si>
    <t>Spain, Valencia</t>
  </si>
  <si>
    <t>+90-281357532</t>
  </si>
  <si>
    <t>Valencia</t>
  </si>
  <si>
    <t>PROP00081</t>
  </si>
  <si>
    <t>Brazil, São Paulo</t>
  </si>
  <si>
    <t>+61-406195764</t>
  </si>
  <si>
    <t>São Paulo</t>
  </si>
  <si>
    <t>PROP00082</t>
  </si>
  <si>
    <t>+43-610390467</t>
  </si>
  <si>
    <t>PROP00083</t>
  </si>
  <si>
    <t>USALos AngelesPamela Summit57</t>
  </si>
  <si>
    <t>+53-349046412</t>
  </si>
  <si>
    <t>PROP00084</t>
  </si>
  <si>
    <t>France, Toulouse, Joseph Rapids 253</t>
  </si>
  <si>
    <t>+71-437953376</t>
  </si>
  <si>
    <t>PROP00085</t>
  </si>
  <si>
    <t>Harris Roads19, Tokyo, Japan</t>
  </si>
  <si>
    <t>+43-753816494</t>
  </si>
  <si>
    <t>Tokyo</t>
  </si>
  <si>
    <t>PROP00086</t>
  </si>
  <si>
    <t>Australia, Sydney, King Vista 190</t>
  </si>
  <si>
    <t>+2-642643520</t>
  </si>
  <si>
    <t>PROP00087</t>
  </si>
  <si>
    <t>Germany, Munich</t>
  </si>
  <si>
    <t>+44-875991961</t>
  </si>
  <si>
    <t>PROP00088</t>
  </si>
  <si>
    <t>Japan, Kyoto</t>
  </si>
  <si>
    <t>+30-729230982</t>
  </si>
  <si>
    <t>PROP00089</t>
  </si>
  <si>
    <t>CalgaryMartin Mills172, Canada</t>
  </si>
  <si>
    <t>+22-949812813</t>
  </si>
  <si>
    <t>PROP00090</t>
  </si>
  <si>
    <t>Hoffman Creek 251, Rio de Janeiro</t>
  </si>
  <si>
    <t>+74-933316969</t>
  </si>
  <si>
    <t>PROP00091</t>
  </si>
  <si>
    <t>FranceMarseille</t>
  </si>
  <si>
    <t>+39-668783916</t>
  </si>
  <si>
    <t>PROP00092</t>
  </si>
  <si>
    <t>Russell Canyon13, Leeds, UK</t>
  </si>
  <si>
    <t>+99-544053943</t>
  </si>
  <si>
    <t>PROP00093</t>
  </si>
  <si>
    <t>BrazilBrasília, Brazil</t>
  </si>
  <si>
    <t>+91-128006433</t>
  </si>
  <si>
    <t>PROP00094</t>
  </si>
  <si>
    <t>CanadaMontreal</t>
  </si>
  <si>
    <t>+50-444364960</t>
  </si>
  <si>
    <t>PROP00095</t>
  </si>
  <si>
    <t>FranceLyonMichael Points219</t>
  </si>
  <si>
    <t>+82-254422976</t>
  </si>
  <si>
    <t>PROP00096</t>
  </si>
  <si>
    <t>France, Paris</t>
  </si>
  <si>
    <t>+78-268374543</t>
  </si>
  <si>
    <t>PROP00097</t>
  </si>
  <si>
    <t>Nicole Burg 111, UK, Birmingham</t>
  </si>
  <si>
    <t>+66-401294716</t>
  </si>
  <si>
    <t>PROP00098</t>
  </si>
  <si>
    <t>Rio de JaneiroPatton Loop78, Brazil</t>
  </si>
  <si>
    <t>+68-104681050</t>
  </si>
  <si>
    <t>PROP00099</t>
  </si>
  <si>
    <t>CanadaOttawa, Canada</t>
  </si>
  <si>
    <t>+72-516046588</t>
  </si>
  <si>
    <t>PROP00100</t>
  </si>
  <si>
    <t>Patrick Camp 280, Toronto</t>
  </si>
  <si>
    <t>+40-108692375</t>
  </si>
  <si>
    <t>Toronto</t>
  </si>
  <si>
    <t>PROP00101</t>
  </si>
  <si>
    <t>+90-670947397</t>
  </si>
  <si>
    <t>PROP00102</t>
  </si>
  <si>
    <t>Canada, Montreal, Hoover Well 14</t>
  </si>
  <si>
    <t>+2-716543748</t>
  </si>
  <si>
    <t>PROP00103</t>
  </si>
  <si>
    <t>Andrew Fields 41, Cologne</t>
  </si>
  <si>
    <t>+77-915809959</t>
  </si>
  <si>
    <t>PROP00104</t>
  </si>
  <si>
    <t>Ramirez Cliff214, Turin, Italy</t>
  </si>
  <si>
    <t>+58-128327145</t>
  </si>
  <si>
    <t>PROP00105</t>
  </si>
  <si>
    <t>CanadaToronto, Canada</t>
  </si>
  <si>
    <t>+52-781682173</t>
  </si>
  <si>
    <t>PROP00106</t>
  </si>
  <si>
    <t>Australia, Melbourne, Crosby Crescent 19</t>
  </si>
  <si>
    <t>+30-986705709</t>
  </si>
  <si>
    <t>PROP00107</t>
  </si>
  <si>
    <t>AustraliaPerth</t>
  </si>
  <si>
    <t>+46-712608587</t>
  </si>
  <si>
    <t>PROP00108</t>
  </si>
  <si>
    <t>JapanNagoya, Japan</t>
  </si>
  <si>
    <t>+24-699093788</t>
  </si>
  <si>
    <t>Nagoya</t>
  </si>
  <si>
    <t>PROP00109</t>
  </si>
  <si>
    <t>Graham Pass109, Hamburg, Germany</t>
  </si>
  <si>
    <t>+31-951115542</t>
  </si>
  <si>
    <t>PROP00110</t>
  </si>
  <si>
    <t>UKLondon, UK</t>
  </si>
  <si>
    <t>+95-539878666</t>
  </si>
  <si>
    <t>PROP00111</t>
  </si>
  <si>
    <t>NagoyaJeanne Alley61, Japan</t>
  </si>
  <si>
    <t>+36-803661906</t>
  </si>
  <si>
    <t>PROP00112</t>
  </si>
  <si>
    <t>+6-196700498</t>
  </si>
  <si>
    <t>PROP00113</t>
  </si>
  <si>
    <t>Hanson Shore 281, Rome</t>
  </si>
  <si>
    <t>+81-745948280</t>
  </si>
  <si>
    <t>PROP00114</t>
  </si>
  <si>
    <t>JapanKyotoHunter Shores166</t>
  </si>
  <si>
    <t>+80-858743865</t>
  </si>
  <si>
    <t>PROP00115</t>
  </si>
  <si>
    <t>Spain, Seville, Powell Hill 285</t>
  </si>
  <si>
    <t>+85-635524815</t>
  </si>
  <si>
    <t>PROP00116</t>
  </si>
  <si>
    <t>USAPhoenix, USA</t>
  </si>
  <si>
    <t>+15-826883571</t>
  </si>
  <si>
    <t>PROP00117</t>
  </si>
  <si>
    <t>FrankfurtChristina Hollow154, Germany</t>
  </si>
  <si>
    <t>+48-456049222</t>
  </si>
  <si>
    <t>Frankfurt</t>
  </si>
  <si>
    <t>PROP00118</t>
  </si>
  <si>
    <t>Los AngelesKevin Fords89, USA</t>
  </si>
  <si>
    <t>+21-647847567</t>
  </si>
  <si>
    <t>PROP00119</t>
  </si>
  <si>
    <t>Italy, Turin</t>
  </si>
  <si>
    <t>+2-128497429</t>
  </si>
  <si>
    <t>PROP00120</t>
  </si>
  <si>
    <t>UK, Birmingham, William Underpass 179</t>
  </si>
  <si>
    <t>+43-487423151</t>
  </si>
  <si>
    <t>PROP00121</t>
  </si>
  <si>
    <t>AdelaideDonna Haven193, Australia</t>
  </si>
  <si>
    <t>+90-826650780</t>
  </si>
  <si>
    <t>PROP00122</t>
  </si>
  <si>
    <t>CanadaToronto</t>
  </si>
  <si>
    <t>+19-116255518</t>
  </si>
  <si>
    <t>PROP00123</t>
  </si>
  <si>
    <t>CanadaCalgaryWalker Flat187</t>
  </si>
  <si>
    <t>+58-446650963</t>
  </si>
  <si>
    <t>PROP00124</t>
  </si>
  <si>
    <t>Brandon Mountains103, Frankfurt, Germany</t>
  </si>
  <si>
    <t>+69-873739504</t>
  </si>
  <si>
    <t>PROP00125</t>
  </si>
  <si>
    <t>+5-889502567</t>
  </si>
  <si>
    <t>PROP00126</t>
  </si>
  <si>
    <t>Jennifer Lights 173, Spain, Madrid</t>
  </si>
  <si>
    <t>+89-498991772</t>
  </si>
  <si>
    <t>PROP00127</t>
  </si>
  <si>
    <t>Madrid, Sanchez Shoal 29, Spain</t>
  </si>
  <si>
    <t>+80-703163769</t>
  </si>
  <si>
    <t>PROP00128</t>
  </si>
  <si>
    <t>Patricia Wall 102, Canada, Calgary</t>
  </si>
  <si>
    <t>+80-517588526</t>
  </si>
  <si>
    <t>PROP00129</t>
  </si>
  <si>
    <t>MilanRobinson Unions166, Italy</t>
  </si>
  <si>
    <t>+85-187213398</t>
  </si>
  <si>
    <t>PROP00130</t>
  </si>
  <si>
    <t>Williams Gateway29, Naples, Italy</t>
  </si>
  <si>
    <t>+23-121419408</t>
  </si>
  <si>
    <t>PROP00131</t>
  </si>
  <si>
    <t>USAChicagoAnderson Mountain52</t>
  </si>
  <si>
    <t>+23-132311626</t>
  </si>
  <si>
    <t>PROP00132</t>
  </si>
  <si>
    <t>USAHoustonDodson Mills228</t>
  </si>
  <si>
    <t>+47-191495881</t>
  </si>
  <si>
    <t>PROP00133</t>
  </si>
  <si>
    <t>+5-516397814</t>
  </si>
  <si>
    <t>PROP00134</t>
  </si>
  <si>
    <t>Spain, Seville, Julia Mountains 298</t>
  </si>
  <si>
    <t>+14-942083879</t>
  </si>
  <si>
    <t>PROP00135</t>
  </si>
  <si>
    <t>SpainMadridWalton Ville241</t>
  </si>
  <si>
    <t>+83-852326601</t>
  </si>
  <si>
    <t>PROP00136</t>
  </si>
  <si>
    <t>Spain, Bilbao, Cannon Pike 266</t>
  </si>
  <si>
    <t>+73-366323179</t>
  </si>
  <si>
    <t>Bilbao</t>
  </si>
  <si>
    <t>PROP00137</t>
  </si>
  <si>
    <t>FranceLyon, France</t>
  </si>
  <si>
    <t>+68-508787981</t>
  </si>
  <si>
    <t>PROP00138</t>
  </si>
  <si>
    <t>Young Isle 76, Naples</t>
  </si>
  <si>
    <t>+79-834932727</t>
  </si>
  <si>
    <t>PROP00139</t>
  </si>
  <si>
    <t>Brazil, Salvador</t>
  </si>
  <si>
    <t>+67-482257059</t>
  </si>
  <si>
    <t>PROP00140</t>
  </si>
  <si>
    <t>Jasmine Circles 123, Brazil, Rio de Janeiro</t>
  </si>
  <si>
    <t>+16-934525024</t>
  </si>
  <si>
    <t>PROP00141</t>
  </si>
  <si>
    <t>AustraliaMelbourneRivera Mountain270</t>
  </si>
  <si>
    <t>+17-645793987</t>
  </si>
  <si>
    <t>PROP00142</t>
  </si>
  <si>
    <t>Jamie Manor 135, UK, Liverpool</t>
  </si>
  <si>
    <t>+83-108169633</t>
  </si>
  <si>
    <t>PROP00143</t>
  </si>
  <si>
    <t>USANew York, USA</t>
  </si>
  <si>
    <t>+37-200858169</t>
  </si>
  <si>
    <t>New York</t>
  </si>
  <si>
    <t>PROP00144</t>
  </si>
  <si>
    <t>Woods Knoll 289, Manchester</t>
  </si>
  <si>
    <t>+37-332793491</t>
  </si>
  <si>
    <t>PROP00145</t>
  </si>
  <si>
    <t>Brazil, Fortaleza, Castaneda Village 261</t>
  </si>
  <si>
    <t>+28-587754655</t>
  </si>
  <si>
    <t>Fortaleza</t>
  </si>
  <si>
    <t>PROP00146</t>
  </si>
  <si>
    <t>Tracy Groves 81, Australia, Sydney</t>
  </si>
  <si>
    <t>+37-502213749</t>
  </si>
  <si>
    <t>PROP00147</t>
  </si>
  <si>
    <t>JapanTokyoJohnson Junction110</t>
  </si>
  <si>
    <t>+33-581304057</t>
  </si>
  <si>
    <t>PROP00148</t>
  </si>
  <si>
    <t>Ramsey Ville 254, Manchester</t>
  </si>
  <si>
    <t>+23-163122183</t>
  </si>
  <si>
    <t>PROP00149</t>
  </si>
  <si>
    <t>+79-707354583</t>
  </si>
  <si>
    <t>PROP00150</t>
  </si>
  <si>
    <t>+95-108286733</t>
  </si>
  <si>
    <t>PROP00151</t>
  </si>
  <si>
    <t>AustraliaAdelaide, Australia</t>
  </si>
  <si>
    <t>+90-374333719</t>
  </si>
  <si>
    <t>PROP00152</t>
  </si>
  <si>
    <t>Brent Light290, Sapporo, Japan</t>
  </si>
  <si>
    <t>+10-754763110</t>
  </si>
  <si>
    <t>PROP00153</t>
  </si>
  <si>
    <t>Canada, Montreal</t>
  </si>
  <si>
    <t>+36-440407257</t>
  </si>
  <si>
    <t>PROP00154</t>
  </si>
  <si>
    <t>Vancouver, Walton Village 45, Canada</t>
  </si>
  <si>
    <t>+5-827536535</t>
  </si>
  <si>
    <t>Vancouver</t>
  </si>
  <si>
    <t>PROP00155</t>
  </si>
  <si>
    <t>Conley Mountains 230, Canada, Vancouver</t>
  </si>
  <si>
    <t>+43-884502073</t>
  </si>
  <si>
    <t>PROP00156</t>
  </si>
  <si>
    <t>GermanyFrankfurtZoe Keys48</t>
  </si>
  <si>
    <t>+47-300275203</t>
  </si>
  <si>
    <t>PROP00157</t>
  </si>
  <si>
    <t>GermanyMunichKimberly Run59</t>
  </si>
  <si>
    <t>+13-757468846</t>
  </si>
  <si>
    <t>PROP00158</t>
  </si>
  <si>
    <t>Stefanie Flats 67, Paris</t>
  </si>
  <si>
    <t>+55-574095858</t>
  </si>
  <si>
    <t>PROP00159</t>
  </si>
  <si>
    <t>+69-151093772</t>
  </si>
  <si>
    <t>PROP00160</t>
  </si>
  <si>
    <t>JapanTokyo</t>
  </si>
  <si>
    <t>+5-298206860</t>
  </si>
  <si>
    <t>PROP00161</t>
  </si>
  <si>
    <t>Wang Expressway 245, Manchester</t>
  </si>
  <si>
    <t>+91-113005321</t>
  </si>
  <si>
    <t>PROP00162</t>
  </si>
  <si>
    <t>Valencia, Kimberly Estates 253, Spain</t>
  </si>
  <si>
    <t>+8-707427867</t>
  </si>
  <si>
    <t>PROP00163</t>
  </si>
  <si>
    <t>Japan, Osaka</t>
  </si>
  <si>
    <t>+34-967616944</t>
  </si>
  <si>
    <t>PROP00164</t>
  </si>
  <si>
    <t>Sanders Stravenue 68, Milan</t>
  </si>
  <si>
    <t>+61-194615280</t>
  </si>
  <si>
    <t>PROP00165</t>
  </si>
  <si>
    <t>CanadaVancouver</t>
  </si>
  <si>
    <t>+19-180045678</t>
  </si>
  <si>
    <t>PROP00166</t>
  </si>
  <si>
    <t>ItalyMilan</t>
  </si>
  <si>
    <t>+95-885665642</t>
  </si>
  <si>
    <t>PROP00167</t>
  </si>
  <si>
    <t>BerlinLaura Port45, Germany</t>
  </si>
  <si>
    <t>+54-199128355</t>
  </si>
  <si>
    <t>Berlin</t>
  </si>
  <si>
    <t>PROP00168</t>
  </si>
  <si>
    <t>Canada, Calgary, Patel Shore 168</t>
  </si>
  <si>
    <t>+66-969287118</t>
  </si>
  <si>
    <t>PROP00169</t>
  </si>
  <si>
    <t>Australia, Adelaide, William Junctions 150</t>
  </si>
  <si>
    <t>+99-643719850</t>
  </si>
  <si>
    <t>PROP00170</t>
  </si>
  <si>
    <t>Short Coves178, Birmingham, UK</t>
  </si>
  <si>
    <t>+1-345382503</t>
  </si>
  <si>
    <t>PROP00171</t>
  </si>
  <si>
    <t>+4-820520242</t>
  </si>
  <si>
    <t>PROP00172</t>
  </si>
  <si>
    <t>UK, Liverpool</t>
  </si>
  <si>
    <t>+31-644502432</t>
  </si>
  <si>
    <t>PROP00173</t>
  </si>
  <si>
    <t>Australia, Perth, Gilbert Plain 107</t>
  </si>
  <si>
    <t>+81-936361720</t>
  </si>
  <si>
    <t>PROP00174</t>
  </si>
  <si>
    <t>Cologne, Graham Street 185, Germany</t>
  </si>
  <si>
    <t>+95-450424454</t>
  </si>
  <si>
    <t>PROP00175</t>
  </si>
  <si>
    <t>USALos Angeles</t>
  </si>
  <si>
    <t>+49-167302363</t>
  </si>
  <si>
    <t>PROP00176</t>
  </si>
  <si>
    <t>+92-610541957</t>
  </si>
  <si>
    <t>PROP00177</t>
  </si>
  <si>
    <t>GermanyHamburg</t>
  </si>
  <si>
    <t>+86-831939515</t>
  </si>
  <si>
    <t>PROP00178</t>
  </si>
  <si>
    <t>France, Bordeaux, Johnson Vista 118</t>
  </si>
  <si>
    <t>+17-728970616</t>
  </si>
  <si>
    <t>PROP00179</t>
  </si>
  <si>
    <t>JapanKyoto, Japan</t>
  </si>
  <si>
    <t>+18-263433455</t>
  </si>
  <si>
    <t>PROP00180</t>
  </si>
  <si>
    <t>SpainMadridRamirez Ranch192</t>
  </si>
  <si>
    <t>+18-241015632</t>
  </si>
  <si>
    <t>PROP00181</t>
  </si>
  <si>
    <t>+31-196850352</t>
  </si>
  <si>
    <t>PROP00182</t>
  </si>
  <si>
    <t>John Lodge 110, Vancouver</t>
  </si>
  <si>
    <t>+89-589979888</t>
  </si>
  <si>
    <t>PROP00183</t>
  </si>
  <si>
    <t>Hannah Rue110, Birmingham, UK</t>
  </si>
  <si>
    <t>+3-365822217</t>
  </si>
  <si>
    <t>PROP00184</t>
  </si>
  <si>
    <t>+57-430667492</t>
  </si>
  <si>
    <t>PROP00185</t>
  </si>
  <si>
    <t>Canada, Montreal, Walker Square 151</t>
  </si>
  <si>
    <t>+38-343085791</t>
  </si>
  <si>
    <t>PROP00186</t>
  </si>
  <si>
    <t>+95-831665040</t>
  </si>
  <si>
    <t>PROP00187</t>
  </si>
  <si>
    <t>CanadaMontrealColeman Summit191</t>
  </si>
  <si>
    <t>+87-952931366</t>
  </si>
  <si>
    <t>PROP00188</t>
  </si>
  <si>
    <t>Bell Motorway300, Fortaleza, Brazil</t>
  </si>
  <si>
    <t>+51-768033605</t>
  </si>
  <si>
    <t>PROP00189</t>
  </si>
  <si>
    <t>+78-983917789</t>
  </si>
  <si>
    <t>PROP00190</t>
  </si>
  <si>
    <t>Leslie Summit 92, Germany, Frankfurt</t>
  </si>
  <si>
    <t>+75-307546814</t>
  </si>
  <si>
    <t>PROP00191</t>
  </si>
  <si>
    <t>James Streets 111, USA, Chicago</t>
  </si>
  <si>
    <t>+11-333534504</t>
  </si>
  <si>
    <t>PROP00192</t>
  </si>
  <si>
    <t>Liverpool, Hardy Trace 182, UK</t>
  </si>
  <si>
    <t>+30-508591017</t>
  </si>
  <si>
    <t>PROP00193</t>
  </si>
  <si>
    <t>USAChicago</t>
  </si>
  <si>
    <t>+10-315980498</t>
  </si>
  <si>
    <t>PROP00194</t>
  </si>
  <si>
    <t>Perez Fall 169, Sapporo</t>
  </si>
  <si>
    <t>+54-402449788</t>
  </si>
  <si>
    <t>PROP00195</t>
  </si>
  <si>
    <t>GermanyHamburg, Germany</t>
  </si>
  <si>
    <t>+41-770111148</t>
  </si>
  <si>
    <t>PROP00196</t>
  </si>
  <si>
    <t>MadridTerri Plaza90, Spain</t>
  </si>
  <si>
    <t>+93-742367161</t>
  </si>
  <si>
    <t>PROP00197</t>
  </si>
  <si>
    <t>Dana Terrace 273, Brazil, São Paulo</t>
  </si>
  <si>
    <t>+63-155696492</t>
  </si>
  <si>
    <t>PROP00198</t>
  </si>
  <si>
    <t>Germany, Frankfurt, Monique Ports 111</t>
  </si>
  <si>
    <t>+61-923091053</t>
  </si>
  <si>
    <t>PROP00199</t>
  </si>
  <si>
    <t>Mendoza Junctions 69, Brazil, Brasília</t>
  </si>
  <si>
    <t>+4-194222250</t>
  </si>
  <si>
    <t>PROP00200</t>
  </si>
  <si>
    <t>Johnny Wall 185, Bilbao</t>
  </si>
  <si>
    <t>+74-951657689</t>
  </si>
  <si>
    <t>PROP00201</t>
  </si>
  <si>
    <t>Fortaleza, Lynn Locks 218, Brazil</t>
  </si>
  <si>
    <t>+89-684573706</t>
  </si>
  <si>
    <t>PROP00202</t>
  </si>
  <si>
    <t>+61-956453505</t>
  </si>
  <si>
    <t>PROP00203</t>
  </si>
  <si>
    <t>Edward Port216, Tokyo, Japan</t>
  </si>
  <si>
    <t>+99-521068019</t>
  </si>
  <si>
    <t>PROP00204</t>
  </si>
  <si>
    <t>+87-951010049</t>
  </si>
  <si>
    <t>PROP00205</t>
  </si>
  <si>
    <t>Obrien Turnpike 263, Fortaleza</t>
  </si>
  <si>
    <t>+17-859357224</t>
  </si>
  <si>
    <t>PROP00206</t>
  </si>
  <si>
    <t>FlorenceKimberly Light13, Italy</t>
  </si>
  <si>
    <t>+86-477559104</t>
  </si>
  <si>
    <t>PROP00207</t>
  </si>
  <si>
    <t>Evans Radial 7, USA, Phoenix</t>
  </si>
  <si>
    <t>+66-200467411</t>
  </si>
  <si>
    <t>PROP00208</t>
  </si>
  <si>
    <t>Germany, Frankfurt</t>
  </si>
  <si>
    <t>+73-912953831</t>
  </si>
  <si>
    <t>PROP00209</t>
  </si>
  <si>
    <t>SpainValencia, Spain</t>
  </si>
  <si>
    <t>+65-108268231</t>
  </si>
  <si>
    <t>PROP00210</t>
  </si>
  <si>
    <t>Joseph Common 145, Canada, Vancouver</t>
  </si>
  <si>
    <t>+41-510863778</t>
  </si>
  <si>
    <t>PROP00211</t>
  </si>
  <si>
    <t>MontrealGlenn Club126, Canada</t>
  </si>
  <si>
    <t>+86-561507606</t>
  </si>
  <si>
    <t>PROP00212</t>
  </si>
  <si>
    <t>+26-527996574</t>
  </si>
  <si>
    <t>PROP00213</t>
  </si>
  <si>
    <t>Australia, Perth, Carter Fort 199</t>
  </si>
  <si>
    <t>+70-505094546</t>
  </si>
  <si>
    <t>PROP00214</t>
  </si>
  <si>
    <t>Brisbane, Warner Motorway 276, Australia</t>
  </si>
  <si>
    <t>+33-264928001</t>
  </si>
  <si>
    <t>PROP00215</t>
  </si>
  <si>
    <t>ParisSandra Turnpike160, France</t>
  </si>
  <si>
    <t>+76-620930226</t>
  </si>
  <si>
    <t>PROP00216</t>
  </si>
  <si>
    <t>Ronald Plains220, Paris, France</t>
  </si>
  <si>
    <t>+80-939490180</t>
  </si>
  <si>
    <t>PROP00217</t>
  </si>
  <si>
    <t>+12-344009477</t>
  </si>
  <si>
    <t>PROP00218</t>
  </si>
  <si>
    <t>Brian Turnpike 92, Madrid</t>
  </si>
  <si>
    <t>+26-583535715</t>
  </si>
  <si>
    <t>PROP00219</t>
  </si>
  <si>
    <t>PhoenixGonzales Mountain163, USA</t>
  </si>
  <si>
    <t>+1-683819190</t>
  </si>
  <si>
    <t>PROP00220</t>
  </si>
  <si>
    <t>BirminghamLyons Groves42, UK</t>
  </si>
  <si>
    <t>+83-219270063</t>
  </si>
  <si>
    <t>PROP00221</t>
  </si>
  <si>
    <t>FranceParis, France</t>
  </si>
  <si>
    <t>+4-164777008</t>
  </si>
  <si>
    <t>PROP00222</t>
  </si>
  <si>
    <t>ItalyTurin</t>
  </si>
  <si>
    <t>+37-302878401</t>
  </si>
  <si>
    <t>PROP00223</t>
  </si>
  <si>
    <t>BrazilSão Paulo</t>
  </si>
  <si>
    <t>+32-610414625</t>
  </si>
  <si>
    <t>PROP00224</t>
  </si>
  <si>
    <t>FranceLyon</t>
  </si>
  <si>
    <t>+3-961237551</t>
  </si>
  <si>
    <t>PROP00225</t>
  </si>
  <si>
    <t>CanadaMontrealKathryn Extensions12</t>
  </si>
  <si>
    <t>+62-839688302</t>
  </si>
  <si>
    <t>PROP00226</t>
  </si>
  <si>
    <t>BrisbaneMoon Falls294, Australia</t>
  </si>
  <si>
    <t>+35-787477011</t>
  </si>
  <si>
    <t>PROP00227</t>
  </si>
  <si>
    <t>UKLondon</t>
  </si>
  <si>
    <t>+84-429732763</t>
  </si>
  <si>
    <t>PROP00228</t>
  </si>
  <si>
    <t>Bailey Isle 8, Germany, Berlin</t>
  </si>
  <si>
    <t>+51-221482509</t>
  </si>
  <si>
    <t>PROP00229</t>
  </si>
  <si>
    <t>UKLiverpoolMia Isle235</t>
  </si>
  <si>
    <t>+57-246784274</t>
  </si>
  <si>
    <t>PROP00230</t>
  </si>
  <si>
    <t>+46-912697732</t>
  </si>
  <si>
    <t>PROP00231</t>
  </si>
  <si>
    <t>+65-531967246</t>
  </si>
  <si>
    <t>PROP00232</t>
  </si>
  <si>
    <t>UKLeeds</t>
  </si>
  <si>
    <t>+34-628777998</t>
  </si>
  <si>
    <t>PROP00233</t>
  </si>
  <si>
    <t>GermanyMunich</t>
  </si>
  <si>
    <t>+77-319537557</t>
  </si>
  <si>
    <t>PROP00234</t>
  </si>
  <si>
    <t>Fortaleza, Brown Path 237, Brazil</t>
  </si>
  <si>
    <t>+26-897609046</t>
  </si>
  <si>
    <t>PROP00235</t>
  </si>
  <si>
    <t>AustraliaPerth, Australia</t>
  </si>
  <si>
    <t>+27-999684991</t>
  </si>
  <si>
    <t>PROP00236</t>
  </si>
  <si>
    <t>Joseph Curve 49, Hamburg</t>
  </si>
  <si>
    <t>+62-293593385</t>
  </si>
  <si>
    <t>PROP00237</t>
  </si>
  <si>
    <t>Gilmore Oval 266, Paris</t>
  </si>
  <si>
    <t>+77-120684582</t>
  </si>
  <si>
    <t>PROP00238</t>
  </si>
  <si>
    <t>NaplesTeresa Rest232, Italy</t>
  </si>
  <si>
    <t>+86-365965161</t>
  </si>
  <si>
    <t>PROP00239</t>
  </si>
  <si>
    <t>JapanTokyoLance Bridge101</t>
  </si>
  <si>
    <t>+48-772050569</t>
  </si>
  <si>
    <t>PROP00240</t>
  </si>
  <si>
    <t>Canada, Vancouver, Davis Ville 185</t>
  </si>
  <si>
    <t>+70-578503796</t>
  </si>
  <si>
    <t>PROP00241</t>
  </si>
  <si>
    <t>Valentine Rue159, Melbourne, Australia</t>
  </si>
  <si>
    <t>+36-879423333</t>
  </si>
  <si>
    <t>PROP00242</t>
  </si>
  <si>
    <t>+93-624115037</t>
  </si>
  <si>
    <t>PROP00243</t>
  </si>
  <si>
    <t>ParisPerry Orchard298, France</t>
  </si>
  <si>
    <t>+48-590697260</t>
  </si>
  <si>
    <t>PROP00244</t>
  </si>
  <si>
    <t>Stephen Drive 57, France, Marseille</t>
  </si>
  <si>
    <t>+25-478015328</t>
  </si>
  <si>
    <t>PROP00245</t>
  </si>
  <si>
    <t>AustraliaBrisbane</t>
  </si>
  <si>
    <t>+62-876834698</t>
  </si>
  <si>
    <t>PROP00246</t>
  </si>
  <si>
    <t>UK, Manchester</t>
  </si>
  <si>
    <t>+11-958092389</t>
  </si>
  <si>
    <t>PROP00247</t>
  </si>
  <si>
    <t>Villa Parkways110, Bordeaux, France</t>
  </si>
  <si>
    <t>+7-238442070</t>
  </si>
  <si>
    <t>PROP00248</t>
  </si>
  <si>
    <t>+90-367901008</t>
  </si>
  <si>
    <t>PROP00249</t>
  </si>
  <si>
    <t>Grimes Mission 228, Japan, Osaka</t>
  </si>
  <si>
    <t>+29-180441807</t>
  </si>
  <si>
    <t>PROP00250</t>
  </si>
  <si>
    <t>Reed Plaza 157, USA, Houston</t>
  </si>
  <si>
    <t>+1-299578454</t>
  </si>
  <si>
    <t>PROP00251</t>
  </si>
  <si>
    <t>Italy, Naples, Gibson Islands 48</t>
  </si>
  <si>
    <t>+22-524433573</t>
  </si>
  <si>
    <t>PROP00252</t>
  </si>
  <si>
    <t>AustraliaAdelaide</t>
  </si>
  <si>
    <t>+92-762276073</t>
  </si>
  <si>
    <t>PROP00253</t>
  </si>
  <si>
    <t>Louis Mountains 287, Bilbao</t>
  </si>
  <si>
    <t>+24-859746679</t>
  </si>
  <si>
    <t>PROP00254</t>
  </si>
  <si>
    <t>Hughes Shore 118, Japan, Nagoya</t>
  </si>
  <si>
    <t>+55-721726327</t>
  </si>
  <si>
    <t>PROP00255</t>
  </si>
  <si>
    <t>Tyler Camp 66, Japan, Kyoto</t>
  </si>
  <si>
    <t>+51-303625489</t>
  </si>
  <si>
    <t>PROP00256</t>
  </si>
  <si>
    <t>Kane Well294, Seville, Spain</t>
  </si>
  <si>
    <t>+9-768866473</t>
  </si>
  <si>
    <t>PROP00257</t>
  </si>
  <si>
    <t>+45-896798087</t>
  </si>
  <si>
    <t>PROP00258</t>
  </si>
  <si>
    <t>Hamburg, Robert Shoal 173, Germany</t>
  </si>
  <si>
    <t>+91-926118343</t>
  </si>
  <si>
    <t>PROP00259</t>
  </si>
  <si>
    <t>LyonTerrance Greens77, France</t>
  </si>
  <si>
    <t>+92-674319716</t>
  </si>
  <si>
    <t>PROP00260</t>
  </si>
  <si>
    <t>+28-424131603</t>
  </si>
  <si>
    <t>PROP00261</t>
  </si>
  <si>
    <t>Finley Road136, Salvador, Brazil</t>
  </si>
  <si>
    <t>+12-553723849</t>
  </si>
  <si>
    <t>PROP00262</t>
  </si>
  <si>
    <t>BrasíliaBrennan Camp37, Brazil</t>
  </si>
  <si>
    <t>+21-246932754</t>
  </si>
  <si>
    <t>PROP00263</t>
  </si>
  <si>
    <t>Frankfurt, Jimmy Spur 173, Germany</t>
  </si>
  <si>
    <t>+97-535199213</t>
  </si>
  <si>
    <t>PROP00264</t>
  </si>
  <si>
    <t>+20-374893134</t>
  </si>
  <si>
    <t>PROP00265</t>
  </si>
  <si>
    <t>UKManchester</t>
  </si>
  <si>
    <t>+77-374505712</t>
  </si>
  <si>
    <t>PROP00266</t>
  </si>
  <si>
    <t>UKLeedsBrandon Underpass29</t>
  </si>
  <si>
    <t>+76-116541530</t>
  </si>
  <si>
    <t>PROP00267</t>
  </si>
  <si>
    <t>SapporoHoward Meadows30, Japan</t>
  </si>
  <si>
    <t>+50-157477530</t>
  </si>
  <si>
    <t>PROP00268</t>
  </si>
  <si>
    <t>Amanda Port 2, Calgary</t>
  </si>
  <si>
    <t>+53-274569602</t>
  </si>
  <si>
    <t>PROP00269</t>
  </si>
  <si>
    <t>George Common 184, Naples</t>
  </si>
  <si>
    <t>+20-187421837</t>
  </si>
  <si>
    <t>PROP00270</t>
  </si>
  <si>
    <t>JapanNagoya</t>
  </si>
  <si>
    <t>+59-885960030</t>
  </si>
  <si>
    <t>PROP00271</t>
  </si>
  <si>
    <t>Jesse Route 278, USA, Phoenix</t>
  </si>
  <si>
    <t>+1-457366445</t>
  </si>
  <si>
    <t>PROP00272</t>
  </si>
  <si>
    <t>+29-904892516</t>
  </si>
  <si>
    <t>PROP00273</t>
  </si>
  <si>
    <t>USAHouston</t>
  </si>
  <si>
    <t>+23-232848465</t>
  </si>
  <si>
    <t>PROP00274</t>
  </si>
  <si>
    <t>+95-993398160</t>
  </si>
  <si>
    <t>PROP00275</t>
  </si>
  <si>
    <t>GermanyFrankfurt, Germany</t>
  </si>
  <si>
    <t>+94-720786363</t>
  </si>
  <si>
    <t>PROP00276</t>
  </si>
  <si>
    <t>Calgary, Yvonne Walk 269, Canada</t>
  </si>
  <si>
    <t>+97-172788544</t>
  </si>
  <si>
    <t>PROP00277</t>
  </si>
  <si>
    <t>+53-569562534</t>
  </si>
  <si>
    <t>PROP00278</t>
  </si>
  <si>
    <t>Brazil, Rio de Janeiro</t>
  </si>
  <si>
    <t>+52-736920379</t>
  </si>
  <si>
    <t>PROP00279</t>
  </si>
  <si>
    <t>JapanNagoyaHill Port8</t>
  </si>
  <si>
    <t>+10-401230907</t>
  </si>
  <si>
    <t>PROP00280</t>
  </si>
  <si>
    <t>Japan, Tokyo, Renee Summit 183</t>
  </si>
  <si>
    <t>+15-737055387</t>
  </si>
  <si>
    <t>PROP00281</t>
  </si>
  <si>
    <t>BrisbaneParsons Forks64, Australia</t>
  </si>
  <si>
    <t>+80-678085476</t>
  </si>
  <si>
    <t>PROP00282</t>
  </si>
  <si>
    <t>MadridRobinson Field59, Spain</t>
  </si>
  <si>
    <t>+34-854940653</t>
  </si>
  <si>
    <t>PROP00283</t>
  </si>
  <si>
    <t>+32-501717196</t>
  </si>
  <si>
    <t>PROP00284</t>
  </si>
  <si>
    <t>+13-253344605</t>
  </si>
  <si>
    <t>PROP00285</t>
  </si>
  <si>
    <t>Kyle Mill181, Montreal, Canada</t>
  </si>
  <si>
    <t>+20-169655374</t>
  </si>
  <si>
    <t>PROP00286</t>
  </si>
  <si>
    <t>Rio de Janeiro, Oconnor Course 202, Brazil</t>
  </si>
  <si>
    <t>+44-154796541</t>
  </si>
  <si>
    <t>PROP00287</t>
  </si>
  <si>
    <t>São Paulo, Burgess Extensions 183, Brazil</t>
  </si>
  <si>
    <t>+73-854885848</t>
  </si>
  <si>
    <t>PROP00288</t>
  </si>
  <si>
    <t>Brisbane, Kristin Wells 71, Australia</t>
  </si>
  <si>
    <t>+75-204608927</t>
  </si>
  <si>
    <t>PROP00289</t>
  </si>
  <si>
    <t>+96-520795808</t>
  </si>
  <si>
    <t>PROP00290</t>
  </si>
  <si>
    <t>+12-509285245</t>
  </si>
  <si>
    <t>PROP00291</t>
  </si>
  <si>
    <t>USA, New York, Mccarty Divide 15</t>
  </si>
  <si>
    <t>+82-220182858</t>
  </si>
  <si>
    <t>PROP00292</t>
  </si>
  <si>
    <t>AustraliaMelbourne</t>
  </si>
  <si>
    <t>+25-517989908</t>
  </si>
  <si>
    <t>PROP00293</t>
  </si>
  <si>
    <t>Coffey Unions 116, Germany, Cologne</t>
  </si>
  <si>
    <t>+82-979950186</t>
  </si>
  <si>
    <t>PROP00294</t>
  </si>
  <si>
    <t>Davis Locks 25, Italy, Naples</t>
  </si>
  <si>
    <t>+68-483600749</t>
  </si>
  <si>
    <t>PROP00295</t>
  </si>
  <si>
    <t>Italy, Naples, Herrera Motorway 169</t>
  </si>
  <si>
    <t>+82-174512198</t>
  </si>
  <si>
    <t>PROP00296</t>
  </si>
  <si>
    <t>Leeds, Richards View 78, UK</t>
  </si>
  <si>
    <t>+23-863508817</t>
  </si>
  <si>
    <t>PROP00297</t>
  </si>
  <si>
    <t>GermanyBerlin</t>
  </si>
  <si>
    <t>+28-385042285</t>
  </si>
  <si>
    <t>PROP00298</t>
  </si>
  <si>
    <t>Leeds, Christine Points 207, UK</t>
  </si>
  <si>
    <t>+88-126384432</t>
  </si>
  <si>
    <t>PROP00299</t>
  </si>
  <si>
    <t>Deborah Roads 279, Italy, Florence</t>
  </si>
  <si>
    <t>+63-751929397</t>
  </si>
  <si>
    <t>PROP00300</t>
  </si>
  <si>
    <t>Banks Crescent 116, France, Paris</t>
  </si>
  <si>
    <t>+85-135214085</t>
  </si>
  <si>
    <t>PROP00301</t>
  </si>
  <si>
    <t>Canada, Montreal, Sophia Hollow 204</t>
  </si>
  <si>
    <t>+51-140880382</t>
  </si>
  <si>
    <t>PROP00302</t>
  </si>
  <si>
    <t>GermanyBerlinColton Plain44</t>
  </si>
  <si>
    <t>+52-392879985</t>
  </si>
  <si>
    <t>PROP00303</t>
  </si>
  <si>
    <t>Chavez Skyway 138, Brazil, Salvador</t>
  </si>
  <si>
    <t>+81-778539798</t>
  </si>
  <si>
    <t>PROP00304</t>
  </si>
  <si>
    <t>Brazil, Fortaleza</t>
  </si>
  <si>
    <t>+40-285554409</t>
  </si>
  <si>
    <t>PROP00305</t>
  </si>
  <si>
    <t>Paris, Pena Village 84, France</t>
  </si>
  <si>
    <t>+18-150879126</t>
  </si>
  <si>
    <t>PROP00306</t>
  </si>
  <si>
    <t>NaplesCrosby Harbors180, Italy</t>
  </si>
  <si>
    <t>+50-476359228</t>
  </si>
  <si>
    <t>PROP00307</t>
  </si>
  <si>
    <t>Japan, Sapporo</t>
  </si>
  <si>
    <t>+99-495225028</t>
  </si>
  <si>
    <t>PROP00308</t>
  </si>
  <si>
    <t>Garcia Spur146, Kyoto, Japan</t>
  </si>
  <si>
    <t>+64-902246995</t>
  </si>
  <si>
    <t>PROP00309</t>
  </si>
  <si>
    <t>MontrealBrown Harbor209, Canada</t>
  </si>
  <si>
    <t>+91-846025871</t>
  </si>
  <si>
    <t>PROP00310</t>
  </si>
  <si>
    <t>UKLondonStacy View2</t>
  </si>
  <si>
    <t>+64-488462965</t>
  </si>
  <si>
    <t>PROP00311</t>
  </si>
  <si>
    <t>Salvador, Elizabeth Row 194, Brazil</t>
  </si>
  <si>
    <t>+94-237322065</t>
  </si>
  <si>
    <t>PROP00312</t>
  </si>
  <si>
    <t>FranceParis</t>
  </si>
  <si>
    <t>+12-586674372</t>
  </si>
  <si>
    <t>PROP00313</t>
  </si>
  <si>
    <t>Australia, Brisbane</t>
  </si>
  <si>
    <t>+86-729075789</t>
  </si>
  <si>
    <t>PROP00314</t>
  </si>
  <si>
    <t>JapanSapporo, Japan</t>
  </si>
  <si>
    <t>+55-687532531</t>
  </si>
  <si>
    <t>PROP00315</t>
  </si>
  <si>
    <t>USA, Los Angeles</t>
  </si>
  <si>
    <t>+95-555391646</t>
  </si>
  <si>
    <t>PROP00316</t>
  </si>
  <si>
    <t>UK, Leeds</t>
  </si>
  <si>
    <t>+41-492066828</t>
  </si>
  <si>
    <t>PROP00317</t>
  </si>
  <si>
    <t>FranceToulouseLindsey Creek215</t>
  </si>
  <si>
    <t>+99-754162255</t>
  </si>
  <si>
    <t>PROP00318</t>
  </si>
  <si>
    <t>CanadaCalgary</t>
  </si>
  <si>
    <t>+53-950873380</t>
  </si>
  <si>
    <t>PROP00319</t>
  </si>
  <si>
    <t>Smith Greens 255, USA, New York</t>
  </si>
  <si>
    <t>+33-649924565</t>
  </si>
  <si>
    <t>PROP00320</t>
  </si>
  <si>
    <t>+73-839214656</t>
  </si>
  <si>
    <t>PROP00321</t>
  </si>
  <si>
    <t>Thomas Tunnel 275, Bilbao</t>
  </si>
  <si>
    <t>+13-324829465</t>
  </si>
  <si>
    <t>PROP00322</t>
  </si>
  <si>
    <t>Shannon Forges 5, Paris</t>
  </si>
  <si>
    <t>+85-842499052</t>
  </si>
  <si>
    <t>PROP00323</t>
  </si>
  <si>
    <t>HamburgJessica Way23, Germany</t>
  </si>
  <si>
    <t>+91-692810156</t>
  </si>
  <si>
    <t>PROP00324</t>
  </si>
  <si>
    <t>CanadaCalgaryEllis Burgs119</t>
  </si>
  <si>
    <t>+36-642163636</t>
  </si>
  <si>
    <t>PROP00325</t>
  </si>
  <si>
    <t>+53-672859526</t>
  </si>
  <si>
    <t>PROP00326</t>
  </si>
  <si>
    <t>Brisbane, Tracy Mills 245, Australia</t>
  </si>
  <si>
    <t>+48-588321579</t>
  </si>
  <si>
    <t>PROP00327</t>
  </si>
  <si>
    <t>UK, London, Marc Drive 256</t>
  </si>
  <si>
    <t>+40-874645092</t>
  </si>
  <si>
    <t>PROP00328</t>
  </si>
  <si>
    <t>Canada, Calgary</t>
  </si>
  <si>
    <t>+65-954424282</t>
  </si>
  <si>
    <t>PROP00329</t>
  </si>
  <si>
    <t>AustraliaMelbourneJames Ranch170</t>
  </si>
  <si>
    <t>+19-425560833</t>
  </si>
  <si>
    <t>PROP00330</t>
  </si>
  <si>
    <t>+9-506116383</t>
  </si>
  <si>
    <t>PROP00331</t>
  </si>
  <si>
    <t>+74-680505115</t>
  </si>
  <si>
    <t>PROP00332</t>
  </si>
  <si>
    <t>France, Paris, Russell Forks 185</t>
  </si>
  <si>
    <t>+38-561996820</t>
  </si>
  <si>
    <t>PROP00333</t>
  </si>
  <si>
    <t>Los Angeles, Wilcox Locks 70, USA</t>
  </si>
  <si>
    <t>+18-715557014</t>
  </si>
  <si>
    <t>PROP00334</t>
  </si>
  <si>
    <t>Germany, Frankfurt, Larry Island 100</t>
  </si>
  <si>
    <t>+36-499389023</t>
  </si>
  <si>
    <t>PROP00335</t>
  </si>
  <si>
    <t>Brooks Drives 68, Japan, Osaka</t>
  </si>
  <si>
    <t>+36-687023082</t>
  </si>
  <si>
    <t>PROP00336</t>
  </si>
  <si>
    <t>+24-294930259</t>
  </si>
  <si>
    <t>PROP00337</t>
  </si>
  <si>
    <t>BordeauxRyan Summit13, France</t>
  </si>
  <si>
    <t>+99-946409846</t>
  </si>
  <si>
    <t>PROP00338</t>
  </si>
  <si>
    <t>Cain Point 186, USA, Phoenix</t>
  </si>
  <si>
    <t>+36-940622025</t>
  </si>
  <si>
    <t>PROP00339</t>
  </si>
  <si>
    <t>FranceBordeauxSantiago Loop66</t>
  </si>
  <si>
    <t>+39-791814890</t>
  </si>
  <si>
    <t>PROP00340</t>
  </si>
  <si>
    <t>GermanyMunichParrish Stravenue265</t>
  </si>
  <si>
    <t>+35-188431370</t>
  </si>
  <si>
    <t>PROP00341</t>
  </si>
  <si>
    <t>+93-413223741</t>
  </si>
  <si>
    <t>PROP00342</t>
  </si>
  <si>
    <t>ToulouseEric Orchard239, France</t>
  </si>
  <si>
    <t>+17-841983540</t>
  </si>
  <si>
    <t>PROP00343</t>
  </si>
  <si>
    <t>Michael Point 90, Japan, Tokyo</t>
  </si>
  <si>
    <t>+56-533009180</t>
  </si>
  <si>
    <t>PROP00344</t>
  </si>
  <si>
    <t>GermanyBerlinKathryn Ports35</t>
  </si>
  <si>
    <t>+89-331541889</t>
  </si>
  <si>
    <t>PROP00345</t>
  </si>
  <si>
    <t>Bruce Trafficway 94, Manchester</t>
  </si>
  <si>
    <t>+56-586911127</t>
  </si>
  <si>
    <t>PROP00346</t>
  </si>
  <si>
    <t>BrazilSalvadorChelsea Shoals133</t>
  </si>
  <si>
    <t>+84-358153343</t>
  </si>
  <si>
    <t>PROP00347</t>
  </si>
  <si>
    <t>GermanyBerlin, Germany</t>
  </si>
  <si>
    <t>+85-673844231</t>
  </si>
  <si>
    <t>PROP00348</t>
  </si>
  <si>
    <t>GermanyFrankfurt</t>
  </si>
  <si>
    <t>+53-539474257</t>
  </si>
  <si>
    <t>PROP00349</t>
  </si>
  <si>
    <t>+1-167381279</t>
  </si>
  <si>
    <t>PROP00350</t>
  </si>
  <si>
    <t>Los Angeles, Jones Streets 121, USA</t>
  </si>
  <si>
    <t>+79-517550358</t>
  </si>
  <si>
    <t>PROP00351</t>
  </si>
  <si>
    <t>BrazilRio de Janeiro</t>
  </si>
  <si>
    <t>+13-374861883</t>
  </si>
  <si>
    <t>PROP00352</t>
  </si>
  <si>
    <t>UK, London</t>
  </si>
  <si>
    <t>+53-802440237</t>
  </si>
  <si>
    <t>PROP00353</t>
  </si>
  <si>
    <t>Germany, Hamburg</t>
  </si>
  <si>
    <t>+32-360341836</t>
  </si>
  <si>
    <t>PROP00354</t>
  </si>
  <si>
    <t>+50-839475904</t>
  </si>
  <si>
    <t>PROP00355</t>
  </si>
  <si>
    <t>USAHouston, USA</t>
  </si>
  <si>
    <t>+60-504486149</t>
  </si>
  <si>
    <t>PROP00356</t>
  </si>
  <si>
    <t>+36-723306187</t>
  </si>
  <si>
    <t>PROP00357</t>
  </si>
  <si>
    <t>Lewis Passage 280, Houston</t>
  </si>
  <si>
    <t>+56-432358396</t>
  </si>
  <si>
    <t>PROP00358</t>
  </si>
  <si>
    <t>FranceLyonJordan Haven126</t>
  </si>
  <si>
    <t>+48-456026814</t>
  </si>
  <si>
    <t>PROP00359</t>
  </si>
  <si>
    <t>Rose Inlet 229, Brazil, São Paulo</t>
  </si>
  <si>
    <t>+49-226515580</t>
  </si>
  <si>
    <t>PROP00360</t>
  </si>
  <si>
    <t>+97-811455790</t>
  </si>
  <si>
    <t>PROP00361</t>
  </si>
  <si>
    <t>+86-705432664</t>
  </si>
  <si>
    <t>PROP00362</t>
  </si>
  <si>
    <t>BrasíliaRoberts Crest18, Brazil</t>
  </si>
  <si>
    <t>+35-888099772</t>
  </si>
  <si>
    <t>PROP00363</t>
  </si>
  <si>
    <t>Brazil, Brasília, Burgess Extensions 27</t>
  </si>
  <si>
    <t>+46-324127035</t>
  </si>
  <si>
    <t>PROP00364</t>
  </si>
  <si>
    <t>+43-838162581</t>
  </si>
  <si>
    <t>PROP00365</t>
  </si>
  <si>
    <t>Jones Wall 178, Italy, Turin</t>
  </si>
  <si>
    <t>+92-650896176</t>
  </si>
  <si>
    <t>PROP00366</t>
  </si>
  <si>
    <t>+45-571129094</t>
  </si>
  <si>
    <t>PROP00367</t>
  </si>
  <si>
    <t>Germany, Hamburg, Johnston Ports 70</t>
  </si>
  <si>
    <t>+75-230199688</t>
  </si>
  <si>
    <t>PROP00368</t>
  </si>
  <si>
    <t>Roberts Lodge 244, São Paulo</t>
  </si>
  <si>
    <t>+5-488928583</t>
  </si>
  <si>
    <t>PROP00369</t>
  </si>
  <si>
    <t>HamburgJackson River146, Germany</t>
  </si>
  <si>
    <t>+16-711975490</t>
  </si>
  <si>
    <t>PROP00370</t>
  </si>
  <si>
    <t>BilbaoDavis Vista1, Spain</t>
  </si>
  <si>
    <t>+97-568356913</t>
  </si>
  <si>
    <t>PROP00371</t>
  </si>
  <si>
    <t>BirminghamRyan Locks70, UK</t>
  </si>
  <si>
    <t>+55-549419018</t>
  </si>
  <si>
    <t>PROP00372</t>
  </si>
  <si>
    <t>Randy Inlet110, Bilbao, Spain</t>
  </si>
  <si>
    <t>+61-865729118</t>
  </si>
  <si>
    <t>PROP00373</t>
  </si>
  <si>
    <t>Walker Tunnel 293, Seville</t>
  </si>
  <si>
    <t>+9-322502842</t>
  </si>
  <si>
    <t>PROP00374</t>
  </si>
  <si>
    <t>+95-343670322</t>
  </si>
  <si>
    <t>PROP00375</t>
  </si>
  <si>
    <t>France, Marseille, Rebecca Keys 118</t>
  </si>
  <si>
    <t>+20-411040716</t>
  </si>
  <si>
    <t>PROP00376</t>
  </si>
  <si>
    <t>+90-229400704</t>
  </si>
  <si>
    <t>PROP00377</t>
  </si>
  <si>
    <t>Glenn Drives245, Tokyo, Japan</t>
  </si>
  <si>
    <t>+16-964482250</t>
  </si>
  <si>
    <t>PROP00378</t>
  </si>
  <si>
    <t>Japan, Osaka, Gregory Trail 300</t>
  </si>
  <si>
    <t>+80-431993365</t>
  </si>
  <si>
    <t>PROP00379</t>
  </si>
  <si>
    <t>Germany, Berlin</t>
  </si>
  <si>
    <t>+36-871988861</t>
  </si>
  <si>
    <t>PROP00380</t>
  </si>
  <si>
    <t>AustraliaPerthMaldonado Port82</t>
  </si>
  <si>
    <t>+15-971471773</t>
  </si>
  <si>
    <t>PROP00381</t>
  </si>
  <si>
    <t>Lin Road43, Frankfurt, Germany</t>
  </si>
  <si>
    <t>+16-336591334</t>
  </si>
  <si>
    <t>PROP00382</t>
  </si>
  <si>
    <t>Scott Mountains 218, Perth</t>
  </si>
  <si>
    <t>+34-143137890</t>
  </si>
  <si>
    <t>PROP00383</t>
  </si>
  <si>
    <t>Los AngelesHogan Ramp170, USA</t>
  </si>
  <si>
    <t>+40-833911806</t>
  </si>
  <si>
    <t>PROP00384</t>
  </si>
  <si>
    <t>France, Toulouse</t>
  </si>
  <si>
    <t>+91-608530182</t>
  </si>
  <si>
    <t>PROP00385</t>
  </si>
  <si>
    <t>Johnson Land1, Marseille, France</t>
  </si>
  <si>
    <t>+4-983547164</t>
  </si>
  <si>
    <t>PROP00386</t>
  </si>
  <si>
    <t>Japan, Tokyo</t>
  </si>
  <si>
    <t>+56-297647545</t>
  </si>
  <si>
    <t>PROP00387</t>
  </si>
  <si>
    <t>Ford Plaza 288, Seville</t>
  </si>
  <si>
    <t>+30-277401410</t>
  </si>
  <si>
    <t>PROP00388</t>
  </si>
  <si>
    <t>Shannon Valleys220, Berlin, Germany</t>
  </si>
  <si>
    <t>+45-703225074</t>
  </si>
  <si>
    <t>PROP00389</t>
  </si>
  <si>
    <t>MelbourneMarc Mountains153, Australia</t>
  </si>
  <si>
    <t>+20-174104712</t>
  </si>
  <si>
    <t>PROP00390</t>
  </si>
  <si>
    <t>+46-537543128</t>
  </si>
  <si>
    <t>PROP00391</t>
  </si>
  <si>
    <t>+42-525166160</t>
  </si>
  <si>
    <t>PROP00392</t>
  </si>
  <si>
    <t>ItalyNaplesBenjamin Station30</t>
  </si>
  <si>
    <t>+49-719967367</t>
  </si>
  <si>
    <t>PROP00393</t>
  </si>
  <si>
    <t>Warren Ridge 49, Ottawa</t>
  </si>
  <si>
    <t>+18-754159419</t>
  </si>
  <si>
    <t>PROP00394</t>
  </si>
  <si>
    <t>ChicagoWatson Haven5, USA</t>
  </si>
  <si>
    <t>+17-813612190</t>
  </si>
  <si>
    <t>PROP00395</t>
  </si>
  <si>
    <t>+98-873956665</t>
  </si>
  <si>
    <t>PROP00396</t>
  </si>
  <si>
    <t>+51-385284157</t>
  </si>
  <si>
    <t>PROP00397</t>
  </si>
  <si>
    <t>Sydney, Mark Point 13, Australia</t>
  </si>
  <si>
    <t>+5-975556114</t>
  </si>
  <si>
    <t>PROP00398</t>
  </si>
  <si>
    <t>+11-414993603</t>
  </si>
  <si>
    <t>PROP00399</t>
  </si>
  <si>
    <t>Mathew Prairie281, London, UK</t>
  </si>
  <si>
    <t>+29-494448329</t>
  </si>
  <si>
    <t>PROP00400</t>
  </si>
  <si>
    <t>+90-432118309</t>
  </si>
  <si>
    <t>PROP00401</t>
  </si>
  <si>
    <t>OsakaAnderson Station280, Japan</t>
  </si>
  <si>
    <t>+34-537504305</t>
  </si>
  <si>
    <t>PROP00402</t>
  </si>
  <si>
    <t>+3-857181709</t>
  </si>
  <si>
    <t>PROP00403</t>
  </si>
  <si>
    <t>Elizabeth Village 28, Italy, Florence</t>
  </si>
  <si>
    <t>+89-283167109</t>
  </si>
  <si>
    <t>PROP00404</t>
  </si>
  <si>
    <t>+50-786311528</t>
  </si>
  <si>
    <t>PROP00405</t>
  </si>
  <si>
    <t>Smith Inlet 217, UK, Liverpool</t>
  </si>
  <si>
    <t>+37-788345347</t>
  </si>
  <si>
    <t>PROP00406</t>
  </si>
  <si>
    <t>Adelaide, Matthew Trafficway 99, Australia</t>
  </si>
  <si>
    <t>+64-955163587</t>
  </si>
  <si>
    <t>PROP00407</t>
  </si>
  <si>
    <t>AustraliaAdelaideJeremy Dam14</t>
  </si>
  <si>
    <t>+36-842825305</t>
  </si>
  <si>
    <t>PROP00408</t>
  </si>
  <si>
    <t>Kenneth Turnpike126, Florence, Italy</t>
  </si>
  <si>
    <t>+41-132112570</t>
  </si>
  <si>
    <t>PROP00409</t>
  </si>
  <si>
    <t>GermanyFrankfurtEbony Wells233</t>
  </si>
  <si>
    <t>+24-444068690</t>
  </si>
  <si>
    <t>PROP00410</t>
  </si>
  <si>
    <t>Brisbane, Carla Drives 6, Australia</t>
  </si>
  <si>
    <t>+19-593541541</t>
  </si>
  <si>
    <t>PROP00411</t>
  </si>
  <si>
    <t>Marie Trail289, Manchester, UK</t>
  </si>
  <si>
    <t>+33-336117862</t>
  </si>
  <si>
    <t>PROP00412</t>
  </si>
  <si>
    <t>Jennifer Cape130, Naples, Italy</t>
  </si>
  <si>
    <t>+46-241858619</t>
  </si>
  <si>
    <t>PROP00413</t>
  </si>
  <si>
    <t>UKBirminghamRhodes Freeway23</t>
  </si>
  <si>
    <t>+39-617860465</t>
  </si>
  <si>
    <t>PROP00414</t>
  </si>
  <si>
    <t>Goodwin Tunnel 111, Perth</t>
  </si>
  <si>
    <t>+53-403224896</t>
  </si>
  <si>
    <t>PROP00415</t>
  </si>
  <si>
    <t>Los Angeles, Amanda Inlet 240, USA</t>
  </si>
  <si>
    <t>+58-886810870</t>
  </si>
  <si>
    <t>PROP00416</t>
  </si>
  <si>
    <t>Canada, Calgary, Micheal Ports 232</t>
  </si>
  <si>
    <t>+98-594910452</t>
  </si>
  <si>
    <t>PROP00417</t>
  </si>
  <si>
    <t>FranceMarseille, France</t>
  </si>
  <si>
    <t>+68-301739796</t>
  </si>
  <si>
    <t>PROP00418</t>
  </si>
  <si>
    <t>LondonBurch Viaduct255, UK</t>
  </si>
  <si>
    <t>+3-601870526</t>
  </si>
  <si>
    <t>PROP00419</t>
  </si>
  <si>
    <t>Monique Center 124, Turin</t>
  </si>
  <si>
    <t>+79-560896724</t>
  </si>
  <si>
    <t>PROP00420</t>
  </si>
  <si>
    <t>Italy, Rome, Sawyer Plaza 184</t>
  </si>
  <si>
    <t>+65-473106814</t>
  </si>
  <si>
    <t>PROP00421</t>
  </si>
  <si>
    <t>+12-867104217</t>
  </si>
  <si>
    <t>PROP00422</t>
  </si>
  <si>
    <t>UK, London, Cole Passage 242</t>
  </si>
  <si>
    <t>+10-632252713</t>
  </si>
  <si>
    <t>PROP00423</t>
  </si>
  <si>
    <t>+30-715287884</t>
  </si>
  <si>
    <t>PROP00424</t>
  </si>
  <si>
    <t>+72-101402924</t>
  </si>
  <si>
    <t>PROP00425</t>
  </si>
  <si>
    <t>Shaw Freeway 88, Spain, Seville</t>
  </si>
  <si>
    <t>+25-252463908</t>
  </si>
  <si>
    <t>PROP00426</t>
  </si>
  <si>
    <t>Brasília, Nicholas Burgs 214, Brazil</t>
  </si>
  <si>
    <t>+98-190512043</t>
  </si>
  <si>
    <t>PROP00427</t>
  </si>
  <si>
    <t>Mary Run 169, Bordeaux</t>
  </si>
  <si>
    <t>+14-408408813</t>
  </si>
  <si>
    <t>PROP00428</t>
  </si>
  <si>
    <t>+30-233506416</t>
  </si>
  <si>
    <t>PROP00429</t>
  </si>
  <si>
    <t>Berlin, Katherine Mountains 208, Germany</t>
  </si>
  <si>
    <t>+57-231360946</t>
  </si>
  <si>
    <t>PROP00430</t>
  </si>
  <si>
    <t>+74-224464313</t>
  </si>
  <si>
    <t>PROP00431</t>
  </si>
  <si>
    <t>Munich, Mary Plaza 227, Germany</t>
  </si>
  <si>
    <t>+12-313079520</t>
  </si>
  <si>
    <t>PROP00432</t>
  </si>
  <si>
    <t>Rodriguez Heights 58, Berlin</t>
  </si>
  <si>
    <t>+40-885281469</t>
  </si>
  <si>
    <t>PROP00433</t>
  </si>
  <si>
    <t>USA, Houston, Martinez Garden 131</t>
  </si>
  <si>
    <t>+62-853313608</t>
  </si>
  <si>
    <t>PROP00434</t>
  </si>
  <si>
    <t>+38-672393576</t>
  </si>
  <si>
    <t>PROP00435</t>
  </si>
  <si>
    <t>+45-554730929</t>
  </si>
  <si>
    <t>PROP00436</t>
  </si>
  <si>
    <t>SpainSeville, Spain</t>
  </si>
  <si>
    <t>+23-238983003</t>
  </si>
  <si>
    <t>PROP00437</t>
  </si>
  <si>
    <t>+78-817396246</t>
  </si>
  <si>
    <t>PROP00438</t>
  </si>
  <si>
    <t>USA, Phoenix, Alexandra Lake 91</t>
  </si>
  <si>
    <t>+71-392240399</t>
  </si>
  <si>
    <t>PROP00439</t>
  </si>
  <si>
    <t>UKBirmingham</t>
  </si>
  <si>
    <t>+94-154736831</t>
  </si>
  <si>
    <t>PROP00440</t>
  </si>
  <si>
    <t>Zavala Glen 265, Brasília</t>
  </si>
  <si>
    <t>+43-223338221</t>
  </si>
  <si>
    <t>PROP00441</t>
  </si>
  <si>
    <t>Michael Cliff204, Melbourne, Australia</t>
  </si>
  <si>
    <t>+16-742135188</t>
  </si>
  <si>
    <t>PROP00442</t>
  </si>
  <si>
    <t>+54-127510368</t>
  </si>
  <si>
    <t>PROP00443</t>
  </si>
  <si>
    <t>BrisbaneAnderson Knoll292, Australia</t>
  </si>
  <si>
    <t>+60-949162560</t>
  </si>
  <si>
    <t>PROP00444</t>
  </si>
  <si>
    <t>Li Extensions 200, Milan</t>
  </si>
  <si>
    <t>+66-171023407</t>
  </si>
  <si>
    <t>PROP00445</t>
  </si>
  <si>
    <t>Pollard Neck214, Phoenix, USA</t>
  </si>
  <si>
    <t>+45-718680766</t>
  </si>
  <si>
    <t>PROP00446</t>
  </si>
  <si>
    <t>Australia, Adelaide, Lisa Circles 122</t>
  </si>
  <si>
    <t>+94-458982105</t>
  </si>
  <si>
    <t>PROP00447</t>
  </si>
  <si>
    <t>+26-410926680</t>
  </si>
  <si>
    <t>PROP00448</t>
  </si>
  <si>
    <t>+79-180455801</t>
  </si>
  <si>
    <t>PROP00449</t>
  </si>
  <si>
    <t>+67-887717794</t>
  </si>
  <si>
    <t>PROP00450</t>
  </si>
  <si>
    <t>Johnson Rue 284, France, Toulouse</t>
  </si>
  <si>
    <t>+23-704063687</t>
  </si>
  <si>
    <t>PROP00451</t>
  </si>
  <si>
    <t>Canada, Ottawa, Kelly Tunnel 30</t>
  </si>
  <si>
    <t>+72-423719741</t>
  </si>
  <si>
    <t>PROP00452</t>
  </si>
  <si>
    <t>CalgaryNelson Union220, Canada</t>
  </si>
  <si>
    <t>+38-952764932</t>
  </si>
  <si>
    <t>PROP00453</t>
  </si>
  <si>
    <t>GermanyMunichPreston Summit83</t>
  </si>
  <si>
    <t>+44-342255043</t>
  </si>
  <si>
    <t>PROP00454</t>
  </si>
  <si>
    <t>VancouverMorgan Ferry167, Canada</t>
  </si>
  <si>
    <t>+42-509314769</t>
  </si>
  <si>
    <t>PROP00455</t>
  </si>
  <si>
    <t>Richardson Union 93, Bordeaux</t>
  </si>
  <si>
    <t>+98-974979313</t>
  </si>
  <si>
    <t>PROP00456</t>
  </si>
  <si>
    <t>+87-757614648</t>
  </si>
  <si>
    <t>PROP00457</t>
  </si>
  <si>
    <t>Valencia, Ryan View 53, Spain</t>
  </si>
  <si>
    <t>+29-322663813</t>
  </si>
  <si>
    <t>PROP00458</t>
  </si>
  <si>
    <t>Nagoya, Morris Common 254, Japan</t>
  </si>
  <si>
    <t>+32-669145934</t>
  </si>
  <si>
    <t>PROP00459</t>
  </si>
  <si>
    <t>Germany, Frankfurt, Parker Rapids 70</t>
  </si>
  <si>
    <t>+56-145125978</t>
  </si>
  <si>
    <t>PROP00460</t>
  </si>
  <si>
    <t>Sapporo, Jackson Mills 199, Japan</t>
  </si>
  <si>
    <t>+34-558188661</t>
  </si>
  <si>
    <t>PROP00461</t>
  </si>
  <si>
    <t>Williams Ways 19, Vancouver</t>
  </si>
  <si>
    <t>+76-152137537</t>
  </si>
  <si>
    <t>PROP00462</t>
  </si>
  <si>
    <t>FranceLyonHill Turnpike103</t>
  </si>
  <si>
    <t>+85-919107862</t>
  </si>
  <si>
    <t>PROP00463</t>
  </si>
  <si>
    <t>+58-508362262</t>
  </si>
  <si>
    <t>PROP00464</t>
  </si>
  <si>
    <t>SpainMadrid, Spain</t>
  </si>
  <si>
    <t>+46-735711475</t>
  </si>
  <si>
    <t>PROP00465</t>
  </si>
  <si>
    <t>Johnson Cliff 203, Brazil, Rio de Janeiro</t>
  </si>
  <si>
    <t>+13-242170344</t>
  </si>
  <si>
    <t>PROP00466</t>
  </si>
  <si>
    <t>Germany, Berlin, Cox Port 212</t>
  </si>
  <si>
    <t>+37-893485880</t>
  </si>
  <si>
    <t>PROP00467</t>
  </si>
  <si>
    <t>FortalezaErika Land124, Brazil</t>
  </si>
  <si>
    <t>+5-419704757</t>
  </si>
  <si>
    <t>PROP00468</t>
  </si>
  <si>
    <t>Spain, Madrid</t>
  </si>
  <si>
    <t>+59-183526763</t>
  </si>
  <si>
    <t>PROP00469</t>
  </si>
  <si>
    <t>FranceBordeaux</t>
  </si>
  <si>
    <t>+74-321068602</t>
  </si>
  <si>
    <t>PROP00470</t>
  </si>
  <si>
    <t>+63-136193132</t>
  </si>
  <si>
    <t>PROP00471</t>
  </si>
  <si>
    <t>FortalezaVictor Loaf78, Brazil</t>
  </si>
  <si>
    <t>+25-415340302</t>
  </si>
  <si>
    <t>PROP00472</t>
  </si>
  <si>
    <t>Japan, Kyoto, Jose Green 128</t>
  </si>
  <si>
    <t>+78-107362328</t>
  </si>
  <si>
    <t>PROP00473</t>
  </si>
  <si>
    <t>Lewis Ridge143, Montreal, Canada</t>
  </si>
  <si>
    <t>+79-556631781</t>
  </si>
  <si>
    <t>PROP00474</t>
  </si>
  <si>
    <t>Spain, Barcelona, Gonzalez Dale 165</t>
  </si>
  <si>
    <t>+50-933953718</t>
  </si>
  <si>
    <t>PROP00475</t>
  </si>
  <si>
    <t>Thompson Station 269, Brazil, São Paulo</t>
  </si>
  <si>
    <t>+31-135111330</t>
  </si>
  <si>
    <t>PROP00476</t>
  </si>
  <si>
    <t>FlorenceLisa Vista146, Italy</t>
  </si>
  <si>
    <t>+62-908839833</t>
  </si>
  <si>
    <t>PROP00477</t>
  </si>
  <si>
    <t>MunichMckinney Plaza135, Germany</t>
  </si>
  <si>
    <t>+3-611628103</t>
  </si>
  <si>
    <t>PROP00478</t>
  </si>
  <si>
    <t>+49-783942129</t>
  </si>
  <si>
    <t>PROP00479</t>
  </si>
  <si>
    <t>LondonLaura Pass238, UK</t>
  </si>
  <si>
    <t>+22-656402692</t>
  </si>
  <si>
    <t>PROP00480</t>
  </si>
  <si>
    <t>Tracie Turnpike298, Munich, Germany</t>
  </si>
  <si>
    <t>+31-421010856</t>
  </si>
  <si>
    <t>PROP00481</t>
  </si>
  <si>
    <t>FranceParisKristy Burg137</t>
  </si>
  <si>
    <t>+31-368100660</t>
  </si>
  <si>
    <t>PROP00482</t>
  </si>
  <si>
    <t>Hamburg, Mcdonald Plaza 82, Germany</t>
  </si>
  <si>
    <t>+70-542057882</t>
  </si>
  <si>
    <t>PROP00483</t>
  </si>
  <si>
    <t>UKBirminghamCameron Locks172</t>
  </si>
  <si>
    <t>+99-542938193</t>
  </si>
  <si>
    <t>PROP00484</t>
  </si>
  <si>
    <t>LeedsFox Trafficway256, UK</t>
  </si>
  <si>
    <t>+20-793213048</t>
  </si>
  <si>
    <t>PROP00485</t>
  </si>
  <si>
    <t>BrazilRio de JaneiroDavid Island268</t>
  </si>
  <si>
    <t>+57-413768767</t>
  </si>
  <si>
    <t>PROP00486</t>
  </si>
  <si>
    <t>+88-600277540</t>
  </si>
  <si>
    <t>PROP00487</t>
  </si>
  <si>
    <t>+15-137098483</t>
  </si>
  <si>
    <t>PROP00488</t>
  </si>
  <si>
    <t>Spain, Seville, Katrina Curve 179</t>
  </si>
  <si>
    <t>+56-258676327</t>
  </si>
  <si>
    <t>PROP00489</t>
  </si>
  <si>
    <t>Marie Path 275, Florence</t>
  </si>
  <si>
    <t>+1-689826228</t>
  </si>
  <si>
    <t>PROP00490</t>
  </si>
  <si>
    <t>Martin Islands 88, USA, Chicago</t>
  </si>
  <si>
    <t>+64-641427445</t>
  </si>
  <si>
    <t>PROP00491</t>
  </si>
  <si>
    <t>Michael Path277, Munich, Germany</t>
  </si>
  <si>
    <t>+79-245424115</t>
  </si>
  <si>
    <t>PROP00492</t>
  </si>
  <si>
    <t>Japan, Sapporo, John Roads 93</t>
  </si>
  <si>
    <t>+32-613617777</t>
  </si>
  <si>
    <t>PROP00493</t>
  </si>
  <si>
    <t>+74-973035711</t>
  </si>
  <si>
    <t>PROP00494</t>
  </si>
  <si>
    <t>+11-581262173</t>
  </si>
  <si>
    <t>PROP00495</t>
  </si>
  <si>
    <t>ItalyFlorence, Italy</t>
  </si>
  <si>
    <t>+61-452777680</t>
  </si>
  <si>
    <t>PROP00496</t>
  </si>
  <si>
    <t>Kirby Port 64, Canada, Toronto</t>
  </si>
  <si>
    <t>+71-713556722</t>
  </si>
  <si>
    <t>PROP00497</t>
  </si>
  <si>
    <t>+81-776741061</t>
  </si>
  <si>
    <t>PROP00498</t>
  </si>
  <si>
    <t>Curtis Trafficway 43, Phoenix</t>
  </si>
  <si>
    <t>+91-483475848</t>
  </si>
  <si>
    <t>PROP00499</t>
  </si>
  <si>
    <t>Montgomery Burgs146, Adelaide, Australia</t>
  </si>
  <si>
    <t>+21-283047445</t>
  </si>
  <si>
    <t>PROP00500</t>
  </si>
  <si>
    <t>PostalCode_OK</t>
  </si>
  <si>
    <t>Phone_OK</t>
  </si>
  <si>
    <t>Street_extracted</t>
  </si>
  <si>
    <t>MissingStreet</t>
  </si>
  <si>
    <t>City_extracted</t>
  </si>
  <si>
    <t>City_Match</t>
  </si>
  <si>
    <t>AnyError</t>
  </si>
  <si>
    <t>ErrorCount</t>
  </si>
  <si>
    <t>32599</t>
  </si>
  <si>
    <t>OK</t>
  </si>
  <si>
    <t/>
  </si>
  <si>
    <t>MISSING</t>
  </si>
  <si>
    <t>MATCH</t>
  </si>
  <si>
    <t>ERROR</t>
  </si>
  <si>
    <t>89197</t>
  </si>
  <si>
    <t>Donald Cove 35</t>
  </si>
  <si>
    <t>4406</t>
  </si>
  <si>
    <t>79408</t>
  </si>
  <si>
    <t>ToulouseJeffery Parkways231</t>
  </si>
  <si>
    <t>85682</t>
  </si>
  <si>
    <t>AdelaideAnna Stravenue73</t>
  </si>
  <si>
    <t>36964</t>
  </si>
  <si>
    <t>92007</t>
  </si>
  <si>
    <t>Katherine Estate 93</t>
  </si>
  <si>
    <t>28722</t>
  </si>
  <si>
    <t>Peterson Drives 204</t>
  </si>
  <si>
    <t>13177</t>
  </si>
  <si>
    <t>35172</t>
  </si>
  <si>
    <t>Abbott Rapids 298</t>
  </si>
  <si>
    <t>16862</t>
  </si>
  <si>
    <t>82898</t>
  </si>
  <si>
    <t>9617</t>
  </si>
  <si>
    <t>38431</t>
  </si>
  <si>
    <t>Donna Trail 183</t>
  </si>
  <si>
    <t>13739</t>
  </si>
  <si>
    <t>48320</t>
  </si>
  <si>
    <t>88342</t>
  </si>
  <si>
    <t>85440</t>
  </si>
  <si>
    <t>70511</t>
  </si>
  <si>
    <t>BrasíliaChelsea Extension100</t>
  </si>
  <si>
    <t>35883</t>
  </si>
  <si>
    <t>Frank Light 65</t>
  </si>
  <si>
    <t>7832</t>
  </si>
  <si>
    <t>Gabrielle Ville 211</t>
  </si>
  <si>
    <t>41848</t>
  </si>
  <si>
    <t>74842</t>
  </si>
  <si>
    <t>52357</t>
  </si>
  <si>
    <t>32826</t>
  </si>
  <si>
    <t>Thomas Dam 63</t>
  </si>
  <si>
    <t>76985</t>
  </si>
  <si>
    <t>Burgess Meadow 171</t>
  </si>
  <si>
    <t>67285</t>
  </si>
  <si>
    <t>SydneyCox Dam230</t>
  </si>
  <si>
    <t>14872</t>
  </si>
  <si>
    <t>LeedsDavis Causeway293</t>
  </si>
  <si>
    <t>89693</t>
  </si>
  <si>
    <t>Courtney Turnpike165</t>
  </si>
  <si>
    <t>50520</t>
  </si>
  <si>
    <t>2005</t>
  </si>
  <si>
    <t>98920</t>
  </si>
  <si>
    <t>15122</t>
  </si>
  <si>
    <t>MunichMack Junctions229</t>
  </si>
  <si>
    <t>926</t>
  </si>
  <si>
    <t>Graham Motorway 9</t>
  </si>
  <si>
    <t>23917</t>
  </si>
  <si>
    <t>Stanton Track 112</t>
  </si>
  <si>
    <t>84249</t>
  </si>
  <si>
    <t>Monica Hills 117</t>
  </si>
  <si>
    <t>21675</t>
  </si>
  <si>
    <t>Eric Track 273</t>
  </si>
  <si>
    <t>3053</t>
  </si>
  <si>
    <t>SydneyCarol Overpass103</t>
  </si>
  <si>
    <t>40807</t>
  </si>
  <si>
    <t>SapporoSarah Wells54</t>
  </si>
  <si>
    <t>74865</t>
  </si>
  <si>
    <t>Brian Wells1</t>
  </si>
  <si>
    <t>9572</t>
  </si>
  <si>
    <t>Christopher Oval 268</t>
  </si>
  <si>
    <t>72564</t>
  </si>
  <si>
    <t>80008</t>
  </si>
  <si>
    <t>Joseph Well 117</t>
  </si>
  <si>
    <t>99495</t>
  </si>
  <si>
    <t>Brandt Plains 73</t>
  </si>
  <si>
    <t>88540</t>
  </si>
  <si>
    <t>59678</t>
  </si>
  <si>
    <t>44814</t>
  </si>
  <si>
    <t>John Circles101</t>
  </si>
  <si>
    <t>77629</t>
  </si>
  <si>
    <t>Brianna Forks 9</t>
  </si>
  <si>
    <t>83220</t>
  </si>
  <si>
    <t>Adrian Station 145</t>
  </si>
  <si>
    <t>43810</t>
  </si>
  <si>
    <t>Jeremy Bypass 39</t>
  </si>
  <si>
    <t>88185</t>
  </si>
  <si>
    <t>95312</t>
  </si>
  <si>
    <t>53855</t>
  </si>
  <si>
    <t>Sanchez Mountains 24</t>
  </si>
  <si>
    <t>56999</t>
  </si>
  <si>
    <t>96062</t>
  </si>
  <si>
    <t>Henderson Mountain 121</t>
  </si>
  <si>
    <t>13400</t>
  </si>
  <si>
    <t>Emily Rue 280</t>
  </si>
  <si>
    <t>14823</t>
  </si>
  <si>
    <t>Richard Junction 168</t>
  </si>
  <si>
    <t>59301</t>
  </si>
  <si>
    <t>James Plain175</t>
  </si>
  <si>
    <t>61138</t>
  </si>
  <si>
    <t>LondonRobert Harbors170</t>
  </si>
  <si>
    <t>58583</t>
  </si>
  <si>
    <t>Nancy Club 162</t>
  </si>
  <si>
    <t>2435</t>
  </si>
  <si>
    <t>31483</t>
  </si>
  <si>
    <t>28517</t>
  </si>
  <si>
    <t>50173</t>
  </si>
  <si>
    <t>Barrera Expressway 8</t>
  </si>
  <si>
    <t>60139</t>
  </si>
  <si>
    <t>Tricia Greens 134</t>
  </si>
  <si>
    <t>73346</t>
  </si>
  <si>
    <t>29035</t>
  </si>
  <si>
    <t>8490</t>
  </si>
  <si>
    <t>Beth Plains244</t>
  </si>
  <si>
    <t>62994</t>
  </si>
  <si>
    <t>11001</t>
  </si>
  <si>
    <t>Brian Pass 14</t>
  </si>
  <si>
    <t>89002</t>
  </si>
  <si>
    <t>32772</t>
  </si>
  <si>
    <t>MunichRichard Port188</t>
  </si>
  <si>
    <t>86664</t>
  </si>
  <si>
    <t>Christine Manor 113</t>
  </si>
  <si>
    <t>88283</t>
  </si>
  <si>
    <t>Donovan Ford 265</t>
  </si>
  <si>
    <t>17655</t>
  </si>
  <si>
    <t>Allen Locks 62</t>
  </si>
  <si>
    <t>10009</t>
  </si>
  <si>
    <t>Bryant Terrace182</t>
  </si>
  <si>
    <t>13605</t>
  </si>
  <si>
    <t>Stephen Port 133</t>
  </si>
  <si>
    <t>35261</t>
  </si>
  <si>
    <t>32519</t>
  </si>
  <si>
    <t>Sarah Cliff288</t>
  </si>
  <si>
    <t>71701</t>
  </si>
  <si>
    <t>86218</t>
  </si>
  <si>
    <t>39741</t>
  </si>
  <si>
    <t>35165</t>
  </si>
  <si>
    <t>73013</t>
  </si>
  <si>
    <t>28108</t>
  </si>
  <si>
    <t>Joseph Rapids 253</t>
  </si>
  <si>
    <t>35101</t>
  </si>
  <si>
    <t>Harris Roads19</t>
  </si>
  <si>
    <t>7159</t>
  </si>
  <si>
    <t>King Vista 190</t>
  </si>
  <si>
    <t>36766</t>
  </si>
  <si>
    <t>17647</t>
  </si>
  <si>
    <t>72810</t>
  </si>
  <si>
    <t>CalgaryMartin Mills172</t>
  </si>
  <si>
    <t>10363</t>
  </si>
  <si>
    <t>Hoffman Creek 251</t>
  </si>
  <si>
    <t>48894</t>
  </si>
  <si>
    <t>40905</t>
  </si>
  <si>
    <t>Russell Canyon13</t>
  </si>
  <si>
    <t>5730</t>
  </si>
  <si>
    <t>87917</t>
  </si>
  <si>
    <t>53765</t>
  </si>
  <si>
    <t>21800</t>
  </si>
  <si>
    <t>24010</t>
  </si>
  <si>
    <t>Nicole Burg 111</t>
  </si>
  <si>
    <t>88307</t>
  </si>
  <si>
    <t>Rio de JaneiroPatton Loop78</t>
  </si>
  <si>
    <t>92418</t>
  </si>
  <si>
    <t>62195</t>
  </si>
  <si>
    <t>Patrick Camp 280</t>
  </si>
  <si>
    <t>46331</t>
  </si>
  <si>
    <t>30332</t>
  </si>
  <si>
    <t>Hoover Well 14</t>
  </si>
  <si>
    <t>52728</t>
  </si>
  <si>
    <t>Andrew Fields 41</t>
  </si>
  <si>
    <t>37086</t>
  </si>
  <si>
    <t>Ramirez Cliff214</t>
  </si>
  <si>
    <t>89566</t>
  </si>
  <si>
    <t>34738</t>
  </si>
  <si>
    <t>Crosby Crescent 19</t>
  </si>
  <si>
    <t>5515</t>
  </si>
  <si>
    <t>95992</t>
  </si>
  <si>
    <t>15658</t>
  </si>
  <si>
    <t>Graham Pass109</t>
  </si>
  <si>
    <t>33887</t>
  </si>
  <si>
    <t>68647</t>
  </si>
  <si>
    <t>NagoyaJeanne Alley61</t>
  </si>
  <si>
    <t>87563</t>
  </si>
  <si>
    <t>16835</t>
  </si>
  <si>
    <t>Hanson Shore 281</t>
  </si>
  <si>
    <t>54029</t>
  </si>
  <si>
    <t>73168</t>
  </si>
  <si>
    <t>Powell Hill 285</t>
  </si>
  <si>
    <t>50196</t>
  </si>
  <si>
    <t>53726</t>
  </si>
  <si>
    <t>FrankfurtChristina Hollow154</t>
  </si>
  <si>
    <t>56847</t>
  </si>
  <si>
    <t>Los AngelesKevin Fords89</t>
  </si>
  <si>
    <t>89056</t>
  </si>
  <si>
    <t>96964</t>
  </si>
  <si>
    <t>William Underpass 179</t>
  </si>
  <si>
    <t>68062</t>
  </si>
  <si>
    <t>AdelaideDonna Haven193</t>
  </si>
  <si>
    <t>31285</t>
  </si>
  <si>
    <t>19814</t>
  </si>
  <si>
    <t>80621</t>
  </si>
  <si>
    <t>Brandon Mountains103</t>
  </si>
  <si>
    <t>75955</t>
  </si>
  <si>
    <t>65300</t>
  </si>
  <si>
    <t>Jennifer Lights 173</t>
  </si>
  <si>
    <t>90629</t>
  </si>
  <si>
    <t>Sanchez Shoal 29</t>
  </si>
  <si>
    <t>14471</t>
  </si>
  <si>
    <t>Patricia Wall 102</t>
  </si>
  <si>
    <t>91715</t>
  </si>
  <si>
    <t>MilanRobinson Unions166</t>
  </si>
  <si>
    <t>16407</t>
  </si>
  <si>
    <t>Williams Gateway29</t>
  </si>
  <si>
    <t>88001</t>
  </si>
  <si>
    <t>80802</t>
  </si>
  <si>
    <t>58947</t>
  </si>
  <si>
    <t>59492</t>
  </si>
  <si>
    <t>Julia Mountains 298</t>
  </si>
  <si>
    <t>84080</t>
  </si>
  <si>
    <t>64018</t>
  </si>
  <si>
    <t>Cannon Pike 266</t>
  </si>
  <si>
    <t>94026</t>
  </si>
  <si>
    <t>42405</t>
  </si>
  <si>
    <t>Young Isle 76</t>
  </si>
  <si>
    <t>50706</t>
  </si>
  <si>
    <t>54878</t>
  </si>
  <si>
    <t>Jasmine Circles 123</t>
  </si>
  <si>
    <t>54997</t>
  </si>
  <si>
    <t>51550</t>
  </si>
  <si>
    <t>Jamie Manor 135</t>
  </si>
  <si>
    <t>75957</t>
  </si>
  <si>
    <t>39640</t>
  </si>
  <si>
    <t>Woods Knoll 289</t>
  </si>
  <si>
    <t>55422</t>
  </si>
  <si>
    <t>Castaneda Village 261</t>
  </si>
  <si>
    <t>57626</t>
  </si>
  <si>
    <t>Tracy Groves 81</t>
  </si>
  <si>
    <t>88171</t>
  </si>
  <si>
    <t>61762</t>
  </si>
  <si>
    <t>Ramsey Ville 254</t>
  </si>
  <si>
    <t>4035</t>
  </si>
  <si>
    <t>4053</t>
  </si>
  <si>
    <t>61016</t>
  </si>
  <si>
    <t>43407</t>
  </si>
  <si>
    <t>Brent Light290</t>
  </si>
  <si>
    <t>50193</t>
  </si>
  <si>
    <t>55756</t>
  </si>
  <si>
    <t>Walton Village 45</t>
  </si>
  <si>
    <t>3041</t>
  </si>
  <si>
    <t>Conley Mountains 230</t>
  </si>
  <si>
    <t>29890</t>
  </si>
  <si>
    <t>5777</t>
  </si>
  <si>
    <t>3172</t>
  </si>
  <si>
    <t>Stefanie Flats 67</t>
  </si>
  <si>
    <t>88248</t>
  </si>
  <si>
    <t>61453</t>
  </si>
  <si>
    <t>79916</t>
  </si>
  <si>
    <t>Wang Expressway 245</t>
  </si>
  <si>
    <t>41269</t>
  </si>
  <si>
    <t>Kimberly Estates 253</t>
  </si>
  <si>
    <t>75971</t>
  </si>
  <si>
    <t>26496</t>
  </si>
  <si>
    <t>Sanders Stravenue 68</t>
  </si>
  <si>
    <t>82714</t>
  </si>
  <si>
    <t>40030</t>
  </si>
  <si>
    <t>5884</t>
  </si>
  <si>
    <t>BerlinLaura Port45</t>
  </si>
  <si>
    <t>49072</t>
  </si>
  <si>
    <t>Patel Shore 168</t>
  </si>
  <si>
    <t>2159</t>
  </si>
  <si>
    <t>William Junctions 150</t>
  </si>
  <si>
    <t>57323</t>
  </si>
  <si>
    <t>Short Coves178</t>
  </si>
  <si>
    <t>60759</t>
  </si>
  <si>
    <t>68887</t>
  </si>
  <si>
    <t>63873</t>
  </si>
  <si>
    <t>Gilbert Plain 107</t>
  </si>
  <si>
    <t>78157</t>
  </si>
  <si>
    <t>Graham Street 185</t>
  </si>
  <si>
    <t>11860</t>
  </si>
  <si>
    <t>98867</t>
  </si>
  <si>
    <t>50175</t>
  </si>
  <si>
    <t>43101</t>
  </si>
  <si>
    <t>Johnson Vista 118</t>
  </si>
  <si>
    <t>34363</t>
  </si>
  <si>
    <t>92406</t>
  </si>
  <si>
    <t>25543</t>
  </si>
  <si>
    <t>64539</t>
  </si>
  <si>
    <t>John Lodge 110</t>
  </si>
  <si>
    <t>93803</t>
  </si>
  <si>
    <t>Hannah Rue110</t>
  </si>
  <si>
    <t>12697</t>
  </si>
  <si>
    <t>32391</t>
  </si>
  <si>
    <t>Walker Square 151</t>
  </si>
  <si>
    <t>62532</t>
  </si>
  <si>
    <t>72641</t>
  </si>
  <si>
    <t>36010</t>
  </si>
  <si>
    <t>Bell Motorway300</t>
  </si>
  <si>
    <t>95041</t>
  </si>
  <si>
    <t>70737</t>
  </si>
  <si>
    <t>Leslie Summit 92</t>
  </si>
  <si>
    <t>63965</t>
  </si>
  <si>
    <t>James Streets 111</t>
  </si>
  <si>
    <t>69266</t>
  </si>
  <si>
    <t>Hardy Trace 182</t>
  </si>
  <si>
    <t>25944</t>
  </si>
  <si>
    <t>40119</t>
  </si>
  <si>
    <t>Perez Fall 169</t>
  </si>
  <si>
    <t>36455</t>
  </si>
  <si>
    <t>38791</t>
  </si>
  <si>
    <t>MadridTerri Plaza90</t>
  </si>
  <si>
    <t>64841</t>
  </si>
  <si>
    <t>Dana Terrace 273</t>
  </si>
  <si>
    <t>37769</t>
  </si>
  <si>
    <t>Monique Ports 111</t>
  </si>
  <si>
    <t>24665</t>
  </si>
  <si>
    <t>Mendoza Junctions 69</t>
  </si>
  <si>
    <t>63117</t>
  </si>
  <si>
    <t>Johnny Wall 185</t>
  </si>
  <si>
    <t>64955</t>
  </si>
  <si>
    <t>Lynn Locks 218</t>
  </si>
  <si>
    <t>7527</t>
  </si>
  <si>
    <t>40325</t>
  </si>
  <si>
    <t>Edward Port216</t>
  </si>
  <si>
    <t>73648</t>
  </si>
  <si>
    <t>81558</t>
  </si>
  <si>
    <t>Obrien Turnpike 263</t>
  </si>
  <si>
    <t>59550</t>
  </si>
  <si>
    <t>FlorenceKimberly Light13</t>
  </si>
  <si>
    <t>56708</t>
  </si>
  <si>
    <t>Evans Radial 7</t>
  </si>
  <si>
    <t>80406</t>
  </si>
  <si>
    <t>82488</t>
  </si>
  <si>
    <t>21086</t>
  </si>
  <si>
    <t>Joseph Common 145</t>
  </si>
  <si>
    <t>21018</t>
  </si>
  <si>
    <t>MontrealGlenn Club126</t>
  </si>
  <si>
    <t>78333</t>
  </si>
  <si>
    <t>38263</t>
  </si>
  <si>
    <t>Carter Fort 199</t>
  </si>
  <si>
    <t>9830</t>
  </si>
  <si>
    <t>Warner Motorway 276</t>
  </si>
  <si>
    <t>82428</t>
  </si>
  <si>
    <t>ParisSandra Turnpike160</t>
  </si>
  <si>
    <t>29967</t>
  </si>
  <si>
    <t>Ronald Plains220</t>
  </si>
  <si>
    <t>19144</t>
  </si>
  <si>
    <t>40820</t>
  </si>
  <si>
    <t>Brian Turnpike 92</t>
  </si>
  <si>
    <t>90767</t>
  </si>
  <si>
    <t>PhoenixGonzales Mountain163</t>
  </si>
  <si>
    <t>66098</t>
  </si>
  <si>
    <t>BirminghamLyons Groves42</t>
  </si>
  <si>
    <t>5725</t>
  </si>
  <si>
    <t>33317</t>
  </si>
  <si>
    <t>75893</t>
  </si>
  <si>
    <t>35826</t>
  </si>
  <si>
    <t>62170</t>
  </si>
  <si>
    <t>77221</t>
  </si>
  <si>
    <t>BrisbaneMoon Falls294</t>
  </si>
  <si>
    <t>12460</t>
  </si>
  <si>
    <t>42582</t>
  </si>
  <si>
    <t>Bailey Isle 8</t>
  </si>
  <si>
    <t>54456</t>
  </si>
  <si>
    <t>72603</t>
  </si>
  <si>
    <t>33583</t>
  </si>
  <si>
    <t>53477</t>
  </si>
  <si>
    <t>61053</t>
  </si>
  <si>
    <t>47920</t>
  </si>
  <si>
    <t>Brown Path 237</t>
  </si>
  <si>
    <t>7265</t>
  </si>
  <si>
    <t>38253</t>
  </si>
  <si>
    <t>Joseph Curve 49</t>
  </si>
  <si>
    <t>16416</t>
  </si>
  <si>
    <t>Gilmore Oval 266</t>
  </si>
  <si>
    <t>31866</t>
  </si>
  <si>
    <t>NaplesTeresa Rest232</t>
  </si>
  <si>
    <t>72885</t>
  </si>
  <si>
    <t>15372</t>
  </si>
  <si>
    <t>Davis Ville 185</t>
  </si>
  <si>
    <t>20682</t>
  </si>
  <si>
    <t>Valentine Rue159</t>
  </si>
  <si>
    <t>67199</t>
  </si>
  <si>
    <t>62395</t>
  </si>
  <si>
    <t>ParisPerry Orchard298</t>
  </si>
  <si>
    <t>50778</t>
  </si>
  <si>
    <t>Stephen Drive 57</t>
  </si>
  <si>
    <t>98319</t>
  </si>
  <si>
    <t>54888</t>
  </si>
  <si>
    <t>35519</t>
  </si>
  <si>
    <t>Villa Parkways110</t>
  </si>
  <si>
    <t>77432</t>
  </si>
  <si>
    <t>71093</t>
  </si>
  <si>
    <t>Grimes Mission 228</t>
  </si>
  <si>
    <t>71729</t>
  </si>
  <si>
    <t>Reed Plaza 157</t>
  </si>
  <si>
    <t>25228</t>
  </si>
  <si>
    <t>Gibson Islands 48</t>
  </si>
  <si>
    <t>54342</t>
  </si>
  <si>
    <t>92936</t>
  </si>
  <si>
    <t>Louis Mountains 287</t>
  </si>
  <si>
    <t>85962</t>
  </si>
  <si>
    <t>Hughes Shore 118</t>
  </si>
  <si>
    <t>17048</t>
  </si>
  <si>
    <t>Tyler Camp 66</t>
  </si>
  <si>
    <t>58212</t>
  </si>
  <si>
    <t>Kane Well294</t>
  </si>
  <si>
    <t>2512</t>
  </si>
  <si>
    <t>20733</t>
  </si>
  <si>
    <t>Robert Shoal 173</t>
  </si>
  <si>
    <t>44876</t>
  </si>
  <si>
    <t>LyonTerrance Greens77</t>
  </si>
  <si>
    <t>43566</t>
  </si>
  <si>
    <t>94704</t>
  </si>
  <si>
    <t>Finley Road136</t>
  </si>
  <si>
    <t>81432</t>
  </si>
  <si>
    <t>BrasíliaBrennan Camp37</t>
  </si>
  <si>
    <t>38168</t>
  </si>
  <si>
    <t>Jimmy Spur 173</t>
  </si>
  <si>
    <t>13404</t>
  </si>
  <si>
    <t>39752</t>
  </si>
  <si>
    <t>7856</t>
  </si>
  <si>
    <t>19581</t>
  </si>
  <si>
    <t>SapporoHoward Meadows30</t>
  </si>
  <si>
    <t>89865</t>
  </si>
  <si>
    <t>Amanda Port 2</t>
  </si>
  <si>
    <t>80388</t>
  </si>
  <si>
    <t>George Common 184</t>
  </si>
  <si>
    <t>65731</t>
  </si>
  <si>
    <t>33790</t>
  </si>
  <si>
    <t>Jesse Route 278</t>
  </si>
  <si>
    <t>61482</t>
  </si>
  <si>
    <t>10182</t>
  </si>
  <si>
    <t>39711</t>
  </si>
  <si>
    <t>40100</t>
  </si>
  <si>
    <t>63836</t>
  </si>
  <si>
    <t>Yvonne Walk 269</t>
  </si>
  <si>
    <t>47550</t>
  </si>
  <si>
    <t>3376</t>
  </si>
  <si>
    <t>90390</t>
  </si>
  <si>
    <t>65608</t>
  </si>
  <si>
    <t>Renee Summit 183</t>
  </si>
  <si>
    <t>80070</t>
  </si>
  <si>
    <t>BrisbaneParsons Forks64</t>
  </si>
  <si>
    <t>81882</t>
  </si>
  <si>
    <t>MadridRobinson Field59</t>
  </si>
  <si>
    <t>86901</t>
  </si>
  <si>
    <t>85218</t>
  </si>
  <si>
    <t>4874</t>
  </si>
  <si>
    <t>Kyle Mill181</t>
  </si>
  <si>
    <t>39181</t>
  </si>
  <si>
    <t>Oconnor Course 202</t>
  </si>
  <si>
    <t>26819</t>
  </si>
  <si>
    <t>Burgess Extensions 183</t>
  </si>
  <si>
    <t>48454</t>
  </si>
  <si>
    <t>Kristin Wells 71</t>
  </si>
  <si>
    <t>63657</t>
  </si>
  <si>
    <t>15596</t>
  </si>
  <si>
    <t>99349</t>
  </si>
  <si>
    <t>Mccarty Divide 15</t>
  </si>
  <si>
    <t>88896</t>
  </si>
  <si>
    <t>73549</t>
  </si>
  <si>
    <t>Coffey Unions 116</t>
  </si>
  <si>
    <t>2325</t>
  </si>
  <si>
    <t>Davis Locks 25</t>
  </si>
  <si>
    <t>48812</t>
  </si>
  <si>
    <t>Herrera Motorway 169</t>
  </si>
  <si>
    <t>84196</t>
  </si>
  <si>
    <t>Richards View 78</t>
  </si>
  <si>
    <t>62298</t>
  </si>
  <si>
    <t>43493</t>
  </si>
  <si>
    <t>Christine Points 207</t>
  </si>
  <si>
    <t>61353</t>
  </si>
  <si>
    <t>Deborah Roads 279</t>
  </si>
  <si>
    <t>18821</t>
  </si>
  <si>
    <t>Banks Crescent 116</t>
  </si>
  <si>
    <t>65070</t>
  </si>
  <si>
    <t>Sophia Hollow 204</t>
  </si>
  <si>
    <t>18282</t>
  </si>
  <si>
    <t>97905</t>
  </si>
  <si>
    <t>Chavez Skyway 138</t>
  </si>
  <si>
    <t>20754</t>
  </si>
  <si>
    <t>64640</t>
  </si>
  <si>
    <t>Pena Village 84</t>
  </si>
  <si>
    <t>4789</t>
  </si>
  <si>
    <t>NaplesCrosby Harbors180</t>
  </si>
  <si>
    <t>31448</t>
  </si>
  <si>
    <t>48648</t>
  </si>
  <si>
    <t>Garcia Spur146</t>
  </si>
  <si>
    <t>25379</t>
  </si>
  <si>
    <t>MontrealBrown Harbor209</t>
  </si>
  <si>
    <t>60101</t>
  </si>
  <si>
    <t>84320</t>
  </si>
  <si>
    <t>Elizabeth Row 194</t>
  </si>
  <si>
    <t>32426</t>
  </si>
  <si>
    <t>9493</t>
  </si>
  <si>
    <t>31040</t>
  </si>
  <si>
    <t>78617</t>
  </si>
  <si>
    <t>17539</t>
  </si>
  <si>
    <t>87147</t>
  </si>
  <si>
    <t>31687</t>
  </si>
  <si>
    <t>7369</t>
  </si>
  <si>
    <t>Smith Greens 255</t>
  </si>
  <si>
    <t>15397</t>
  </si>
  <si>
    <t>47954</t>
  </si>
  <si>
    <t>Thomas Tunnel 275</t>
  </si>
  <si>
    <t>81124</t>
  </si>
  <si>
    <t>Shannon Forges 5</t>
  </si>
  <si>
    <t>86864</t>
  </si>
  <si>
    <t>HamburgJessica Way23</t>
  </si>
  <si>
    <t>8473</t>
  </si>
  <si>
    <t>90429</t>
  </si>
  <si>
    <t>10133</t>
  </si>
  <si>
    <t>Tracy Mills 245</t>
  </si>
  <si>
    <t>9110</t>
  </si>
  <si>
    <t>Marc Drive 256</t>
  </si>
  <si>
    <t>77225</t>
  </si>
  <si>
    <t>70042</t>
  </si>
  <si>
    <t>56888</t>
  </si>
  <si>
    <t>86315</t>
  </si>
  <si>
    <t>54740</t>
  </si>
  <si>
    <t>Russell Forks 185</t>
  </si>
  <si>
    <t>55025</t>
  </si>
  <si>
    <t>Wilcox Locks 70</t>
  </si>
  <si>
    <t>87678</t>
  </si>
  <si>
    <t>Larry Island 100</t>
  </si>
  <si>
    <t>90524</t>
  </si>
  <si>
    <t>Brooks Drives 68</t>
  </si>
  <si>
    <t>11689</t>
  </si>
  <si>
    <t>97336</t>
  </si>
  <si>
    <t>BordeauxRyan Summit13</t>
  </si>
  <si>
    <t>8362</t>
  </si>
  <si>
    <t>Cain Point 186</t>
  </si>
  <si>
    <t>46847</t>
  </si>
  <si>
    <t>7244</t>
  </si>
  <si>
    <t>14080</t>
  </si>
  <si>
    <t>29893</t>
  </si>
  <si>
    <t>ToulouseEric Orchard239</t>
  </si>
  <si>
    <t>48677</t>
  </si>
  <si>
    <t>Michael Point 90</t>
  </si>
  <si>
    <t>30144</t>
  </si>
  <si>
    <t>81991</t>
  </si>
  <si>
    <t>Bruce Trafficway 94</t>
  </si>
  <si>
    <t>91395</t>
  </si>
  <si>
    <t>92605</t>
  </si>
  <si>
    <t>1301</t>
  </si>
  <si>
    <t>86660</t>
  </si>
  <si>
    <t>83492</t>
  </si>
  <si>
    <t>Jones Streets 121</t>
  </si>
  <si>
    <t>28698</t>
  </si>
  <si>
    <t>21132</t>
  </si>
  <si>
    <t>74896</t>
  </si>
  <si>
    <t>21133</t>
  </si>
  <si>
    <t>58580</t>
  </si>
  <si>
    <t>54788</t>
  </si>
  <si>
    <t>15419</t>
  </si>
  <si>
    <t>Lewis Passage 280</t>
  </si>
  <si>
    <t>89396</t>
  </si>
  <si>
    <t>6453</t>
  </si>
  <si>
    <t>Rose Inlet 229</t>
  </si>
  <si>
    <t>7681</t>
  </si>
  <si>
    <t>18488</t>
  </si>
  <si>
    <t>1514</t>
  </si>
  <si>
    <t>BrasíliaRoberts Crest18</t>
  </si>
  <si>
    <t>17433</t>
  </si>
  <si>
    <t>Burgess Extensions 27</t>
  </si>
  <si>
    <t>66071</t>
  </si>
  <si>
    <t>97761</t>
  </si>
  <si>
    <t>Jones Wall 178</t>
  </si>
  <si>
    <t>10706</t>
  </si>
  <si>
    <t>53509</t>
  </si>
  <si>
    <t>Johnston Ports 70</t>
  </si>
  <si>
    <t>3234</t>
  </si>
  <si>
    <t>Roberts Lodge 244</t>
  </si>
  <si>
    <t>60806</t>
  </si>
  <si>
    <t>HamburgJackson River146</t>
  </si>
  <si>
    <t>14376</t>
  </si>
  <si>
    <t>BilbaoDavis Vista1</t>
  </si>
  <si>
    <t>69177</t>
  </si>
  <si>
    <t>BirminghamRyan Locks70</t>
  </si>
  <si>
    <t>98255</t>
  </si>
  <si>
    <t>Randy Inlet110</t>
  </si>
  <si>
    <t>22538</t>
  </si>
  <si>
    <t>Walker Tunnel 293</t>
  </si>
  <si>
    <t>70048</t>
  </si>
  <si>
    <t>46520</t>
  </si>
  <si>
    <t>Rebecca Keys 118</t>
  </si>
  <si>
    <t>34051</t>
  </si>
  <si>
    <t>86419</t>
  </si>
  <si>
    <t>Glenn Drives245</t>
  </si>
  <si>
    <t>82807</t>
  </si>
  <si>
    <t>Gregory Trail 300</t>
  </si>
  <si>
    <t>76453</t>
  </si>
  <si>
    <t>84779</t>
  </si>
  <si>
    <t>41937</t>
  </si>
  <si>
    <t>Lin Road43</t>
  </si>
  <si>
    <t>58462</t>
  </si>
  <si>
    <t>Scott Mountains 218</t>
  </si>
  <si>
    <t>7863</t>
  </si>
  <si>
    <t>Los AngelesHogan Ramp170</t>
  </si>
  <si>
    <t>61022</t>
  </si>
  <si>
    <t>38128</t>
  </si>
  <si>
    <t>Johnson Land1</t>
  </si>
  <si>
    <t>12336</t>
  </si>
  <si>
    <t>97352</t>
  </si>
  <si>
    <t>Ford Plaza 288</t>
  </si>
  <si>
    <t>75429</t>
  </si>
  <si>
    <t>Shannon Valleys220</t>
  </si>
  <si>
    <t>66216</t>
  </si>
  <si>
    <t>MelbourneMarc Mountains153</t>
  </si>
  <si>
    <t>14067</t>
  </si>
  <si>
    <t>66633</t>
  </si>
  <si>
    <t>57878</t>
  </si>
  <si>
    <t>21308</t>
  </si>
  <si>
    <t>Warren Ridge 49</t>
  </si>
  <si>
    <t>51280</t>
  </si>
  <si>
    <t>ChicagoWatson Haven5</t>
  </si>
  <si>
    <t>78867</t>
  </si>
  <si>
    <t>44364</t>
  </si>
  <si>
    <t>89417</t>
  </si>
  <si>
    <t>Mark Point 13</t>
  </si>
  <si>
    <t>86558</t>
  </si>
  <si>
    <t>87481</t>
  </si>
  <si>
    <t>Mathew Prairie281</t>
  </si>
  <si>
    <t>86491</t>
  </si>
  <si>
    <t>11605</t>
  </si>
  <si>
    <t>OsakaAnderson Station280</t>
  </si>
  <si>
    <t>43555</t>
  </si>
  <si>
    <t>97333</t>
  </si>
  <si>
    <t>Elizabeth Village 28</t>
  </si>
  <si>
    <t>67149</t>
  </si>
  <si>
    <t>24128</t>
  </si>
  <si>
    <t>Smith Inlet 217</t>
  </si>
  <si>
    <t>64237</t>
  </si>
  <si>
    <t>Matthew Trafficway 99</t>
  </si>
  <si>
    <t>20809</t>
  </si>
  <si>
    <t>13757</t>
  </si>
  <si>
    <t>Kenneth Turnpike126</t>
  </si>
  <si>
    <t>81507</t>
  </si>
  <si>
    <t>21767</t>
  </si>
  <si>
    <t>Carla Drives 6</t>
  </si>
  <si>
    <t>82386</t>
  </si>
  <si>
    <t>Marie Trail289</t>
  </si>
  <si>
    <t>54353</t>
  </si>
  <si>
    <t>Jennifer Cape130</t>
  </si>
  <si>
    <t>58723</t>
  </si>
  <si>
    <t>59342</t>
  </si>
  <si>
    <t>Goodwin Tunnel 111</t>
  </si>
  <si>
    <t>61975</t>
  </si>
  <si>
    <t>Amanda Inlet 240</t>
  </si>
  <si>
    <t>58250</t>
  </si>
  <si>
    <t>Micheal Ports 232</t>
  </si>
  <si>
    <t>50553</t>
  </si>
  <si>
    <t>26675</t>
  </si>
  <si>
    <t>LondonBurch Viaduct255</t>
  </si>
  <si>
    <t>84541</t>
  </si>
  <si>
    <t>Monique Center 124</t>
  </si>
  <si>
    <t>13947</t>
  </si>
  <si>
    <t>Sawyer Plaza 184</t>
  </si>
  <si>
    <t>21513</t>
  </si>
  <si>
    <t>Cole Passage 242</t>
  </si>
  <si>
    <t>59631</t>
  </si>
  <si>
    <t>7481</t>
  </si>
  <si>
    <t>51116</t>
  </si>
  <si>
    <t>Shaw Freeway 88</t>
  </si>
  <si>
    <t>42271</t>
  </si>
  <si>
    <t>Nicholas Burgs 214</t>
  </si>
  <si>
    <t>44448</t>
  </si>
  <si>
    <t>Mary Run 169</t>
  </si>
  <si>
    <t>62426</t>
  </si>
  <si>
    <t>59300</t>
  </si>
  <si>
    <t>Katherine Mountains 208</t>
  </si>
  <si>
    <t>34045</t>
  </si>
  <si>
    <t>95821</t>
  </si>
  <si>
    <t>Mary Plaza 227</t>
  </si>
  <si>
    <t>31648</t>
  </si>
  <si>
    <t>Rodriguez Heights 58</t>
  </si>
  <si>
    <t>55528</t>
  </si>
  <si>
    <t>Martinez Garden 131</t>
  </si>
  <si>
    <t>66014</t>
  </si>
  <si>
    <t>32212</t>
  </si>
  <si>
    <t>81085</t>
  </si>
  <si>
    <t>25052</t>
  </si>
  <si>
    <t>9371</t>
  </si>
  <si>
    <t>Alexandra Lake 91</t>
  </si>
  <si>
    <t>6207</t>
  </si>
  <si>
    <t>98453</t>
  </si>
  <si>
    <t>Zavala Glen 265</t>
  </si>
  <si>
    <t>45694</t>
  </si>
  <si>
    <t>Michael Cliff204</t>
  </si>
  <si>
    <t>14088</t>
  </si>
  <si>
    <t>72068</t>
  </si>
  <si>
    <t>BrisbaneAnderson Knoll292</t>
  </si>
  <si>
    <t>90243</t>
  </si>
  <si>
    <t>Li Extensions 200</t>
  </si>
  <si>
    <t>83303</t>
  </si>
  <si>
    <t>Pollard Neck214</t>
  </si>
  <si>
    <t>94354</t>
  </si>
  <si>
    <t>Lisa Circles 122</t>
  </si>
  <si>
    <t>6242</t>
  </si>
  <si>
    <t>41143</t>
  </si>
  <si>
    <t>62550</t>
  </si>
  <si>
    <t>25549</t>
  </si>
  <si>
    <t>Johnson Rue 284</t>
  </si>
  <si>
    <t>6766</t>
  </si>
  <si>
    <t>Kelly Tunnel 30</t>
  </si>
  <si>
    <t>48738</t>
  </si>
  <si>
    <t>CalgaryNelson Union220</t>
  </si>
  <si>
    <t>58138</t>
  </si>
  <si>
    <t>65539</t>
  </si>
  <si>
    <t>VancouverMorgan Ferry167</t>
  </si>
  <si>
    <t>68563</t>
  </si>
  <si>
    <t>Richardson Union 93</t>
  </si>
  <si>
    <t>56141</t>
  </si>
  <si>
    <t>24153</t>
  </si>
  <si>
    <t>Ryan View 53</t>
  </si>
  <si>
    <t>43482</t>
  </si>
  <si>
    <t>Morris Common 254</t>
  </si>
  <si>
    <t>94566</t>
  </si>
  <si>
    <t>Parker Rapids 70</t>
  </si>
  <si>
    <t>46578</t>
  </si>
  <si>
    <t>Jackson Mills 199</t>
  </si>
  <si>
    <t>46711</t>
  </si>
  <si>
    <t>Williams Ways 19</t>
  </si>
  <si>
    <t>8019</t>
  </si>
  <si>
    <t>48120</t>
  </si>
  <si>
    <t>80136</t>
  </si>
  <si>
    <t>31433</t>
  </si>
  <si>
    <t>Johnson Cliff 203</t>
  </si>
  <si>
    <t>4745</t>
  </si>
  <si>
    <t>Cox Port 212</t>
  </si>
  <si>
    <t>49261</t>
  </si>
  <si>
    <t>FortalezaErika Land124</t>
  </si>
  <si>
    <t>18548</t>
  </si>
  <si>
    <t>37029</t>
  </si>
  <si>
    <t>96927</t>
  </si>
  <si>
    <t>74120</t>
  </si>
  <si>
    <t>FortalezaVictor Loaf78</t>
  </si>
  <si>
    <t>92780</t>
  </si>
  <si>
    <t>Jose Green 128</t>
  </si>
  <si>
    <t>37932</t>
  </si>
  <si>
    <t>Lewis Ridge143</t>
  </si>
  <si>
    <t>10207</t>
  </si>
  <si>
    <t>Gonzalez Dale 165</t>
  </si>
  <si>
    <t>58842</t>
  </si>
  <si>
    <t>Thompson Station 269</t>
  </si>
  <si>
    <t>42390</t>
  </si>
  <si>
    <t>FlorenceLisa Vista146</t>
  </si>
  <si>
    <t>71564</t>
  </si>
  <si>
    <t>MunichMckinney Plaza135</t>
  </si>
  <si>
    <t>21145</t>
  </si>
  <si>
    <t>29892</t>
  </si>
  <si>
    <t>LondonLaura Pass238</t>
  </si>
  <si>
    <t>18703</t>
  </si>
  <si>
    <t>Tracie Turnpike298</t>
  </si>
  <si>
    <t>47804</t>
  </si>
  <si>
    <t>17510</t>
  </si>
  <si>
    <t>Mcdonald Plaza 82</t>
  </si>
  <si>
    <t>94470</t>
  </si>
  <si>
    <t>54166</t>
  </si>
  <si>
    <t>LeedsFox Trafficway256</t>
  </si>
  <si>
    <t>84693</t>
  </si>
  <si>
    <t>68312</t>
  </si>
  <si>
    <t>72761</t>
  </si>
  <si>
    <t>57205</t>
  </si>
  <si>
    <t>Katrina Curve 179</t>
  </si>
  <si>
    <t>20557</t>
  </si>
  <si>
    <t>Marie Path 275</t>
  </si>
  <si>
    <t>93474</t>
  </si>
  <si>
    <t>Martin Islands 88</t>
  </si>
  <si>
    <t>37731</t>
  </si>
  <si>
    <t>Michael Path277</t>
  </si>
  <si>
    <t>72700</t>
  </si>
  <si>
    <t>John Roads 93</t>
  </si>
  <si>
    <t>81035</t>
  </si>
  <si>
    <t>78070</t>
  </si>
  <si>
    <t>94955</t>
  </si>
  <si>
    <t>5900</t>
  </si>
  <si>
    <t>Kirby Port 64</t>
  </si>
  <si>
    <t>76099</t>
  </si>
  <si>
    <t>75492</t>
  </si>
  <si>
    <t>Curtis Trafficway 43</t>
  </si>
  <si>
    <t>65779</t>
  </si>
  <si>
    <t>Montgomery Burgs146</t>
  </si>
  <si>
    <t>Row Labels</t>
  </si>
  <si>
    <t>Grand Total</t>
  </si>
  <si>
    <t>Count of AnyError</t>
  </si>
  <si>
    <t>YearMonth</t>
  </si>
  <si>
    <t>2022-11</t>
  </si>
  <si>
    <t>2023-01</t>
  </si>
  <si>
    <t>2023-02</t>
  </si>
  <si>
    <t>2023-03</t>
  </si>
  <si>
    <t>2023-04</t>
  </si>
  <si>
    <t>2023-05</t>
  </si>
  <si>
    <t>2023-06</t>
  </si>
  <si>
    <t>2023-07</t>
  </si>
  <si>
    <t>2023-08</t>
  </si>
  <si>
    <t>2023-09</t>
  </si>
  <si>
    <t>2023-10</t>
  </si>
  <si>
    <t>2023-11</t>
  </si>
  <si>
    <t>2023-12</t>
  </si>
  <si>
    <t>2024-01</t>
  </si>
  <si>
    <t>2024-02</t>
  </si>
  <si>
    <t>2024-03</t>
  </si>
  <si>
    <t>2024-04</t>
  </si>
  <si>
    <t>2024-05</t>
  </si>
  <si>
    <t>2024-07</t>
  </si>
  <si>
    <t>2024-08</t>
  </si>
  <si>
    <t>2024-09</t>
  </si>
  <si>
    <t>2024-10</t>
  </si>
  <si>
    <t>2024-11</t>
  </si>
  <si>
    <t>2025-01</t>
  </si>
  <si>
    <t>2025-02</t>
  </si>
  <si>
    <t>2025-03</t>
  </si>
  <si>
    <t>2025-04</t>
  </si>
  <si>
    <t>2025-05</t>
  </si>
  <si>
    <t>2025-06</t>
  </si>
  <si>
    <t>2025-08</t>
  </si>
  <si>
    <t>2025-09</t>
  </si>
  <si>
    <t>2025-10</t>
  </si>
  <si>
    <t>2025-11</t>
  </si>
  <si>
    <t>2022-12</t>
  </si>
  <si>
    <t>2024-06</t>
  </si>
  <si>
    <t>2024-12</t>
  </si>
  <si>
    <t>2025-07</t>
  </si>
  <si>
    <t>IsError</t>
  </si>
  <si>
    <t>IsMissingStreet</t>
  </si>
  <si>
    <t>ErrorType</t>
  </si>
  <si>
    <t>Count of ErrorType</t>
  </si>
  <si>
    <t>Sum of IsError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</si>
</sst>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charset val="238"/>
      <scheme val="minor"/>
    </font>
    <font>
      <b/>
      <sz val="11"/>
      <color theme="1"/>
      <name val="Aptos Narrow"/>
      <family val="2"/>
      <scheme val="minor"/>
    </font>
    <font>
      <sz val="11"/>
      <color theme="1"/>
      <name val="Calibri"/>
      <family val="2"/>
      <charset val="238"/>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2">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0" fillId="2" borderId="5" xfId="0" applyFill="1" applyBorder="1"/>
    <xf numFmtId="164" fontId="0" fillId="2" borderId="5" xfId="0" applyNumberFormat="1" applyFill="1" applyBorder="1"/>
    <xf numFmtId="0" fontId="1" fillId="3" borderId="1" xfId="0" applyFont="1" applyFill="1" applyBorder="1" applyAlignment="1">
      <alignment horizontal="center" vertical="top"/>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14" fontId="0" fillId="0" borderId="0" xfId="0" applyNumberFormat="1"/>
    <xf numFmtId="14" fontId="0" fillId="0" borderId="5" xfId="0" applyNumberFormat="1" applyBorder="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14" fontId="0" fillId="0" borderId="8" xfId="0" applyNumberFormat="1" applyBorder="1"/>
    <xf numFmtId="0" fontId="2" fillId="0" borderId="0" xfId="0" applyFont="1" applyAlignment="1">
      <alignment vertical="center" wrapText="1"/>
    </xf>
  </cellXfs>
  <cellStyles count="1">
    <cellStyle name="Normal" xfId="0" builtinId="0"/>
  </cellStyles>
  <dxfs count="57">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theme="1"/>
        <name val="Aptos Narrow"/>
        <family val="2"/>
        <scheme val="minor"/>
      </font>
      <fill>
        <patternFill patternType="solid">
          <fgColor indexed="64"/>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[Analysis.xlsx]TopErrorTypes!PivotTable1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latin typeface="Calibri" panose="020F0502020204030204" pitchFamily="34" charset="0"/>
                <a:cs typeface="Calibri" panose="020F0502020204030204" pitchFamily="34" charset="0"/>
              </a:rPr>
              <a:t>Top Error Types</a:t>
            </a:r>
            <a:endParaRPr lang="pl-P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TopErrorTypes!$B$2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TopErrorTypes!$A$3:$A$4</c:f>
              <c:strCache>
                <c:ptCount val="1"/>
                <c:pt idx="0">
                  <c:v>MissingStreet</c:v>
                </c:pt>
              </c:strCache>
            </c:strRef>
          </c:cat>
          <c:val>
            <c:numRef>
              <c:f>TopErrorTypes!$B$3:$B$4</c:f>
              <c:numCache>
                <c:formatCode>General</c:formatCode>
                <c:ptCount val="1"/>
                <c:pt idx="0">
                  <c:v>68</c:v>
                </c:pt>
              </c:numCache>
            </c:numRef>
          </c:val>
          <c:extLst>
            <c:ext xmlns:c16="http://schemas.microsoft.com/office/drawing/2014/chart" uri="{C3380CC4-5D6E-409C-BE32-E72D297353CC}">
              <c16:uniqueId val="{00000000-7CE7-43E4-B9F5-FC1C47073EB2}"/>
            </c:ext>
          </c:extLst>
        </c:ser>
        <c:dLbls>
          <c:showLegendKey val="0"/>
          <c:showVal val="0"/>
          <c:showCatName val="0"/>
          <c:showSerName val="0"/>
          <c:showPercent val="0"/>
          <c:showBubbleSize val="0"/>
        </c:dLbls>
        <c:gapWidth val="219"/>
        <c:overlap val="-27"/>
        <c:axId val="1557026192"/>
        <c:axId val="1557026912"/>
      </c:barChart>
      <c:catAx>
        <c:axId val="155702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l-PL"/>
          </a:p>
        </c:txPr>
        <c:crossAx val="1557026912"/>
        <c:crosses val="autoZero"/>
        <c:auto val="1"/>
        <c:lblAlgn val="ctr"/>
        <c:lblOffset val="100"/>
        <c:noMultiLvlLbl val="0"/>
      </c:catAx>
      <c:valAx>
        <c:axId val="155702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50000"/>
                  </a:schemeClr>
                </a:solidFill>
                <a:latin typeface="+mn-lt"/>
                <a:ea typeface="+mn-ea"/>
                <a:cs typeface="+mn-cs"/>
              </a:defRPr>
            </a:pPr>
            <a:endParaRPr lang="pl-PL"/>
          </a:p>
        </c:txPr>
        <c:crossAx val="155702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[Analysis.xlsx]ErrorsByCountry!PivotTable3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pl-PL" sz="1400" b="0" i="0" u="none" strike="noStrike" baseline="0">
                <a:latin typeface="Calibri" panose="020F0502020204030204" pitchFamily="34" charset="0"/>
                <a:cs typeface="Calibri" panose="020F0502020204030204" pitchFamily="34" charset="0"/>
              </a:rPr>
              <a:t>Errors by Country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ErrorsByCountry!$B$2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ErrorsByCountry!$A$3:$A$13</c:f>
              <c:strCache>
                <c:ptCount val="10"/>
                <c:pt idx="0">
                  <c:v>France</c:v>
                </c:pt>
                <c:pt idx="1">
                  <c:v>Canada</c:v>
                </c:pt>
                <c:pt idx="2">
                  <c:v>Australia</c:v>
                </c:pt>
                <c:pt idx="3">
                  <c:v>Germany</c:v>
                </c:pt>
                <c:pt idx="4">
                  <c:v>Italy</c:v>
                </c:pt>
                <c:pt idx="5">
                  <c:v>UK</c:v>
                </c:pt>
                <c:pt idx="6">
                  <c:v>Japan</c:v>
                </c:pt>
                <c:pt idx="7">
                  <c:v>USA</c:v>
                </c:pt>
                <c:pt idx="8">
                  <c:v>Spain</c:v>
                </c:pt>
                <c:pt idx="9">
                  <c:v>Brazil</c:v>
                </c:pt>
              </c:strCache>
            </c:strRef>
          </c:cat>
          <c:val>
            <c:numRef>
              <c:f>ErrorsByCountry!$B$3:$B$13</c:f>
              <c:numCache>
                <c:formatCode>General</c:formatCode>
                <c:ptCount val="10"/>
                <c:pt idx="0">
                  <c:v>10</c:v>
                </c:pt>
                <c:pt idx="1">
                  <c:v>10</c:v>
                </c:pt>
                <c:pt idx="2">
                  <c:v>9</c:v>
                </c:pt>
                <c:pt idx="3">
                  <c:v>9</c:v>
                </c:pt>
                <c:pt idx="4">
                  <c:v>8</c:v>
                </c:pt>
                <c:pt idx="5">
                  <c:v>6</c:v>
                </c:pt>
                <c:pt idx="6">
                  <c:v>6</c:v>
                </c:pt>
                <c:pt idx="7">
                  <c:v>5</c:v>
                </c:pt>
                <c:pt idx="8">
                  <c:v>3</c:v>
                </c:pt>
                <c:pt idx="9">
                  <c:v>2</c:v>
                </c:pt>
              </c:numCache>
            </c:numRef>
          </c:val>
          <c:extLst>
            <c:ext xmlns:c16="http://schemas.microsoft.com/office/drawing/2014/chart" uri="{C3380CC4-5D6E-409C-BE32-E72D297353CC}">
              <c16:uniqueId val="{00000000-1609-48E4-8F33-9E0331997FE4}"/>
            </c:ext>
          </c:extLst>
        </c:ser>
        <c:dLbls>
          <c:showLegendKey val="0"/>
          <c:showVal val="0"/>
          <c:showCatName val="0"/>
          <c:showSerName val="0"/>
          <c:showPercent val="0"/>
          <c:showBubbleSize val="0"/>
        </c:dLbls>
        <c:gapWidth val="219"/>
        <c:overlap val="-27"/>
        <c:axId val="1557037064"/>
        <c:axId val="1557038504"/>
      </c:barChart>
      <c:catAx>
        <c:axId val="1557037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l-PL"/>
          </a:p>
        </c:txPr>
        <c:crossAx val="1557038504"/>
        <c:crosses val="autoZero"/>
        <c:auto val="1"/>
        <c:lblAlgn val="ctr"/>
        <c:lblOffset val="100"/>
        <c:noMultiLvlLbl val="0"/>
      </c:catAx>
      <c:valAx>
        <c:axId val="155703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57037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[Analysis.xlsx]TrendErrorsByMonth!PivotTable4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pl-PL" sz="1400" b="0" i="0" u="none" strike="noStrike" baseline="0">
                <a:latin typeface="Calibri" panose="020F0502020204030204" pitchFamily="34" charset="0"/>
                <a:cs typeface="Calibri" panose="020F0502020204030204" pitchFamily="34" charset="0"/>
              </a:rPr>
              <a:t>Errors Trend by Month</a:t>
            </a:r>
            <a:endParaRPr lang="pl-P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TrendErrorsByMonth!$B$2</c:f>
              <c:strCache>
                <c:ptCount val="1"/>
                <c:pt idx="0">
                  <c:v>Total</c:v>
                </c:pt>
              </c:strCache>
            </c:strRef>
          </c:tx>
          <c:spPr>
            <a:ln w="28575" cap="rnd">
              <a:solidFill>
                <a:schemeClr val="accent1"/>
              </a:solidFill>
              <a:round/>
            </a:ln>
            <a:effectLst/>
          </c:spPr>
          <c:marker>
            <c:symbol val="none"/>
          </c:marker>
          <c:cat>
            <c:strRef>
              <c:f>TrendErrorsByMonth!$A$3:$A$40</c:f>
              <c:strCache>
                <c:ptCount val="37"/>
                <c:pt idx="0">
                  <c:v>2022-11</c:v>
                </c:pt>
                <c:pt idx="1">
                  <c:v>2022-12</c:v>
                </c:pt>
                <c:pt idx="2">
                  <c:v>2023-01</c:v>
                </c:pt>
                <c:pt idx="3">
                  <c:v>2023-02</c:v>
                </c:pt>
                <c:pt idx="4">
                  <c:v>2023-03</c:v>
                </c:pt>
                <c:pt idx="5">
                  <c:v>2023-04</c:v>
                </c:pt>
                <c:pt idx="6">
                  <c:v>2023-05</c:v>
                </c:pt>
                <c:pt idx="7">
                  <c:v>2023-06</c:v>
                </c:pt>
                <c:pt idx="8">
                  <c:v>2023-07</c:v>
                </c:pt>
                <c:pt idx="9">
                  <c:v>2023-08</c:v>
                </c:pt>
                <c:pt idx="10">
                  <c:v>2023-09</c:v>
                </c:pt>
                <c:pt idx="11">
                  <c:v>2023-10</c:v>
                </c:pt>
                <c:pt idx="12">
                  <c:v>2023-11</c:v>
                </c:pt>
                <c:pt idx="13">
                  <c:v>2023-12</c:v>
                </c:pt>
                <c:pt idx="14">
                  <c:v>2024-01</c:v>
                </c:pt>
                <c:pt idx="15">
                  <c:v>2024-02</c:v>
                </c:pt>
                <c:pt idx="16">
                  <c:v>2024-03</c:v>
                </c:pt>
                <c:pt idx="17">
                  <c:v>2024-04</c:v>
                </c:pt>
                <c:pt idx="18">
                  <c:v>2024-05</c:v>
                </c:pt>
                <c:pt idx="19">
                  <c:v>2024-06</c:v>
                </c:pt>
                <c:pt idx="20">
                  <c:v>2024-07</c:v>
                </c:pt>
                <c:pt idx="21">
                  <c:v>2024-08</c:v>
                </c:pt>
                <c:pt idx="22">
                  <c:v>2024-09</c:v>
                </c:pt>
                <c:pt idx="23">
                  <c:v>2024-10</c:v>
                </c:pt>
                <c:pt idx="24">
                  <c:v>2024-11</c:v>
                </c:pt>
                <c:pt idx="25">
                  <c:v>2024-12</c:v>
                </c:pt>
                <c:pt idx="26">
                  <c:v>2025-01</c:v>
                </c:pt>
                <c:pt idx="27">
                  <c:v>2025-02</c:v>
                </c:pt>
                <c:pt idx="28">
                  <c:v>2025-03</c:v>
                </c:pt>
                <c:pt idx="29">
                  <c:v>2025-04</c:v>
                </c:pt>
                <c:pt idx="30">
                  <c:v>2025-05</c:v>
                </c:pt>
                <c:pt idx="31">
                  <c:v>2025-06</c:v>
                </c:pt>
                <c:pt idx="32">
                  <c:v>2025-07</c:v>
                </c:pt>
                <c:pt idx="33">
                  <c:v>2025-08</c:v>
                </c:pt>
                <c:pt idx="34">
                  <c:v>2025-09</c:v>
                </c:pt>
                <c:pt idx="35">
                  <c:v>2025-10</c:v>
                </c:pt>
                <c:pt idx="36">
                  <c:v>2025-11</c:v>
                </c:pt>
              </c:strCache>
            </c:strRef>
          </c:cat>
          <c:val>
            <c:numRef>
              <c:f>TrendErrorsByMonth!$B$3:$B$40</c:f>
              <c:numCache>
                <c:formatCode>General</c:formatCode>
                <c:ptCount val="37"/>
                <c:pt idx="0">
                  <c:v>1</c:v>
                </c:pt>
                <c:pt idx="1">
                  <c:v>0</c:v>
                </c:pt>
                <c:pt idx="2">
                  <c:v>1</c:v>
                </c:pt>
                <c:pt idx="3">
                  <c:v>1</c:v>
                </c:pt>
                <c:pt idx="4">
                  <c:v>1</c:v>
                </c:pt>
                <c:pt idx="5">
                  <c:v>3</c:v>
                </c:pt>
                <c:pt idx="6">
                  <c:v>1</c:v>
                </c:pt>
                <c:pt idx="7">
                  <c:v>5</c:v>
                </c:pt>
                <c:pt idx="8">
                  <c:v>6</c:v>
                </c:pt>
                <c:pt idx="9">
                  <c:v>2</c:v>
                </c:pt>
                <c:pt idx="10">
                  <c:v>1</c:v>
                </c:pt>
                <c:pt idx="11">
                  <c:v>4</c:v>
                </c:pt>
                <c:pt idx="12">
                  <c:v>3</c:v>
                </c:pt>
                <c:pt idx="13">
                  <c:v>4</c:v>
                </c:pt>
                <c:pt idx="14">
                  <c:v>2</c:v>
                </c:pt>
                <c:pt idx="15">
                  <c:v>1</c:v>
                </c:pt>
                <c:pt idx="16">
                  <c:v>1</c:v>
                </c:pt>
                <c:pt idx="17">
                  <c:v>1</c:v>
                </c:pt>
                <c:pt idx="18">
                  <c:v>1</c:v>
                </c:pt>
                <c:pt idx="19">
                  <c:v>0</c:v>
                </c:pt>
                <c:pt idx="20">
                  <c:v>1</c:v>
                </c:pt>
                <c:pt idx="21">
                  <c:v>1</c:v>
                </c:pt>
                <c:pt idx="22">
                  <c:v>1</c:v>
                </c:pt>
                <c:pt idx="23">
                  <c:v>3</c:v>
                </c:pt>
                <c:pt idx="24">
                  <c:v>1</c:v>
                </c:pt>
                <c:pt idx="25">
                  <c:v>0</c:v>
                </c:pt>
                <c:pt idx="26">
                  <c:v>3</c:v>
                </c:pt>
                <c:pt idx="27">
                  <c:v>2</c:v>
                </c:pt>
                <c:pt idx="28">
                  <c:v>3</c:v>
                </c:pt>
                <c:pt idx="29">
                  <c:v>2</c:v>
                </c:pt>
                <c:pt idx="30">
                  <c:v>1</c:v>
                </c:pt>
                <c:pt idx="31">
                  <c:v>1</c:v>
                </c:pt>
                <c:pt idx="32">
                  <c:v>0</c:v>
                </c:pt>
                <c:pt idx="33">
                  <c:v>2</c:v>
                </c:pt>
                <c:pt idx="34">
                  <c:v>1</c:v>
                </c:pt>
                <c:pt idx="35">
                  <c:v>5</c:v>
                </c:pt>
                <c:pt idx="36">
                  <c:v>2</c:v>
                </c:pt>
              </c:numCache>
            </c:numRef>
          </c:val>
          <c:smooth val="0"/>
          <c:extLst>
            <c:ext xmlns:c16="http://schemas.microsoft.com/office/drawing/2014/chart" uri="{C3380CC4-5D6E-409C-BE32-E72D297353CC}">
              <c16:uniqueId val="{00000000-59D8-416A-9881-FB24E0C43ED2}"/>
            </c:ext>
          </c:extLst>
        </c:ser>
        <c:dLbls>
          <c:showLegendKey val="0"/>
          <c:showVal val="0"/>
          <c:showCatName val="0"/>
          <c:showSerName val="0"/>
          <c:showPercent val="0"/>
          <c:showBubbleSize val="0"/>
        </c:dLbls>
        <c:smooth val="0"/>
        <c:axId val="1552166504"/>
        <c:axId val="1552164344"/>
      </c:lineChart>
      <c:catAx>
        <c:axId val="155216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pl-PL"/>
          </a:p>
        </c:txPr>
        <c:crossAx val="1552164344"/>
        <c:crosses val="autoZero"/>
        <c:auto val="0"/>
        <c:lblAlgn val="ctr"/>
        <c:lblOffset val="100"/>
        <c:noMultiLvlLbl val="0"/>
      </c:catAx>
      <c:valAx>
        <c:axId val="1552164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52166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47</xdr:col>
      <xdr:colOff>304800</xdr:colOff>
      <xdr:row>67</xdr:row>
      <xdr:rowOff>57150</xdr:rowOff>
    </xdr:to>
    <xdr:sp macro="" textlink="">
      <xdr:nvSpPr>
        <xdr:cNvPr id="16" name="Rectangle 15">
          <a:extLst>
            <a:ext uri="{FF2B5EF4-FFF2-40B4-BE49-F238E27FC236}">
              <a16:creationId xmlns:a16="http://schemas.microsoft.com/office/drawing/2014/main" id="{C5DDED7A-75AA-A76F-EA81-06D65FA22CCD}"/>
            </a:ext>
          </a:extLst>
        </xdr:cNvPr>
        <xdr:cNvSpPr/>
      </xdr:nvSpPr>
      <xdr:spPr>
        <a:xfrm>
          <a:off x="0" y="0"/>
          <a:ext cx="41910000" cy="14763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l-PL" sz="1100"/>
        </a:p>
      </xdr:txBody>
    </xdr:sp>
    <xdr:clientData/>
  </xdr:twoCellAnchor>
  <xdr:twoCellAnchor>
    <xdr:from>
      <xdr:col>0</xdr:col>
      <xdr:colOff>12701</xdr:colOff>
      <xdr:row>7</xdr:row>
      <xdr:rowOff>694001</xdr:rowOff>
    </xdr:from>
    <xdr:to>
      <xdr:col>0</xdr:col>
      <xdr:colOff>2895601</xdr:colOff>
      <xdr:row>21</xdr:row>
      <xdr:rowOff>43543</xdr:rowOff>
    </xdr:to>
    <xdr:graphicFrame macro="">
      <xdr:nvGraphicFramePr>
        <xdr:cNvPr id="5" name="Chart 4">
          <a:extLst>
            <a:ext uri="{FF2B5EF4-FFF2-40B4-BE49-F238E27FC236}">
              <a16:creationId xmlns:a16="http://schemas.microsoft.com/office/drawing/2014/main" id="{94BC8C5C-C4ED-4B73-9036-55952EC8C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510182</xdr:colOff>
      <xdr:row>8</xdr:row>
      <xdr:rowOff>0</xdr:rowOff>
    </xdr:from>
    <xdr:to>
      <xdr:col>14</xdr:col>
      <xdr:colOff>637279</xdr:colOff>
      <xdr:row>21</xdr:row>
      <xdr:rowOff>25401</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CA6EF97C-C705-481D-9F05-785B6A1DFDD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9603725" y="2612571"/>
              <a:ext cx="1890583" cy="328023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574902</xdr:colOff>
      <xdr:row>8</xdr:row>
      <xdr:rowOff>0</xdr:rowOff>
    </xdr:from>
    <xdr:to>
      <xdr:col>17</xdr:col>
      <xdr:colOff>84909</xdr:colOff>
      <xdr:row>21</xdr:row>
      <xdr:rowOff>25401</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7F00BF5A-E79E-4E78-9FCA-C4C026DA32B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431931" y="2612571"/>
              <a:ext cx="1883092" cy="328023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13764</xdr:colOff>
      <xdr:row>8</xdr:row>
      <xdr:rowOff>0</xdr:rowOff>
    </xdr:from>
    <xdr:to>
      <xdr:col>20</xdr:col>
      <xdr:colOff>63500</xdr:colOff>
      <xdr:row>21</xdr:row>
      <xdr:rowOff>25401</xdr:rowOff>
    </xdr:to>
    <mc:AlternateContent xmlns:mc="http://schemas.openxmlformats.org/markup-compatibility/2006" xmlns:a14="http://schemas.microsoft.com/office/drawing/2010/main">
      <mc:Choice Requires="a14">
        <xdr:graphicFrame macro="">
          <xdr:nvGraphicFramePr>
            <xdr:cNvPr id="8" name="YearMonth">
              <a:extLst>
                <a:ext uri="{FF2B5EF4-FFF2-40B4-BE49-F238E27FC236}">
                  <a16:creationId xmlns:a16="http://schemas.microsoft.com/office/drawing/2014/main" id="{CA24B18D-42FB-4F80-AB4C-4B9C5C74116A}"/>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23243878" y="2612571"/>
              <a:ext cx="1878536" cy="328023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10885</xdr:colOff>
      <xdr:row>8</xdr:row>
      <xdr:rowOff>0</xdr:rowOff>
    </xdr:from>
    <xdr:to>
      <xdr:col>12</xdr:col>
      <xdr:colOff>522514</xdr:colOff>
      <xdr:row>21</xdr:row>
      <xdr:rowOff>25401</xdr:rowOff>
    </xdr:to>
    <mc:AlternateContent xmlns:mc="http://schemas.openxmlformats.org/markup-compatibility/2006" xmlns:a14="http://schemas.microsoft.com/office/drawing/2010/main">
      <mc:Choice Requires="a14">
        <xdr:graphicFrame macro="">
          <xdr:nvGraphicFramePr>
            <xdr:cNvPr id="9" name="SourceSystem">
              <a:extLst>
                <a:ext uri="{FF2B5EF4-FFF2-40B4-BE49-F238E27FC236}">
                  <a16:creationId xmlns:a16="http://schemas.microsoft.com/office/drawing/2014/main" id="{768AF740-C148-4B37-8223-7FC3B240BFB6}"/>
                </a:ext>
              </a:extLst>
            </xdr:cNvPr>
            <xdr:cNvGraphicFramePr/>
          </xdr:nvGraphicFramePr>
          <xdr:xfrm>
            <a:off x="0" y="0"/>
            <a:ext cx="0" cy="0"/>
          </xdr:xfrm>
          <a:graphic>
            <a:graphicData uri="http://schemas.microsoft.com/office/drawing/2010/slicer">
              <sle:slicer xmlns:sle="http://schemas.microsoft.com/office/drawing/2010/slicer" name="SourceSystem"/>
            </a:graphicData>
          </a:graphic>
        </xdr:graphicFrame>
      </mc:Choice>
      <mc:Fallback xmlns="">
        <xdr:sp macro="" textlink="">
          <xdr:nvSpPr>
            <xdr:cNvPr id="0" name=""/>
            <xdr:cNvSpPr>
              <a:spLocks noTextEdit="1"/>
            </xdr:cNvSpPr>
          </xdr:nvSpPr>
          <xdr:spPr>
            <a:xfrm>
              <a:off x="17819914" y="2612571"/>
              <a:ext cx="1796143" cy="328023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10887</xdr:colOff>
      <xdr:row>7</xdr:row>
      <xdr:rowOff>694001</xdr:rowOff>
    </xdr:from>
    <xdr:to>
      <xdr:col>11</xdr:col>
      <xdr:colOff>10885</xdr:colOff>
      <xdr:row>21</xdr:row>
      <xdr:rowOff>21771</xdr:rowOff>
    </xdr:to>
    <xdr:graphicFrame macro="">
      <xdr:nvGraphicFramePr>
        <xdr:cNvPr id="10" name="Chart 9">
          <a:extLst>
            <a:ext uri="{FF2B5EF4-FFF2-40B4-BE49-F238E27FC236}">
              <a16:creationId xmlns:a16="http://schemas.microsoft.com/office/drawing/2014/main" id="{E64CB1FE-F3AD-46BC-9708-DBABCAD8C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2902605</xdr:colOff>
      <xdr:row>7</xdr:row>
      <xdr:rowOff>694001</xdr:rowOff>
    </xdr:from>
    <xdr:to>
      <xdr:col>7</xdr:col>
      <xdr:colOff>54429</xdr:colOff>
      <xdr:row>21</xdr:row>
      <xdr:rowOff>32657</xdr:rowOff>
    </xdr:to>
    <xdr:graphicFrame macro="">
      <xdr:nvGraphicFramePr>
        <xdr:cNvPr id="11" name="Chart 10">
          <a:extLst>
            <a:ext uri="{FF2B5EF4-FFF2-40B4-BE49-F238E27FC236}">
              <a16:creationId xmlns:a16="http://schemas.microsoft.com/office/drawing/2014/main" id="{68A5F324-0C17-42E1-9F25-A4C311DA0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87085</xdr:colOff>
      <xdr:row>22</xdr:row>
      <xdr:rowOff>25400</xdr:rowOff>
    </xdr:from>
    <xdr:to>
      <xdr:col>11</xdr:col>
      <xdr:colOff>50800</xdr:colOff>
      <xdr:row>30</xdr:row>
      <xdr:rowOff>25400</xdr:rowOff>
    </xdr:to>
    <mc:AlternateContent xmlns:mc="http://schemas.openxmlformats.org/markup-compatibility/2006" xmlns:tsle="http://schemas.microsoft.com/office/drawing/2012/timeslicer">
      <mc:Choice Requires="tsle">
        <xdr:graphicFrame macro="">
          <xdr:nvGraphicFramePr>
            <xdr:cNvPr id="12" name="UpdatedDate">
              <a:extLst>
                <a:ext uri="{FF2B5EF4-FFF2-40B4-BE49-F238E27FC236}">
                  <a16:creationId xmlns:a16="http://schemas.microsoft.com/office/drawing/2014/main" id="{1BA4DA26-7A62-4F64-9541-23B2C0C1DCCF}"/>
                </a:ext>
              </a:extLst>
            </xdr:cNvPr>
            <xdr:cNvGraphicFramePr/>
          </xdr:nvGraphicFramePr>
          <xdr:xfrm>
            <a:off x="0" y="0"/>
            <a:ext cx="0" cy="0"/>
          </xdr:xfrm>
          <a:graphic>
            <a:graphicData uri="http://schemas.microsoft.com/office/drawing/2012/timeslicer">
              <tsle:timeslicer name="UpdatedDate"/>
            </a:graphicData>
          </a:graphic>
        </xdr:graphicFrame>
      </mc:Choice>
      <mc:Fallback xmlns="">
        <xdr:sp macro="" textlink="">
          <xdr:nvSpPr>
            <xdr:cNvPr id="0" name=""/>
            <xdr:cNvSpPr>
              <a:spLocks noTextEdit="1"/>
            </xdr:cNvSpPr>
          </xdr:nvSpPr>
          <xdr:spPr>
            <a:xfrm>
              <a:off x="87085" y="6143171"/>
              <a:ext cx="17772744" cy="1545772"/>
            </a:xfrm>
            <a:prstGeom prst="rect">
              <a:avLst/>
            </a:prstGeom>
            <a:solidFill>
              <a:prstClr val="white"/>
            </a:solidFill>
            <a:ln w="1">
              <a:solidFill>
                <a:prstClr val="green"/>
              </a:solidFill>
            </a:ln>
          </xdr:spPr>
          <xdr:txBody>
            <a:bodyPr vertOverflow="clip" horzOverflow="clip"/>
            <a:lstStyle/>
            <a:p>
              <a:r>
                <a:rPr lang="pl-PL" sz="1100"/>
                <a:t>Timeline: Works in Excel 2013 or higher. Do not move or resize.</a:t>
              </a:r>
            </a:p>
          </xdr:txBody>
        </xdr:sp>
      </mc:Fallback>
    </mc:AlternateContent>
    <xdr:clientData/>
  </xdr:twoCellAnchor>
  <xdr:twoCellAnchor>
    <xdr:from>
      <xdr:col>0</xdr:col>
      <xdr:colOff>117509</xdr:colOff>
      <xdr:row>31</xdr:row>
      <xdr:rowOff>30481</xdr:rowOff>
    </xdr:from>
    <xdr:to>
      <xdr:col>1</xdr:col>
      <xdr:colOff>946218</xdr:colOff>
      <xdr:row>36</xdr:row>
      <xdr:rowOff>164164</xdr:rowOff>
    </xdr:to>
    <xdr:sp macro="" textlink="">
      <xdr:nvSpPr>
        <xdr:cNvPr id="14" name="Rectangle 13">
          <a:extLst>
            <a:ext uri="{FF2B5EF4-FFF2-40B4-BE49-F238E27FC236}">
              <a16:creationId xmlns:a16="http://schemas.microsoft.com/office/drawing/2014/main" id="{21F70170-652B-0C19-360D-05C11B943C32}"/>
            </a:ext>
          </a:extLst>
        </xdr:cNvPr>
        <xdr:cNvSpPr/>
      </xdr:nvSpPr>
      <xdr:spPr>
        <a:xfrm>
          <a:off x="117509" y="7650481"/>
          <a:ext cx="6985669" cy="10480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100"/>
            <a:t>Insights:</a:t>
          </a:r>
          <a:br>
            <a:rPr lang="pl-PL" sz="1100"/>
          </a:br>
          <a:r>
            <a:rPr lang="pl-PL" sz="1100"/>
            <a:t>- </a:t>
          </a:r>
          <a:r>
            <a:rPr lang="en-US" sz="1100">
              <a:solidFill>
                <a:schemeClr val="lt1"/>
              </a:solidFill>
              <a:effectLst/>
              <a:latin typeface="+mn-lt"/>
              <a:ea typeface="+mn-ea"/>
              <a:cs typeface="+mn-cs"/>
            </a:rPr>
            <a:t>Missing street is the most common error (68 cases).</a:t>
          </a:r>
          <a:endParaRPr lang="pl-PL" sz="1100">
            <a:solidFill>
              <a:schemeClr val="lt1"/>
            </a:solidFill>
            <a:effectLst/>
            <a:latin typeface="+mn-lt"/>
            <a:ea typeface="+mn-ea"/>
            <a:cs typeface="+mn-cs"/>
          </a:endParaRPr>
        </a:p>
        <a:p>
          <a:pPr lvl="0"/>
          <a:r>
            <a:rPr lang="pl-PL" sz="1100"/>
            <a:t>- </a:t>
          </a:r>
          <a:r>
            <a:rPr lang="en-US" sz="1100">
              <a:solidFill>
                <a:schemeClr val="lt1"/>
              </a:solidFill>
              <a:effectLst/>
              <a:latin typeface="+mn-lt"/>
              <a:ea typeface="+mn-ea"/>
              <a:cs typeface="+mn-cs"/>
            </a:rPr>
            <a:t>No invalid postal codes or phone numbers detected.</a:t>
          </a:r>
          <a:endParaRPr lang="pl-PL"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l-PL" sz="1100"/>
            <a:t>- </a:t>
          </a:r>
          <a:r>
            <a:rPr lang="en-US" sz="1100">
              <a:solidFill>
                <a:schemeClr val="lt1"/>
              </a:solidFill>
              <a:effectLst/>
              <a:latin typeface="+mn-lt"/>
              <a:ea typeface="+mn-ea"/>
              <a:cs typeface="+mn-cs"/>
            </a:rPr>
            <a:t>Error rate stable across months with slight </a:t>
          </a:r>
          <a:r>
            <a:rPr lang="en-US" sz="1100">
              <a:solidFill>
                <a:schemeClr val="lt1"/>
              </a:solidFill>
              <a:effectLst/>
              <a:latin typeface="Calibri" panose="020F0502020204030204" pitchFamily="34" charset="0"/>
              <a:ea typeface="+mn-ea"/>
              <a:cs typeface="Calibri" panose="020F0502020204030204" pitchFamily="34" charset="0"/>
            </a:rPr>
            <a:t>seasonal</a:t>
          </a:r>
          <a:r>
            <a:rPr lang="en-US" sz="1100">
              <a:solidFill>
                <a:schemeClr val="lt1"/>
              </a:solidFill>
              <a:effectLst/>
              <a:latin typeface="+mn-lt"/>
              <a:ea typeface="+mn-ea"/>
              <a:cs typeface="+mn-cs"/>
            </a:rPr>
            <a:t> peaks.</a:t>
          </a:r>
          <a:br>
            <a:rPr lang="pl-PL" sz="1100">
              <a:solidFill>
                <a:schemeClr val="lt1"/>
              </a:solidFill>
              <a:effectLst/>
              <a:latin typeface="+mn-lt"/>
              <a:ea typeface="+mn-ea"/>
              <a:cs typeface="+mn-cs"/>
            </a:rPr>
          </a:br>
          <a:r>
            <a:rPr lang="en-US" sz="1100">
              <a:solidFill>
                <a:schemeClr val="lt1"/>
              </a:solidFill>
              <a:effectLst/>
              <a:latin typeface="+mn-lt"/>
              <a:ea typeface="+mn-ea"/>
              <a:cs typeface="+mn-cs"/>
            </a:rPr>
            <a:t>Recommendation: enforce street input and validate address formats at data entry.</a:t>
          </a:r>
          <a:endParaRPr lang="pl-PL" sz="1100">
            <a:solidFill>
              <a:schemeClr val="lt1"/>
            </a:solidFill>
            <a:effectLst/>
            <a:latin typeface="+mn-lt"/>
            <a:ea typeface="+mn-ea"/>
            <a:cs typeface="+mn-cs"/>
          </a:endParaRPr>
        </a:p>
        <a:p>
          <a:pPr algn="l"/>
          <a:endParaRPr lang="pl-PL" sz="1100"/>
        </a:p>
      </xdr:txBody>
    </xdr:sp>
    <xdr:clientData/>
  </xdr:twoCellAnchor>
  <xdr:twoCellAnchor>
    <xdr:from>
      <xdr:col>0</xdr:col>
      <xdr:colOff>1</xdr:colOff>
      <xdr:row>0</xdr:row>
      <xdr:rowOff>0</xdr:rowOff>
    </xdr:from>
    <xdr:to>
      <xdr:col>0</xdr:col>
      <xdr:colOff>6240685</xdr:colOff>
      <xdr:row>1</xdr:row>
      <xdr:rowOff>0</xdr:rowOff>
    </xdr:to>
    <xdr:sp macro="" textlink="">
      <xdr:nvSpPr>
        <xdr:cNvPr id="17" name="Rectangle 16">
          <a:extLst>
            <a:ext uri="{FF2B5EF4-FFF2-40B4-BE49-F238E27FC236}">
              <a16:creationId xmlns:a16="http://schemas.microsoft.com/office/drawing/2014/main" id="{A5394FBB-DEAA-8040-B7F2-D6D5909B2B9D}"/>
            </a:ext>
          </a:extLst>
        </xdr:cNvPr>
        <xdr:cNvSpPr/>
      </xdr:nvSpPr>
      <xdr:spPr>
        <a:xfrm>
          <a:off x="1" y="0"/>
          <a:ext cx="6240684" cy="50157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pl-PL" sz="2400" b="1">
              <a:solidFill>
                <a:sysClr val="windowText" lastClr="000000"/>
              </a:solidFill>
              <a:latin typeface="Calibri" panose="020F0502020204030204" pitchFamily="34" charset="0"/>
              <a:cs typeface="Calibri" panose="020F0502020204030204" pitchFamily="34" charset="0"/>
            </a:rPr>
            <a:t>Data Quality Dashboard — Global Properties</a:t>
          </a:r>
        </a:p>
      </xdr:txBody>
    </xdr:sp>
    <xdr:clientData/>
  </xdr:twoCellAnchor>
  <xdr:twoCellAnchor>
    <xdr:from>
      <xdr:col>0</xdr:col>
      <xdr:colOff>0</xdr:colOff>
      <xdr:row>1</xdr:row>
      <xdr:rowOff>9645</xdr:rowOff>
    </xdr:from>
    <xdr:to>
      <xdr:col>1</xdr:col>
      <xdr:colOff>9645</xdr:colOff>
      <xdr:row>2</xdr:row>
      <xdr:rowOff>19292</xdr:rowOff>
    </xdr:to>
    <xdr:sp macro="" textlink="">
      <xdr:nvSpPr>
        <xdr:cNvPr id="18" name="Rectangle 17">
          <a:extLst>
            <a:ext uri="{FF2B5EF4-FFF2-40B4-BE49-F238E27FC236}">
              <a16:creationId xmlns:a16="http://schemas.microsoft.com/office/drawing/2014/main" id="{68CCD380-89D0-FAA0-452B-BA814CE41336}"/>
            </a:ext>
          </a:extLst>
        </xdr:cNvPr>
        <xdr:cNvSpPr/>
      </xdr:nvSpPr>
      <xdr:spPr>
        <a:xfrm>
          <a:off x="0" y="511215"/>
          <a:ext cx="6259974" cy="260431"/>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r>
            <a:rPr lang="pl-PL" sz="1300">
              <a:solidFill>
                <a:sysClr val="windowText" lastClr="000000"/>
              </a:solidFill>
              <a:latin typeface="Calibri" panose="020F0502020204030204" pitchFamily="34" charset="0"/>
              <a:cs typeface="Calibri" panose="020F0502020204030204" pitchFamily="34" charset="0"/>
            </a:rPr>
            <a:t>Data quality assessment based on 500 global property records. Identifies key error types and trends</a:t>
          </a:r>
        </a:p>
      </xdr:txBody>
    </xdr:sp>
    <xdr:clientData/>
  </xdr:twoCellAnchor>
  <xdr:twoCellAnchor>
    <xdr:from>
      <xdr:col>0</xdr:col>
      <xdr:colOff>9646</xdr:colOff>
      <xdr:row>3</xdr:row>
      <xdr:rowOff>5788</xdr:rowOff>
    </xdr:from>
    <xdr:to>
      <xdr:col>2</xdr:col>
      <xdr:colOff>19291</xdr:colOff>
      <xdr:row>6</xdr:row>
      <xdr:rowOff>441766</xdr:rowOff>
    </xdr:to>
    <xdr:sp macro="" textlink="">
      <xdr:nvSpPr>
        <xdr:cNvPr id="19" name="Rectangle 18">
          <a:extLst>
            <a:ext uri="{FF2B5EF4-FFF2-40B4-BE49-F238E27FC236}">
              <a16:creationId xmlns:a16="http://schemas.microsoft.com/office/drawing/2014/main" id="{BBBF900B-82DB-45D1-B36D-AE825DD2BC23}"/>
            </a:ext>
          </a:extLst>
        </xdr:cNvPr>
        <xdr:cNvSpPr/>
      </xdr:nvSpPr>
      <xdr:spPr>
        <a:xfrm>
          <a:off x="9646" y="941408"/>
          <a:ext cx="6259974" cy="966485"/>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pl-PL" sz="1200" b="1">
              <a:solidFill>
                <a:sysClr val="windowText" lastClr="000000"/>
              </a:solidFill>
              <a:latin typeface="Calibri" panose="020F0502020204030204" pitchFamily="34" charset="0"/>
              <a:cs typeface="Calibri" panose="020F0502020204030204" pitchFamily="34" charset="0"/>
            </a:rPr>
            <a:t>Total Errors</a:t>
          </a:r>
        </a:p>
        <a:p>
          <a:pPr algn="ctr"/>
          <a:r>
            <a:rPr lang="pl-PL" sz="2400" b="1">
              <a:solidFill>
                <a:sysClr val="windowText" lastClr="000000"/>
              </a:solidFill>
              <a:latin typeface="Calibri" panose="020F0502020204030204" pitchFamily="34" charset="0"/>
              <a:cs typeface="Calibri" panose="020F0502020204030204" pitchFamily="34" charset="0"/>
            </a:rPr>
            <a:t>68</a:t>
          </a:r>
        </a:p>
      </xdr:txBody>
    </xdr:sp>
    <xdr:clientData/>
  </xdr:twoCellAnchor>
  <xdr:twoCellAnchor>
    <xdr:from>
      <xdr:col>1</xdr:col>
      <xdr:colOff>0</xdr:colOff>
      <xdr:row>3</xdr:row>
      <xdr:rowOff>5788</xdr:rowOff>
    </xdr:from>
    <xdr:to>
      <xdr:col>4</xdr:col>
      <xdr:colOff>9646</xdr:colOff>
      <xdr:row>6</xdr:row>
      <xdr:rowOff>441766</xdr:rowOff>
    </xdr:to>
    <xdr:sp macro="" textlink="">
      <xdr:nvSpPr>
        <xdr:cNvPr id="20" name="Rectangle 19">
          <a:extLst>
            <a:ext uri="{FF2B5EF4-FFF2-40B4-BE49-F238E27FC236}">
              <a16:creationId xmlns:a16="http://schemas.microsoft.com/office/drawing/2014/main" id="{BF7D03B2-8104-4E13-94EC-F54AACD7527C}"/>
            </a:ext>
          </a:extLst>
        </xdr:cNvPr>
        <xdr:cNvSpPr/>
      </xdr:nvSpPr>
      <xdr:spPr>
        <a:xfrm>
          <a:off x="6250329" y="941408"/>
          <a:ext cx="2594659" cy="966485"/>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pl-PL" sz="1200" b="1">
              <a:solidFill>
                <a:sysClr val="windowText" lastClr="000000"/>
              </a:solidFill>
              <a:latin typeface="Calibri" panose="020F0502020204030204" pitchFamily="34" charset="0"/>
              <a:cs typeface="Calibri" panose="020F0502020204030204" pitchFamily="34" charset="0"/>
            </a:rPr>
            <a:t>Error Rate</a:t>
          </a:r>
        </a:p>
        <a:p>
          <a:pPr algn="ctr"/>
          <a:r>
            <a:rPr lang="pl-PL" sz="2400" b="1">
              <a:solidFill>
                <a:sysClr val="windowText" lastClr="000000"/>
              </a:solidFill>
              <a:latin typeface="Calibri" panose="020F0502020204030204" pitchFamily="34" charset="0"/>
              <a:cs typeface="Calibri" panose="020F0502020204030204" pitchFamily="34" charset="0"/>
            </a:rPr>
            <a:t>13.6%</a:t>
          </a:r>
        </a:p>
      </xdr:txBody>
    </xdr:sp>
    <xdr:clientData/>
  </xdr:twoCellAnchor>
  <xdr:twoCellAnchor>
    <xdr:from>
      <xdr:col>4</xdr:col>
      <xdr:colOff>9645</xdr:colOff>
      <xdr:row>3</xdr:row>
      <xdr:rowOff>5788</xdr:rowOff>
    </xdr:from>
    <xdr:to>
      <xdr:col>6</xdr:col>
      <xdr:colOff>9646</xdr:colOff>
      <xdr:row>6</xdr:row>
      <xdr:rowOff>441766</xdr:rowOff>
    </xdr:to>
    <xdr:sp macro="" textlink="">
      <xdr:nvSpPr>
        <xdr:cNvPr id="21" name="Rectangle 20">
          <a:extLst>
            <a:ext uri="{FF2B5EF4-FFF2-40B4-BE49-F238E27FC236}">
              <a16:creationId xmlns:a16="http://schemas.microsoft.com/office/drawing/2014/main" id="{DBAE6430-BC48-4727-8561-6FA8573872E1}"/>
            </a:ext>
          </a:extLst>
        </xdr:cNvPr>
        <xdr:cNvSpPr/>
      </xdr:nvSpPr>
      <xdr:spPr>
        <a:xfrm>
          <a:off x="8844987" y="941408"/>
          <a:ext cx="2585013" cy="966485"/>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pl-PL" sz="1400" b="1">
              <a:solidFill>
                <a:sysClr val="windowText" lastClr="000000"/>
              </a:solidFill>
              <a:latin typeface="Calibri" panose="020F0502020204030204" pitchFamily="34" charset="0"/>
              <a:cs typeface="Calibri" panose="020F0502020204030204" pitchFamily="34" charset="0"/>
            </a:rPr>
            <a:t>Errors by Category</a:t>
          </a:r>
          <a:r>
            <a:rPr lang="pl-PL" sz="1400" b="1" baseline="0">
              <a:solidFill>
                <a:sysClr val="windowText" lastClr="000000"/>
              </a:solidFill>
              <a:latin typeface="Calibri" panose="020F0502020204030204" pitchFamily="34" charset="0"/>
              <a:cs typeface="Calibri" panose="020F0502020204030204" pitchFamily="34" charset="0"/>
            </a:rPr>
            <a:t>    </a:t>
          </a:r>
          <a:r>
            <a:rPr lang="pl-PL" sz="1400" b="1">
              <a:solidFill>
                <a:sysClr val="windowText" lastClr="000000"/>
              </a:solidFill>
              <a:latin typeface="Calibri" panose="020F0502020204030204" pitchFamily="34" charset="0"/>
              <a:cs typeface="Calibri" panose="020F0502020204030204" pitchFamily="34" charset="0"/>
            </a:rPr>
            <a:t>MissingStreet: </a:t>
          </a:r>
          <a:r>
            <a:rPr lang="pl-PL" sz="2400" b="1">
              <a:solidFill>
                <a:sysClr val="windowText" lastClr="000000"/>
              </a:solidFill>
              <a:latin typeface="Calibri" panose="020F0502020204030204" pitchFamily="34" charset="0"/>
              <a:cs typeface="Calibri" panose="020F0502020204030204" pitchFamily="34" charset="0"/>
            </a:rPr>
            <a:t>68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ołaj Burzykowski" refreshedDate="45990.037273726855" createdVersion="8" refreshedVersion="8" minRefreshableVersion="3" recordCount="500" xr:uid="{1A60B8CD-6801-47D2-AB31-2E0FAA7EC2E4}">
  <cacheSource type="worksheet">
    <worksheetSource ref="A1:Q501" sheet="Checks"/>
  </cacheSource>
  <cacheFields count="17">
    <cacheField name="PropertyID" numFmtId="0">
      <sharedItems/>
    </cacheField>
    <cacheField name="Address" numFmtId="0">
      <sharedItems/>
    </cacheField>
    <cacheField name="Country" numFmtId="0">
      <sharedItems/>
    </cacheField>
    <cacheField name="CityInput" numFmtId="0">
      <sharedItems/>
    </cacheField>
    <cacheField name="City_extracted" numFmtId="0">
      <sharedItems/>
    </cacheField>
    <cacheField name="Street_extracted" numFmtId="0">
      <sharedItems/>
    </cacheField>
    <cacheField name="PostalCode" numFmtId="0">
      <sharedItems/>
    </cacheField>
    <cacheField name="Phone" numFmtId="0">
      <sharedItems/>
    </cacheField>
    <cacheField name="Status" numFmtId="0">
      <sharedItems count="2">
        <s v="Active"/>
        <s v="Inactive"/>
      </sharedItems>
    </cacheField>
    <cacheField name="UpdatedDate" numFmtId="14">
      <sharedItems containsSemiMixedTypes="0" containsNonDate="0" containsDate="1" containsString="0" minDate="2022-11-28T00:00:00" maxDate="2025-11-24T00:00:00"/>
    </cacheField>
    <cacheField name="MissingStreet" numFmtId="0">
      <sharedItems/>
    </cacheField>
    <cacheField name="PostalCode_OK" numFmtId="0">
      <sharedItems/>
    </cacheField>
    <cacheField name="Phone_OK" numFmtId="0">
      <sharedItems/>
    </cacheField>
    <cacheField name="City_Match" numFmtId="0">
      <sharedItems/>
    </cacheField>
    <cacheField name="AnyError" numFmtId="0">
      <sharedItems count="2">
        <s v="ERROR"/>
        <s v="OK"/>
      </sharedItems>
    </cacheField>
    <cacheField name="ErrorCount" numFmtId="0">
      <sharedItems containsSemiMixedTypes="0" containsString="0" containsNumber="1" containsInteger="1" minValue="0" maxValue="1"/>
    </cacheField>
    <cacheField name="YearMonth" numFmtId="0">
      <sharedItems count="37">
        <s v="2024-07"/>
        <s v="2023-11"/>
        <s v="2024-04"/>
        <s v="2023-02"/>
        <s v="2023-06"/>
        <s v="2024-10"/>
        <s v="2025-04"/>
        <s v="2022-12"/>
        <s v="2025-10"/>
        <s v="2024-06"/>
        <s v="2024-02"/>
        <s v="2025-06"/>
        <s v="2024-05"/>
        <s v="2023-10"/>
        <s v="2025-11"/>
        <s v="2025-03"/>
        <s v="2023-01"/>
        <s v="2025-01"/>
        <s v="2025-07"/>
        <s v="2025-09"/>
        <s v="2023-07"/>
        <s v="2023-09"/>
        <s v="2024-12"/>
        <s v="2023-04"/>
        <s v="2023-05"/>
        <s v="2023-12"/>
        <s v="2022-11"/>
        <s v="2025-05"/>
        <s v="2023-03"/>
        <s v="2024-08"/>
        <s v="2025-08"/>
        <s v="2025-02"/>
        <s v="2024-03"/>
        <s v="2024-09"/>
        <s v="2024-01"/>
        <s v="2023-08"/>
        <s v="2024-1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ołaj Burzykowski" refreshedDate="45991.04828761574" createdVersion="8" refreshedVersion="8" minRefreshableVersion="3" recordCount="500" xr:uid="{F83B067B-A861-402F-951B-9181C10F9C82}">
  <cacheSource type="worksheet">
    <worksheetSource name="tblChecks"/>
  </cacheSource>
  <cacheFields count="21">
    <cacheField name="PropertyID" numFmtId="0">
      <sharedItems/>
    </cacheField>
    <cacheField name="Address" numFmtId="0">
      <sharedItems/>
    </cacheField>
    <cacheField name="Country" numFmtId="0">
      <sharedItems count="10">
        <s v="France"/>
        <s v="UK"/>
        <s v="Australia"/>
        <s v="USA"/>
        <s v="Germany"/>
        <s v="Spain"/>
        <s v="Brazil"/>
        <s v="Canada"/>
        <s v="Italy"/>
        <s v="Japan"/>
      </sharedItems>
    </cacheField>
    <cacheField name="CityInput" numFmtId="0">
      <sharedItems/>
    </cacheField>
    <cacheField name="City_extracted" numFmtId="0">
      <sharedItems/>
    </cacheField>
    <cacheField name="Street_extracted" numFmtId="0">
      <sharedItems/>
    </cacheField>
    <cacheField name="PostalCode" numFmtId="0">
      <sharedItems/>
    </cacheField>
    <cacheField name="Phone" numFmtId="0">
      <sharedItems/>
    </cacheField>
    <cacheField name="Status" numFmtId="0">
      <sharedItems count="2">
        <s v="Active"/>
        <s v="Inactive"/>
      </sharedItems>
    </cacheField>
    <cacheField name="UpdatedDate" numFmtId="14">
      <sharedItems containsSemiMixedTypes="0" containsNonDate="0" containsDate="1" containsString="0" minDate="2022-11-28T00:00:00" maxDate="2025-11-24T00:00:00" count="404">
        <d v="2024-07-09T00:00:00"/>
        <d v="2023-11-12T00:00:00"/>
        <d v="2023-11-29T00:00:00"/>
        <d v="2024-04-24T00:00:00"/>
        <d v="2023-02-16T00:00:00"/>
        <d v="2023-06-09T00:00:00"/>
        <d v="2023-11-10T00:00:00"/>
        <d v="2023-02-15T00:00:00"/>
        <d v="2024-10-08T00:00:00"/>
        <d v="2025-04-21T00:00:00"/>
        <d v="2022-12-29T00:00:00"/>
        <d v="2025-10-13T00:00:00"/>
        <d v="2024-06-22T00:00:00"/>
        <d v="2024-02-22T00:00:00"/>
        <d v="2024-02-25T00:00:00"/>
        <d v="2025-04-24T00:00:00"/>
        <d v="2024-07-21T00:00:00"/>
        <d v="2025-06-24T00:00:00"/>
        <d v="2024-05-18T00:00:00"/>
        <d v="2023-10-01T00:00:00"/>
        <d v="2024-10-30T00:00:00"/>
        <d v="2025-11-04T00:00:00"/>
        <d v="2025-03-26T00:00:00"/>
        <d v="2023-01-17T00:00:00"/>
        <d v="2025-01-17T00:00:00"/>
        <d v="2024-06-25T00:00:00"/>
        <d v="2024-02-04T00:00:00"/>
        <d v="2025-07-26T00:00:00"/>
        <d v="2025-04-20T00:00:00"/>
        <d v="2025-09-09T00:00:00"/>
        <d v="2023-10-02T00:00:00"/>
        <d v="2023-10-26T00:00:00"/>
        <d v="2023-07-25T00:00:00"/>
        <d v="2025-01-05T00:00:00"/>
        <d v="2023-09-12T00:00:00"/>
        <d v="2023-10-20T00:00:00"/>
        <d v="2024-12-17T00:00:00"/>
        <d v="2025-10-09T00:00:00"/>
        <d v="2024-02-17T00:00:00"/>
        <d v="2024-07-30T00:00:00"/>
        <d v="2023-04-12T00:00:00"/>
        <d v="2023-05-21T00:00:00"/>
        <d v="2024-06-21T00:00:00"/>
        <d v="2025-03-25T00:00:00"/>
        <d v="2023-11-27T00:00:00"/>
        <d v="2025-04-04T00:00:00"/>
        <d v="2023-12-18T00:00:00"/>
        <d v="2022-11-29T00:00:00"/>
        <d v="2025-05-08T00:00:00"/>
        <d v="2025-10-29T00:00:00"/>
        <d v="2023-03-22T00:00:00"/>
        <d v="2024-05-27T00:00:00"/>
        <d v="2023-11-08T00:00:00"/>
        <d v="2025-01-23T00:00:00"/>
        <d v="2025-06-09T00:00:00"/>
        <d v="2023-05-09T00:00:00"/>
        <d v="2024-08-31T00:00:00"/>
        <d v="2024-07-17T00:00:00"/>
        <d v="2023-04-11T00:00:00"/>
        <d v="2023-09-14T00:00:00"/>
        <d v="2025-07-20T00:00:00"/>
        <d v="2023-10-24T00:00:00"/>
        <d v="2025-01-16T00:00:00"/>
        <d v="2025-04-19T00:00:00"/>
        <d v="2023-01-18T00:00:00"/>
        <d v="2025-08-21T00:00:00"/>
        <d v="2023-04-04T00:00:00"/>
        <d v="2025-02-21T00:00:00"/>
        <d v="2024-03-31T00:00:00"/>
        <d v="2024-10-03T00:00:00"/>
        <d v="2025-08-23T00:00:00"/>
        <d v="2022-12-08T00:00:00"/>
        <d v="2024-06-05T00:00:00"/>
        <d v="2024-10-29T00:00:00"/>
        <d v="2024-08-22T00:00:00"/>
        <d v="2023-07-06T00:00:00"/>
        <d v="2024-07-22T00:00:00"/>
        <d v="2025-03-28T00:00:00"/>
        <d v="2023-02-13T00:00:00"/>
        <d v="2024-03-30T00:00:00"/>
        <d v="2025-10-16T00:00:00"/>
        <d v="2025-05-14T00:00:00"/>
        <d v="2025-03-02T00:00:00"/>
        <d v="2024-12-13T00:00:00"/>
        <d v="2025-05-04T00:00:00"/>
        <d v="2024-09-10T00:00:00"/>
        <d v="2024-08-11T00:00:00"/>
        <d v="2024-09-19T00:00:00"/>
        <d v="2023-04-26T00:00:00"/>
        <d v="2025-09-10T00:00:00"/>
        <d v="2023-01-28T00:00:00"/>
        <d v="2024-01-14T00:00:00"/>
        <d v="2024-07-31T00:00:00"/>
        <d v="2023-04-06T00:00:00"/>
        <d v="2023-01-14T00:00:00"/>
        <d v="2024-06-04T00:00:00"/>
        <d v="2025-08-02T00:00:00"/>
        <d v="2023-10-25T00:00:00"/>
        <d v="2023-09-28T00:00:00"/>
        <d v="2024-10-16T00:00:00"/>
        <d v="2025-05-16T00:00:00"/>
        <d v="2025-05-18T00:00:00"/>
        <d v="2023-12-14T00:00:00"/>
        <d v="2023-05-02T00:00:00"/>
        <d v="2023-07-01T00:00:00"/>
        <d v="2024-05-16T00:00:00"/>
        <d v="2025-10-18T00:00:00"/>
        <d v="2023-09-01T00:00:00"/>
        <d v="2025-01-31T00:00:00"/>
        <d v="2025-05-11T00:00:00"/>
        <d v="2025-10-24T00:00:00"/>
        <d v="2023-03-21T00:00:00"/>
        <d v="2022-12-30T00:00:00"/>
        <d v="2024-04-23T00:00:00"/>
        <d v="2023-12-06T00:00:00"/>
        <d v="2025-05-28T00:00:00"/>
        <d v="2024-08-06T00:00:00"/>
        <d v="2023-07-27T00:00:00"/>
        <d v="2024-03-18T00:00:00"/>
        <d v="2025-10-19T00:00:00"/>
        <d v="2024-12-29T00:00:00"/>
        <d v="2023-10-28T00:00:00"/>
        <d v="2023-08-09T00:00:00"/>
        <d v="2023-03-08T00:00:00"/>
        <d v="2023-11-26T00:00:00"/>
        <d v="2025-11-20T00:00:00"/>
        <d v="2024-04-17T00:00:00"/>
        <d v="2024-04-12T00:00:00"/>
        <d v="2025-08-20T00:00:00"/>
        <d v="2025-09-29T00:00:00"/>
        <d v="2025-02-08T00:00:00"/>
        <d v="2024-03-25T00:00:00"/>
        <d v="2023-01-05T00:00:00"/>
        <d v="2024-12-31T00:00:00"/>
        <d v="2023-10-23T00:00:00"/>
        <d v="2024-09-15T00:00:00"/>
        <d v="2023-11-21T00:00:00"/>
        <d v="2024-06-15T00:00:00"/>
        <d v="2024-01-13T00:00:00"/>
        <d v="2023-03-27T00:00:00"/>
        <d v="2025-10-05T00:00:00"/>
        <d v="2024-07-12T00:00:00"/>
        <d v="2024-05-02T00:00:00"/>
        <d v="2023-09-19T00:00:00"/>
        <d v="2024-03-24T00:00:00"/>
        <d v="2024-03-29T00:00:00"/>
        <d v="2025-03-29T00:00:00"/>
        <d v="2023-05-13T00:00:00"/>
        <d v="2024-02-27T00:00:00"/>
        <d v="2024-01-18T00:00:00"/>
        <d v="2024-05-25T00:00:00"/>
        <d v="2024-05-01T00:00:00"/>
        <d v="2023-09-02T00:00:00"/>
        <d v="2023-11-24T00:00:00"/>
        <d v="2024-10-22T00:00:00"/>
        <d v="2024-01-08T00:00:00"/>
        <d v="2023-12-26T00:00:00"/>
        <d v="2023-07-17T00:00:00"/>
        <d v="2025-06-14T00:00:00"/>
        <d v="2024-07-29T00:00:00"/>
        <d v="2025-03-23T00:00:00"/>
        <d v="2023-07-13T00:00:00"/>
        <d v="2025-05-15T00:00:00"/>
        <d v="2025-01-24T00:00:00"/>
        <d v="2024-02-07T00:00:00"/>
        <d v="2024-07-04T00:00:00"/>
        <d v="2023-08-05T00:00:00"/>
        <d v="2023-10-05T00:00:00"/>
        <d v="2023-06-20T00:00:00"/>
        <d v="2022-12-10T00:00:00"/>
        <d v="2024-08-15T00:00:00"/>
        <d v="2022-12-20T00:00:00"/>
        <d v="2024-09-29T00:00:00"/>
        <d v="2025-09-19T00:00:00"/>
        <d v="2025-08-17T00:00:00"/>
        <d v="2025-06-19T00:00:00"/>
        <d v="2024-08-20T00:00:00"/>
        <d v="2023-09-25T00:00:00"/>
        <d v="2025-09-11T00:00:00"/>
        <d v="2024-11-13T00:00:00"/>
        <d v="2024-04-29T00:00:00"/>
        <d v="2024-06-29T00:00:00"/>
        <d v="2025-03-04T00:00:00"/>
        <d v="2023-03-24T00:00:00"/>
        <d v="2025-09-12T00:00:00"/>
        <d v="2023-10-22T00:00:00"/>
        <d v="2024-05-04T00:00:00"/>
        <d v="2024-07-27T00:00:00"/>
        <d v="2023-11-03T00:00:00"/>
        <d v="2025-03-19T00:00:00"/>
        <d v="2023-06-17T00:00:00"/>
        <d v="2023-05-04T00:00:00"/>
        <d v="2025-07-19T00:00:00"/>
        <d v="2025-01-08T00:00:00"/>
        <d v="2023-11-02T00:00:00"/>
        <d v="2023-06-06T00:00:00"/>
        <d v="2025-03-03T00:00:00"/>
        <d v="2023-06-14T00:00:00"/>
        <d v="2023-12-16T00:00:00"/>
        <d v="2023-10-04T00:00:00"/>
        <d v="2023-03-16T00:00:00"/>
        <d v="2025-09-21T00:00:00"/>
        <d v="2025-06-29T00:00:00"/>
        <d v="2023-12-29T00:00:00"/>
        <d v="2025-06-21T00:00:00"/>
        <d v="2025-02-28T00:00:00"/>
        <d v="2024-09-12T00:00:00"/>
        <d v="2022-11-28T00:00:00"/>
        <d v="2025-01-22T00:00:00"/>
        <d v="2024-08-07T00:00:00"/>
        <d v="2024-05-03T00:00:00"/>
        <d v="2023-11-04T00:00:00"/>
        <d v="2023-11-17T00:00:00"/>
        <d v="2025-03-18T00:00:00"/>
        <d v="2025-11-15T00:00:00"/>
        <d v="2025-09-05T00:00:00"/>
        <d v="2025-04-18T00:00:00"/>
        <d v="2025-08-27T00:00:00"/>
        <d v="2025-09-17T00:00:00"/>
        <d v="2023-01-23T00:00:00"/>
        <d v="2025-01-25T00:00:00"/>
        <d v="2023-07-07T00:00:00"/>
        <d v="2025-11-23T00:00:00"/>
        <d v="2025-07-03T00:00:00"/>
        <d v="2023-05-20T00:00:00"/>
        <d v="2023-10-19T00:00:00"/>
        <d v="2023-08-12T00:00:00"/>
        <d v="2023-01-26T00:00:00"/>
        <d v="2022-12-11T00:00:00"/>
        <d v="2024-11-01T00:00:00"/>
        <d v="2025-09-18T00:00:00"/>
        <d v="2024-05-17T00:00:00"/>
        <d v="2023-12-13T00:00:00"/>
        <d v="2023-05-11T00:00:00"/>
        <d v="2024-07-24T00:00:00"/>
        <d v="2023-05-22T00:00:00"/>
        <d v="2024-07-13T00:00:00"/>
        <d v="2023-06-26T00:00:00"/>
        <d v="2024-01-09T00:00:00"/>
        <d v="2023-06-19T00:00:00"/>
        <d v="2022-12-23T00:00:00"/>
        <d v="2024-11-08T00:00:00"/>
        <d v="2023-02-22T00:00:00"/>
        <d v="2024-02-24T00:00:00"/>
        <d v="2023-06-12T00:00:00"/>
        <d v="2022-12-13T00:00:00"/>
        <d v="2024-01-15T00:00:00"/>
        <d v="2024-11-10T00:00:00"/>
        <d v="2024-04-30T00:00:00"/>
        <d v="2024-08-09T00:00:00"/>
        <d v="2024-01-12T00:00:00"/>
        <d v="2023-10-13T00:00:00"/>
        <d v="2025-08-11T00:00:00"/>
        <d v="2023-06-27T00:00:00"/>
        <d v="2023-08-16T00:00:00"/>
        <d v="2025-09-20T00:00:00"/>
        <d v="2025-08-26T00:00:00"/>
        <d v="2024-05-31T00:00:00"/>
        <d v="2025-10-11T00:00:00"/>
        <d v="2025-02-23T00:00:00"/>
        <d v="2023-12-27T00:00:00"/>
        <d v="2025-08-09T00:00:00"/>
        <d v="2025-09-26T00:00:00"/>
        <d v="2025-03-16T00:00:00"/>
        <d v="2024-10-15T00:00:00"/>
        <d v="2023-05-16T00:00:00"/>
        <d v="2025-03-15T00:00:00"/>
        <d v="2024-02-09T00:00:00"/>
        <d v="2024-10-26T00:00:00"/>
        <d v="2023-04-07T00:00:00"/>
        <d v="2024-09-24T00:00:00"/>
        <d v="2023-06-04T00:00:00"/>
        <d v="2024-07-05T00:00:00"/>
        <d v="2024-10-25T00:00:00"/>
        <d v="2025-02-14T00:00:00"/>
        <d v="2023-08-28T00:00:00"/>
        <d v="2025-06-05T00:00:00"/>
        <d v="2025-03-09T00:00:00"/>
        <d v="2024-10-12T00:00:00"/>
        <d v="2024-09-18T00:00:00"/>
        <d v="2024-08-14T00:00:00"/>
        <d v="2023-12-15T00:00:00"/>
        <d v="2023-06-22T00:00:00"/>
        <d v="2024-12-27T00:00:00"/>
        <d v="2023-07-26T00:00:00"/>
        <d v="2023-12-02T00:00:00"/>
        <d v="2025-11-21T00:00:00"/>
        <d v="2022-12-25T00:00:00"/>
        <d v="2023-12-04T00:00:00"/>
        <d v="2024-03-20T00:00:00"/>
        <d v="2024-03-26T00:00:00"/>
        <d v="2025-03-30T00:00:00"/>
        <d v="2025-11-03T00:00:00"/>
        <d v="2023-11-25T00:00:00"/>
        <d v="2023-06-28T00:00:00"/>
        <d v="2025-02-12T00:00:00"/>
        <d v="2023-02-09T00:00:00"/>
        <d v="2025-04-01T00:00:00"/>
        <d v="2023-09-22T00:00:00"/>
        <d v="2023-07-22T00:00:00"/>
        <d v="2024-06-30T00:00:00"/>
        <d v="2023-05-17T00:00:00"/>
        <d v="2023-03-10T00:00:00"/>
        <d v="2025-02-22T00:00:00"/>
        <d v="2025-10-15T00:00:00"/>
        <d v="2025-10-08T00:00:00"/>
        <d v="2024-04-19T00:00:00"/>
        <d v="2025-08-08T00:00:00"/>
        <d v="2025-08-24T00:00:00"/>
        <d v="2023-04-28T00:00:00"/>
        <d v="2023-01-29T00:00:00"/>
        <d v="2023-05-15T00:00:00"/>
        <d v="2025-01-30T00:00:00"/>
        <d v="2023-05-06T00:00:00"/>
        <d v="2023-02-03T00:00:00"/>
        <d v="2025-08-22T00:00:00"/>
        <d v="2024-10-07T00:00:00"/>
        <d v="2024-12-10T00:00:00"/>
        <d v="2023-06-10T00:00:00"/>
        <d v="2025-07-12T00:00:00"/>
        <d v="2024-03-07T00:00:00"/>
        <d v="2023-04-19T00:00:00"/>
        <d v="2025-03-17T00:00:00"/>
        <d v="2025-04-22T00:00:00"/>
        <d v="2023-01-24T00:00:00"/>
        <d v="2025-11-11T00:00:00"/>
        <d v="2023-10-31T00:00:00"/>
        <d v="2025-02-04T00:00:00"/>
        <d v="2023-03-06T00:00:00"/>
        <d v="2023-08-27T00:00:00"/>
        <d v="2024-08-01T00:00:00"/>
        <d v="2024-05-11T00:00:00"/>
        <d v="2025-07-25T00:00:00"/>
        <d v="2024-07-18T00:00:00"/>
        <d v="2024-03-27T00:00:00"/>
        <d v="2023-07-19T00:00:00"/>
        <d v="2024-03-06T00:00:00"/>
        <d v="2024-10-10T00:00:00"/>
        <d v="2025-01-18T00:00:00"/>
        <d v="2023-04-29T00:00:00"/>
        <d v="2024-08-12T00:00:00"/>
        <d v="2025-11-14T00:00:00"/>
        <d v="2025-11-17T00:00:00"/>
        <d v="2025-08-13T00:00:00"/>
        <d v="2023-08-26T00:00:00"/>
        <d v="2025-06-17T00:00:00"/>
        <d v="2023-11-16T00:00:00"/>
        <d v="2025-03-13T00:00:00"/>
        <d v="2022-12-15T00:00:00"/>
        <d v="2025-09-07T00:00:00"/>
        <d v="2024-07-20T00:00:00"/>
        <d v="2025-06-04T00:00:00"/>
        <d v="2024-06-26T00:00:00"/>
        <d v="2024-03-11T00:00:00"/>
        <d v="2023-05-08T00:00:00"/>
        <d v="2025-05-30T00:00:00"/>
        <d v="2023-12-11T00:00:00"/>
        <d v="2023-03-04T00:00:00"/>
        <d v="2024-01-02T00:00:00"/>
        <d v="2024-03-05T00:00:00"/>
        <d v="2024-08-17T00:00:00"/>
        <d v="2025-09-24T00:00:00"/>
        <d v="2023-06-07T00:00:00"/>
        <d v="2025-09-02T00:00:00"/>
        <d v="2024-12-19T00:00:00"/>
        <d v="2023-02-12T00:00:00"/>
        <d v="2025-06-07T00:00:00"/>
        <d v="2025-04-14T00:00:00"/>
        <d v="2025-02-09T00:00:00"/>
        <d v="2025-05-25T00:00:00"/>
        <d v="2023-08-13T00:00:00"/>
        <d v="2024-09-07T00:00:00"/>
        <d v="2022-12-06T00:00:00"/>
        <d v="2024-02-29T00:00:00"/>
        <d v="2024-11-25T00:00:00"/>
        <d v="2024-10-31T00:00:00"/>
        <d v="2023-01-10T00:00:00"/>
        <d v="2025-07-11T00:00:00"/>
        <d v="2024-10-24T00:00:00"/>
        <d v="2025-03-14T00:00:00"/>
        <d v="2023-03-19T00:00:00"/>
        <d v="2025-10-31T00:00:00"/>
        <d v="2024-09-14T00:00:00"/>
        <d v="2023-06-11T00:00:00"/>
        <d v="2023-10-09T00:00:00"/>
        <d v="2023-04-24T00:00:00"/>
        <d v="2022-12-14T00:00:00"/>
        <d v="2025-01-20T00:00:00"/>
        <d v="2024-12-20T00:00:00"/>
        <d v="2024-09-27T00:00:00"/>
        <d v="2023-09-20T00:00:00"/>
        <d v="2025-11-02T00:00:00"/>
        <d v="2024-11-27T00:00:00"/>
        <d v="2023-09-10T00:00:00"/>
        <d v="2023-11-20T00:00:00"/>
        <d v="2024-09-11T00:00:00"/>
        <d v="2023-10-11T00:00:00"/>
        <d v="2023-09-08T00:00:00"/>
        <d v="2022-11-30T00:00:00"/>
        <d v="2025-06-03T00:00:00"/>
        <d v="2024-05-10T00:00:00"/>
        <d v="2023-10-21T00:00:00"/>
        <d v="2025-07-01T00:00:00"/>
        <d v="2024-11-29T00:00:00"/>
      </sharedItems>
    </cacheField>
    <cacheField name="MissingStreet" numFmtId="0">
      <sharedItems/>
    </cacheField>
    <cacheField name="PostalCode_OK" numFmtId="0">
      <sharedItems/>
    </cacheField>
    <cacheField name="Phone_OK" numFmtId="0">
      <sharedItems/>
    </cacheField>
    <cacheField name="City_Match" numFmtId="0">
      <sharedItems/>
    </cacheField>
    <cacheField name="AnyError" numFmtId="0">
      <sharedItems count="2">
        <s v="ERROR"/>
        <s v="OK"/>
      </sharedItems>
    </cacheField>
    <cacheField name="ErrorCount" numFmtId="0">
      <sharedItems containsSemiMixedTypes="0" containsString="0" containsNumber="1" containsInteger="1" minValue="0" maxValue="1"/>
    </cacheField>
    <cacheField name="YearMonth" numFmtId="0">
      <sharedItems count="37">
        <s v="2024-07"/>
        <s v="2023-11"/>
        <s v="2024-04"/>
        <s v="2023-02"/>
        <s v="2023-06"/>
        <s v="2024-10"/>
        <s v="2025-04"/>
        <s v="2022-12"/>
        <s v="2025-10"/>
        <s v="2024-06"/>
        <s v="2024-02"/>
        <s v="2025-06"/>
        <s v="2024-05"/>
        <s v="2023-10"/>
        <s v="2025-11"/>
        <s v="2025-03"/>
        <s v="2023-01"/>
        <s v="2025-01"/>
        <s v="2025-07"/>
        <s v="2025-09"/>
        <s v="2023-07"/>
        <s v="2023-09"/>
        <s v="2024-12"/>
        <s v="2023-04"/>
        <s v="2023-05"/>
        <s v="2023-12"/>
        <s v="2022-11"/>
        <s v="2025-05"/>
        <s v="2023-03"/>
        <s v="2024-08"/>
        <s v="2025-08"/>
        <s v="2025-02"/>
        <s v="2024-03"/>
        <s v="2024-09"/>
        <s v="2024-01"/>
        <s v="2023-08"/>
        <s v="2024-11"/>
      </sharedItems>
    </cacheField>
    <cacheField name="SourceSystem" numFmtId="0">
      <sharedItems count="5">
        <s v="ServiceNow"/>
        <s v="Planon"/>
        <s v="MDG"/>
        <s v="Salesforce"/>
        <s v="SAP"/>
      </sharedItems>
    </cacheField>
    <cacheField name="IsError" numFmtId="0">
      <sharedItems containsSemiMixedTypes="0" containsString="0" containsNumber="1" containsInteger="1" minValue="0" maxValue="1"/>
    </cacheField>
    <cacheField name="IsMissingStreet" numFmtId="0">
      <sharedItems containsSemiMixedTypes="0" containsString="0" containsNumber="1" containsInteger="1" minValue="0" maxValue="1"/>
    </cacheField>
    <cacheField name="ErrorType" numFmtId="0">
      <sharedItems count="2">
        <s v="MissingStreet"/>
        <s v="OK"/>
      </sharedItems>
    </cacheField>
  </cacheFields>
  <extLst>
    <ext xmlns:x14="http://schemas.microsoft.com/office/spreadsheetml/2009/9/main" uri="{725AE2AE-9491-48be-B2B4-4EB974FC3084}">
      <x14:pivotCacheDefinition pivotCacheId="1110033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ROP00001"/>
    <s v="FranceToulouse"/>
    <s v="France"/>
    <s v="Toulouse"/>
    <s v="Toulouse"/>
    <s v=""/>
    <s v="32599"/>
    <s v="+17-315833500"/>
    <x v="0"/>
    <d v="2024-07-09T00:00:00"/>
    <s v="MISSING"/>
    <s v="OK"/>
    <s v="OK"/>
    <s v="MATCH"/>
    <x v="0"/>
    <n v="1"/>
    <x v="0"/>
  </r>
  <r>
    <s v="PROP00002"/>
    <s v="Lyon, Donald Cove 35, France"/>
    <s v="France"/>
    <s v="Lyon"/>
    <s v="Lyon"/>
    <s v="Donald Cove 35"/>
    <s v="89197"/>
    <s v="+80-319837636"/>
    <x v="1"/>
    <d v="2023-11-12T00:00:00"/>
    <s v="OK"/>
    <s v="OK"/>
    <s v="OK"/>
    <s v="MATCH"/>
    <x v="1"/>
    <n v="0"/>
    <x v="1"/>
  </r>
  <r>
    <s v="PROP00003"/>
    <s v="UKLeeds, UK"/>
    <s v="UK"/>
    <s v="Leeds"/>
    <s v="Leeds"/>
    <s v="UK"/>
    <s v="4406"/>
    <s v="+9-597990383"/>
    <x v="1"/>
    <d v="2023-11-29T00:00:00"/>
    <s v="OK"/>
    <s v="OK"/>
    <s v="OK"/>
    <s v="MATCH"/>
    <x v="1"/>
    <n v="0"/>
    <x v="1"/>
  </r>
  <r>
    <s v="PROP00004"/>
    <s v="ToulouseJeffery Parkways231, France"/>
    <s v="France"/>
    <s v="Toulouse"/>
    <s v="Toulouse"/>
    <s v="ToulouseJeffery Parkways231"/>
    <s v="79408"/>
    <s v="+41-562032557"/>
    <x v="1"/>
    <d v="2024-04-24T00:00:00"/>
    <s v="OK"/>
    <s v="OK"/>
    <s v="OK"/>
    <s v="MATCH"/>
    <x v="1"/>
    <n v="0"/>
    <x v="2"/>
  </r>
  <r>
    <s v="PROP00005"/>
    <s v="AdelaideAnna Stravenue73, Australia"/>
    <s v="Australia"/>
    <s v="Adelaide"/>
    <s v="Adelaide"/>
    <s v="AdelaideAnna Stravenue73"/>
    <s v="85682"/>
    <s v="+58-662081724"/>
    <x v="0"/>
    <d v="2023-02-16T00:00:00"/>
    <s v="OK"/>
    <s v="OK"/>
    <s v="OK"/>
    <s v="MATCH"/>
    <x v="1"/>
    <n v="0"/>
    <x v="3"/>
  </r>
  <r>
    <s v="PROP00006"/>
    <s v="USA, Phoenix"/>
    <s v="USA"/>
    <s v="Phoenix"/>
    <s v="Phoenix"/>
    <s v="Phoenix"/>
    <s v="36964"/>
    <s v="+75-783458296"/>
    <x v="1"/>
    <d v="2023-06-09T00:00:00"/>
    <s v="OK"/>
    <s v="OK"/>
    <s v="OK"/>
    <s v="MATCH"/>
    <x v="1"/>
    <n v="0"/>
    <x v="4"/>
  </r>
  <r>
    <s v="PROP00007"/>
    <s v="Katherine Estate 93, Germany, Cologne"/>
    <s v="Germany"/>
    <s v="Cologne"/>
    <s v="Cologne"/>
    <s v="Katherine Estate 93"/>
    <s v="92007"/>
    <s v="+24-457327975"/>
    <x v="0"/>
    <d v="2023-11-10T00:00:00"/>
    <s v="OK"/>
    <s v="OK"/>
    <s v="OK"/>
    <s v="MATCH"/>
    <x v="1"/>
    <n v="0"/>
    <x v="1"/>
  </r>
  <r>
    <s v="PROP00008"/>
    <s v="Peterson Drives 204, Germany, Cologne"/>
    <s v="Germany"/>
    <s v="Cologne"/>
    <s v="Cologne"/>
    <s v="Peterson Drives 204"/>
    <s v="28722"/>
    <s v="+49-576610421"/>
    <x v="0"/>
    <d v="2023-02-15T00:00:00"/>
    <s v="OK"/>
    <s v="OK"/>
    <s v="OK"/>
    <s v="MATCH"/>
    <x v="1"/>
    <n v="0"/>
    <x v="3"/>
  </r>
  <r>
    <s v="PROP00009"/>
    <s v="SpainBarcelona, Spain"/>
    <s v="Spain"/>
    <s v="Barcelona"/>
    <s v="Barcelona"/>
    <s v="Spain"/>
    <s v="13177"/>
    <s v="+34-805788258"/>
    <x v="1"/>
    <d v="2024-10-08T00:00:00"/>
    <s v="OK"/>
    <s v="OK"/>
    <s v="OK"/>
    <s v="MATCH"/>
    <x v="1"/>
    <n v="0"/>
    <x v="5"/>
  </r>
  <r>
    <s v="PROP00010"/>
    <s v="Abbott Rapids 298, Brazil, Brasília"/>
    <s v="Brazil"/>
    <s v="Brasília"/>
    <s v="Brasília"/>
    <s v="Abbott Rapids 298"/>
    <s v="35172"/>
    <s v="+74-707015923"/>
    <x v="0"/>
    <d v="2025-04-21T00:00:00"/>
    <s v="OK"/>
    <s v="OK"/>
    <s v="OK"/>
    <s v="MATCH"/>
    <x v="1"/>
    <n v="0"/>
    <x v="6"/>
  </r>
  <r>
    <s v="PROP00011"/>
    <s v="Australia, Perth"/>
    <s v="Australia"/>
    <s v="Perth"/>
    <s v="Perth"/>
    <s v="Perth"/>
    <s v="16862"/>
    <s v="+19-563762604"/>
    <x v="0"/>
    <d v="2022-12-29T00:00:00"/>
    <s v="OK"/>
    <s v="OK"/>
    <s v="OK"/>
    <s v="MATCH"/>
    <x v="1"/>
    <n v="0"/>
    <x v="7"/>
  </r>
  <r>
    <s v="PROP00012"/>
    <s v="CanadaOttawa"/>
    <s v="Canada"/>
    <s v="Ottawa"/>
    <s v="Ottawa"/>
    <s v=""/>
    <s v="82898"/>
    <s v="+76-641811982"/>
    <x v="0"/>
    <d v="2025-10-13T00:00:00"/>
    <s v="MISSING"/>
    <s v="OK"/>
    <s v="OK"/>
    <s v="MATCH"/>
    <x v="0"/>
    <n v="1"/>
    <x v="8"/>
  </r>
  <r>
    <s v="PROP00013"/>
    <s v="USALos AngelesRay Squares47"/>
    <s v="USA"/>
    <s v="Los Angeles"/>
    <s v="Los Angeles"/>
    <s v="USALos AngelesRay Squares47"/>
    <s v="9617"/>
    <s v="+28-603554893"/>
    <x v="0"/>
    <d v="2024-06-22T00:00:00"/>
    <s v="OK"/>
    <s v="OK"/>
    <s v="OK"/>
    <s v="MATCH"/>
    <x v="1"/>
    <n v="0"/>
    <x v="9"/>
  </r>
  <r>
    <s v="PROP00014"/>
    <s v="Donna Trail 183, UK, Leeds"/>
    <s v="UK"/>
    <s v="Leeds"/>
    <s v="Leeds"/>
    <s v="Donna Trail 183"/>
    <s v="38431"/>
    <s v="+43-971324654"/>
    <x v="1"/>
    <d v="2024-02-22T00:00:00"/>
    <s v="OK"/>
    <s v="OK"/>
    <s v="OK"/>
    <s v="MATCH"/>
    <x v="1"/>
    <n v="0"/>
    <x v="10"/>
  </r>
  <r>
    <s v="PROP00015"/>
    <s v="ItalyRome"/>
    <s v="Italy"/>
    <s v="Rome"/>
    <s v="Rome"/>
    <s v=""/>
    <s v="13739"/>
    <s v="+85-846405798"/>
    <x v="1"/>
    <d v="2024-02-25T00:00:00"/>
    <s v="MISSING"/>
    <s v="OK"/>
    <s v="OK"/>
    <s v="MATCH"/>
    <x v="0"/>
    <n v="1"/>
    <x v="10"/>
  </r>
  <r>
    <s v="PROP00016"/>
    <s v="BrazilSalvador, Brazil"/>
    <s v="Brazil"/>
    <s v="Salvador"/>
    <s v="Salvador"/>
    <s v="Brazil"/>
    <s v="48320"/>
    <s v="+27-184834988"/>
    <x v="1"/>
    <d v="2025-04-24T00:00:00"/>
    <s v="OK"/>
    <s v="OK"/>
    <s v="OK"/>
    <s v="MATCH"/>
    <x v="1"/>
    <n v="0"/>
    <x v="6"/>
  </r>
  <r>
    <s v="PROP00017"/>
    <s v="CanadaCalgary, Canada"/>
    <s v="Canada"/>
    <s v="Calgary"/>
    <s v="Calgary"/>
    <s v="Canada"/>
    <s v="88342"/>
    <s v="+28-803880368"/>
    <x v="0"/>
    <d v="2024-07-21T00:00:00"/>
    <s v="OK"/>
    <s v="OK"/>
    <s v="OK"/>
    <s v="MATCH"/>
    <x v="1"/>
    <n v="0"/>
    <x v="0"/>
  </r>
  <r>
    <s v="PROP00018"/>
    <s v="UK, Birmingham"/>
    <s v="UK"/>
    <s v="Birmingham"/>
    <s v="Birmingham"/>
    <s v="Birmingham"/>
    <s v="85440"/>
    <s v="+41-132506172"/>
    <x v="1"/>
    <d v="2025-06-24T00:00:00"/>
    <s v="OK"/>
    <s v="OK"/>
    <s v="OK"/>
    <s v="MATCH"/>
    <x v="1"/>
    <n v="0"/>
    <x v="11"/>
  </r>
  <r>
    <s v="PROP00019"/>
    <s v="BrasíliaChelsea Extension100, Brazil"/>
    <s v="Brazil"/>
    <s v="Brasília"/>
    <s v="Brasília"/>
    <s v="BrasíliaChelsea Extension100"/>
    <s v="70511"/>
    <s v="+67-358446679"/>
    <x v="0"/>
    <d v="2024-05-18T00:00:00"/>
    <s v="OK"/>
    <s v="OK"/>
    <s v="OK"/>
    <s v="MATCH"/>
    <x v="1"/>
    <n v="0"/>
    <x v="12"/>
  </r>
  <r>
    <s v="PROP00020"/>
    <s v="Canada, Calgary, Frank Light 65"/>
    <s v="Canada"/>
    <s v="Calgary"/>
    <s v="Calgary"/>
    <s v="Frank Light 65"/>
    <s v="35883"/>
    <s v="+42-523118317"/>
    <x v="0"/>
    <d v="2023-10-01T00:00:00"/>
    <s v="OK"/>
    <s v="OK"/>
    <s v="OK"/>
    <s v="MATCH"/>
    <x v="1"/>
    <n v="0"/>
    <x v="13"/>
  </r>
  <r>
    <s v="PROP00021"/>
    <s v="Chicago, Gabrielle Ville 211, USA"/>
    <s v="USA"/>
    <s v="Chicago"/>
    <s v="Chicago"/>
    <s v="Gabrielle Ville 211"/>
    <s v="7832"/>
    <s v="+92-984554908"/>
    <x v="0"/>
    <d v="2024-10-30T00:00:00"/>
    <s v="OK"/>
    <s v="OK"/>
    <s v="OK"/>
    <s v="MATCH"/>
    <x v="1"/>
    <n v="0"/>
    <x v="5"/>
  </r>
  <r>
    <s v="PROP00022"/>
    <s v="GermanyMunichLydia Valley281"/>
    <s v="Germany"/>
    <s v="Munich"/>
    <s v="Munich"/>
    <s v="GermanyMunichLydia Valley281"/>
    <s v="41848"/>
    <s v="+48-719462908"/>
    <x v="0"/>
    <d v="2025-11-04T00:00:00"/>
    <s v="OK"/>
    <s v="OK"/>
    <s v="OK"/>
    <s v="MATCH"/>
    <x v="1"/>
    <n v="0"/>
    <x v="14"/>
  </r>
  <r>
    <s v="PROP00023"/>
    <s v="GermanyCologne"/>
    <s v="Germany"/>
    <s v="Cologne"/>
    <s v="Cologne"/>
    <s v=""/>
    <s v="74842"/>
    <s v="+65-946225910"/>
    <x v="0"/>
    <d v="2025-03-26T00:00:00"/>
    <s v="MISSING"/>
    <s v="OK"/>
    <s v="OK"/>
    <s v="MATCH"/>
    <x v="0"/>
    <n v="1"/>
    <x v="15"/>
  </r>
  <r>
    <s v="PROP00024"/>
    <s v="ItalyFlorenceLewis Parks198"/>
    <s v="Italy"/>
    <s v="Florence"/>
    <s v="Florence"/>
    <s v="ItalyFlorenceLewis Parks198"/>
    <s v="52357"/>
    <s v="+69-262946533"/>
    <x v="1"/>
    <d v="2023-01-17T00:00:00"/>
    <s v="OK"/>
    <s v="OK"/>
    <s v="OK"/>
    <s v="MATCH"/>
    <x v="1"/>
    <n v="0"/>
    <x v="16"/>
  </r>
  <r>
    <s v="PROP00025"/>
    <s v="Thomas Dam 63, France, Marseille"/>
    <s v="France"/>
    <s v="Marseille"/>
    <s v="Marseille"/>
    <s v="Thomas Dam 63"/>
    <s v="32826"/>
    <s v="+87-969160078"/>
    <x v="0"/>
    <d v="2025-01-17T00:00:00"/>
    <s v="OK"/>
    <s v="OK"/>
    <s v="OK"/>
    <s v="MATCH"/>
    <x v="1"/>
    <n v="0"/>
    <x v="17"/>
  </r>
  <r>
    <s v="PROP00026"/>
    <s v="Burgess Meadow 171, Australia, Melbourne"/>
    <s v="Australia"/>
    <s v="Melbourne"/>
    <s v="Melbourne"/>
    <s v="Burgess Meadow 171"/>
    <s v="76985"/>
    <s v="+91-598066265"/>
    <x v="1"/>
    <d v="2024-06-25T00:00:00"/>
    <s v="OK"/>
    <s v="OK"/>
    <s v="OK"/>
    <s v="MATCH"/>
    <x v="1"/>
    <n v="0"/>
    <x v="9"/>
  </r>
  <r>
    <s v="PROP00027"/>
    <s v="SydneyCox Dam230, Australia"/>
    <s v="Australia"/>
    <s v="Sydney"/>
    <s v="Sydney"/>
    <s v="SydneyCox Dam230"/>
    <s v="67285"/>
    <s v="+26-438045007"/>
    <x v="0"/>
    <d v="2024-02-04T00:00:00"/>
    <s v="OK"/>
    <s v="OK"/>
    <s v="OK"/>
    <s v="MATCH"/>
    <x v="1"/>
    <n v="0"/>
    <x v="10"/>
  </r>
  <r>
    <s v="PROP00028"/>
    <s v="LeedsDavis Causeway293, UK"/>
    <s v="UK"/>
    <s v="Leeds"/>
    <s v="Leeds"/>
    <s v="LeedsDavis Causeway293"/>
    <s v="14872"/>
    <s v="+52-806505381"/>
    <x v="1"/>
    <d v="2025-07-26T00:00:00"/>
    <s v="OK"/>
    <s v="OK"/>
    <s v="OK"/>
    <s v="MATCH"/>
    <x v="1"/>
    <n v="0"/>
    <x v="18"/>
  </r>
  <r>
    <s v="PROP00029"/>
    <s v="Courtney Turnpike165, Bordeaux, France"/>
    <s v="France"/>
    <s v="Bordeaux"/>
    <s v="Bordeaux"/>
    <s v="Courtney Turnpike165"/>
    <s v="89693"/>
    <s v="+61-184724290"/>
    <x v="0"/>
    <d v="2025-04-20T00:00:00"/>
    <s v="OK"/>
    <s v="OK"/>
    <s v="OK"/>
    <s v="MATCH"/>
    <x v="1"/>
    <n v="0"/>
    <x v="6"/>
  </r>
  <r>
    <s v="PROP00030"/>
    <s v="Germany, Cologne"/>
    <s v="Germany"/>
    <s v="Cologne"/>
    <s v="Cologne"/>
    <s v="Cologne"/>
    <s v="50520"/>
    <s v="+84-507576334"/>
    <x v="1"/>
    <d v="2025-09-09T00:00:00"/>
    <s v="OK"/>
    <s v="OK"/>
    <s v="OK"/>
    <s v="MATCH"/>
    <x v="1"/>
    <n v="0"/>
    <x v="19"/>
  </r>
  <r>
    <s v="PROP00031"/>
    <s v="Canada, Ottawa"/>
    <s v="Canada"/>
    <s v="Ottawa"/>
    <s v="Ottawa"/>
    <s v="Ottawa"/>
    <s v="2005"/>
    <s v="+13-132980297"/>
    <x v="1"/>
    <d v="2023-10-02T00:00:00"/>
    <s v="OK"/>
    <s v="OK"/>
    <s v="OK"/>
    <s v="MATCH"/>
    <x v="1"/>
    <n v="0"/>
    <x v="13"/>
  </r>
  <r>
    <s v="PROP00032"/>
    <s v="UKBirmingham, UK"/>
    <s v="UK"/>
    <s v="Birmingham"/>
    <s v="Birmingham"/>
    <s v="UK"/>
    <s v="98920"/>
    <s v="+36-618266385"/>
    <x v="0"/>
    <d v="2023-10-26T00:00:00"/>
    <s v="OK"/>
    <s v="OK"/>
    <s v="OK"/>
    <s v="MATCH"/>
    <x v="1"/>
    <n v="0"/>
    <x v="13"/>
  </r>
  <r>
    <s v="PROP00033"/>
    <s v="MunichMack Junctions229, Germany"/>
    <s v="Germany"/>
    <s v="Munich"/>
    <s v="Munich"/>
    <s v="MunichMack Junctions229"/>
    <s v="15122"/>
    <s v="+35-763070022"/>
    <x v="0"/>
    <d v="2023-07-25T00:00:00"/>
    <s v="OK"/>
    <s v="OK"/>
    <s v="OK"/>
    <s v="MATCH"/>
    <x v="1"/>
    <n v="0"/>
    <x v="20"/>
  </r>
  <r>
    <s v="PROP00034"/>
    <s v="Graham Motorway 9, Rio de Janeiro"/>
    <s v="Brazil"/>
    <s v="Rio de Janeiro"/>
    <s v="Rio de Janeiro"/>
    <s v="Graham Motorway 9"/>
    <s v="926"/>
    <s v="+5-377335239"/>
    <x v="0"/>
    <d v="2025-01-05T00:00:00"/>
    <s v="OK"/>
    <s v="OK"/>
    <s v="OK"/>
    <s v="MATCH"/>
    <x v="1"/>
    <n v="0"/>
    <x v="17"/>
  </r>
  <r>
    <s v="PROP00035"/>
    <s v="UK, Manchester, Stanton Track 112"/>
    <s v="UK"/>
    <s v="Manchester"/>
    <s v="Manchester"/>
    <s v="Stanton Track 112"/>
    <s v="23917"/>
    <s v="+82-366448994"/>
    <x v="0"/>
    <d v="2023-09-12T00:00:00"/>
    <s v="OK"/>
    <s v="OK"/>
    <s v="OK"/>
    <s v="MATCH"/>
    <x v="1"/>
    <n v="0"/>
    <x v="21"/>
  </r>
  <r>
    <s v="PROP00036"/>
    <s v="Australia, Brisbane, Monica Hills 117"/>
    <s v="Australia"/>
    <s v="Brisbane"/>
    <s v="Brisbane"/>
    <s v="Monica Hills 117"/>
    <s v="84249"/>
    <s v="+8-137243090"/>
    <x v="0"/>
    <d v="2023-10-20T00:00:00"/>
    <s v="OK"/>
    <s v="OK"/>
    <s v="OK"/>
    <s v="MATCH"/>
    <x v="1"/>
    <n v="0"/>
    <x v="13"/>
  </r>
  <r>
    <s v="PROP00037"/>
    <s v="France, Paris, Eric Track 273"/>
    <s v="France"/>
    <s v="Paris"/>
    <s v="Paris"/>
    <s v="Eric Track 273"/>
    <s v="21675"/>
    <s v="+7-834425624"/>
    <x v="1"/>
    <d v="2024-12-17T00:00:00"/>
    <s v="OK"/>
    <s v="OK"/>
    <s v="OK"/>
    <s v="MATCH"/>
    <x v="1"/>
    <n v="0"/>
    <x v="22"/>
  </r>
  <r>
    <s v="PROP00038"/>
    <s v="SydneyCarol Overpass103, Australia"/>
    <s v="Australia"/>
    <s v="Sydney"/>
    <s v="Sydney"/>
    <s v="SydneyCarol Overpass103"/>
    <s v="3053"/>
    <s v="+54-303640140"/>
    <x v="1"/>
    <d v="2025-10-09T00:00:00"/>
    <s v="OK"/>
    <s v="OK"/>
    <s v="OK"/>
    <s v="MATCH"/>
    <x v="1"/>
    <n v="0"/>
    <x v="8"/>
  </r>
  <r>
    <s v="PROP00039"/>
    <s v="SapporoSarah Wells54, Japan"/>
    <s v="Japan"/>
    <s v="Sapporo"/>
    <s v="Sapporo"/>
    <s v="SapporoSarah Wells54"/>
    <s v="40807"/>
    <s v="+15-618313077"/>
    <x v="1"/>
    <d v="2024-02-17T00:00:00"/>
    <s v="OK"/>
    <s v="OK"/>
    <s v="OK"/>
    <s v="MATCH"/>
    <x v="1"/>
    <n v="0"/>
    <x v="10"/>
  </r>
  <r>
    <s v="PROP00040"/>
    <s v="Brian Wells1, Cologne, Germany"/>
    <s v="Germany"/>
    <s v="Cologne"/>
    <s v="Cologne"/>
    <s v="Brian Wells1"/>
    <s v="74865"/>
    <s v="+88-717877765"/>
    <x v="0"/>
    <d v="2024-07-30T00:00:00"/>
    <s v="OK"/>
    <s v="OK"/>
    <s v="OK"/>
    <s v="MATCH"/>
    <x v="1"/>
    <n v="0"/>
    <x v="0"/>
  </r>
  <r>
    <s v="PROP00041"/>
    <s v="Christopher Oval 268, Germany, Hamburg"/>
    <s v="Germany"/>
    <s v="Hamburg"/>
    <s v="Hamburg"/>
    <s v="Christopher Oval 268"/>
    <s v="9572"/>
    <s v="+41-674271263"/>
    <x v="1"/>
    <d v="2023-04-12T00:00:00"/>
    <s v="OK"/>
    <s v="OK"/>
    <s v="OK"/>
    <s v="MATCH"/>
    <x v="1"/>
    <n v="0"/>
    <x v="23"/>
  </r>
  <r>
    <s v="PROP00042"/>
    <s v="FranceToulouse, France"/>
    <s v="France"/>
    <s v="Toulouse"/>
    <s v="Toulouse"/>
    <s v="France"/>
    <s v="72564"/>
    <s v="+11-495234164"/>
    <x v="1"/>
    <d v="2023-05-21T00:00:00"/>
    <s v="OK"/>
    <s v="OK"/>
    <s v="OK"/>
    <s v="MATCH"/>
    <x v="1"/>
    <n v="0"/>
    <x v="24"/>
  </r>
  <r>
    <s v="PROP00043"/>
    <s v="Joseph Well 117, Salvador"/>
    <s v="Brazil"/>
    <s v="Salvador"/>
    <s v="Salvador"/>
    <s v="Joseph Well 117"/>
    <s v="80008"/>
    <s v="+97-188042154"/>
    <x v="1"/>
    <d v="2024-06-21T00:00:00"/>
    <s v="OK"/>
    <s v="OK"/>
    <s v="OK"/>
    <s v="MATCH"/>
    <x v="1"/>
    <n v="0"/>
    <x v="9"/>
  </r>
  <r>
    <s v="PROP00044"/>
    <s v="Brandt Plains 73, Japan, Osaka"/>
    <s v="Japan"/>
    <s v="Osaka"/>
    <s v="Osaka"/>
    <s v="Brandt Plains 73"/>
    <s v="99495"/>
    <s v="+56-127164941"/>
    <x v="0"/>
    <d v="2025-03-25T00:00:00"/>
    <s v="OK"/>
    <s v="OK"/>
    <s v="OK"/>
    <s v="MATCH"/>
    <x v="1"/>
    <n v="0"/>
    <x v="15"/>
  </r>
  <r>
    <s v="PROP00045"/>
    <s v="JapanOsaka"/>
    <s v="Japan"/>
    <s v="Osaka"/>
    <s v="Osaka"/>
    <s v=""/>
    <s v="88540"/>
    <s v="+56-410716797"/>
    <x v="1"/>
    <d v="2023-11-27T00:00:00"/>
    <s v="MISSING"/>
    <s v="OK"/>
    <s v="OK"/>
    <s v="MATCH"/>
    <x v="0"/>
    <n v="1"/>
    <x v="1"/>
  </r>
  <r>
    <s v="PROP00046"/>
    <s v="AustraliaAdelaideKim Path237"/>
    <s v="Australia"/>
    <s v="Adelaide"/>
    <s v="Adelaide"/>
    <s v="AustraliaAdelaideKim Path237"/>
    <s v="59678"/>
    <s v="+95-122092046"/>
    <x v="0"/>
    <d v="2025-04-04T00:00:00"/>
    <s v="OK"/>
    <s v="OK"/>
    <s v="OK"/>
    <s v="MATCH"/>
    <x v="1"/>
    <n v="0"/>
    <x v="6"/>
  </r>
  <r>
    <s v="PROP00047"/>
    <s v="John Circles101, Turin, Italy"/>
    <s v="Italy"/>
    <s v="Turin"/>
    <s v="Turin"/>
    <s v="John Circles101"/>
    <s v="44814"/>
    <s v="+19-387273819"/>
    <x v="1"/>
    <d v="2023-12-18T00:00:00"/>
    <s v="OK"/>
    <s v="OK"/>
    <s v="OK"/>
    <s v="MATCH"/>
    <x v="1"/>
    <n v="0"/>
    <x v="25"/>
  </r>
  <r>
    <s v="PROP00048"/>
    <s v="Brianna Forks 9, Brazil, Brasília"/>
    <s v="Brazil"/>
    <s v="Brasília"/>
    <s v="Brasília"/>
    <s v="Brianna Forks 9"/>
    <s v="77629"/>
    <s v="+62-899523499"/>
    <x v="1"/>
    <d v="2022-11-29T00:00:00"/>
    <s v="OK"/>
    <s v="OK"/>
    <s v="OK"/>
    <s v="MATCH"/>
    <x v="1"/>
    <n v="0"/>
    <x v="26"/>
  </r>
  <r>
    <s v="PROP00049"/>
    <s v="Japan, Osaka, Adrian Station 145"/>
    <s v="Japan"/>
    <s v="Osaka"/>
    <s v="Osaka"/>
    <s v="Adrian Station 145"/>
    <s v="83220"/>
    <s v="+67-672353502"/>
    <x v="0"/>
    <d v="2025-05-08T00:00:00"/>
    <s v="OK"/>
    <s v="OK"/>
    <s v="OK"/>
    <s v="MATCH"/>
    <x v="1"/>
    <n v="0"/>
    <x v="27"/>
  </r>
  <r>
    <s v="PROP00050"/>
    <s v="Jeremy Bypass 39, Australia, Sydney"/>
    <s v="Australia"/>
    <s v="Sydney"/>
    <s v="Sydney"/>
    <s v="Jeremy Bypass 39"/>
    <s v="43810"/>
    <s v="+88-308900942"/>
    <x v="1"/>
    <d v="2025-10-29T00:00:00"/>
    <s v="OK"/>
    <s v="OK"/>
    <s v="OK"/>
    <s v="MATCH"/>
    <x v="1"/>
    <n v="0"/>
    <x v="8"/>
  </r>
  <r>
    <s v="PROP00051"/>
    <s v="GermanyCologneWillie Harbors52"/>
    <s v="Germany"/>
    <s v="Cologne"/>
    <s v="Cologne"/>
    <s v="GermanyCologneWillie Harbors52"/>
    <s v="88185"/>
    <s v="+80-988550237"/>
    <x v="1"/>
    <d v="2023-03-22T00:00:00"/>
    <s v="OK"/>
    <s v="OK"/>
    <s v="OK"/>
    <s v="MATCH"/>
    <x v="1"/>
    <n v="0"/>
    <x v="28"/>
  </r>
  <r>
    <s v="PROP00052"/>
    <s v="ItalyRome, Italy"/>
    <s v="Italy"/>
    <s v="Rome"/>
    <s v="Rome"/>
    <s v="Italy"/>
    <s v="95312"/>
    <s v="+15-682304192"/>
    <x v="0"/>
    <d v="2024-05-27T00:00:00"/>
    <s v="OK"/>
    <s v="OK"/>
    <s v="OK"/>
    <s v="MATCH"/>
    <x v="1"/>
    <n v="0"/>
    <x v="12"/>
  </r>
  <r>
    <s v="PROP00053"/>
    <s v="Brazil, Salvador, Sanchez Mountains 24"/>
    <s v="Brazil"/>
    <s v="Salvador"/>
    <s v="Salvador"/>
    <s v="Sanchez Mountains 24"/>
    <s v="53855"/>
    <s v="+73-780711687"/>
    <x v="1"/>
    <d v="2023-11-08T00:00:00"/>
    <s v="OK"/>
    <s v="OK"/>
    <s v="OK"/>
    <s v="MATCH"/>
    <x v="1"/>
    <n v="0"/>
    <x v="1"/>
  </r>
  <r>
    <s v="PROP00054"/>
    <s v="SpainMadrid"/>
    <s v="Spain"/>
    <s v="Madrid"/>
    <s v="Madrid"/>
    <s v=""/>
    <s v="56999"/>
    <s v="+59-479803995"/>
    <x v="0"/>
    <d v="2025-01-23T00:00:00"/>
    <s v="MISSING"/>
    <s v="OK"/>
    <s v="OK"/>
    <s v="MATCH"/>
    <x v="0"/>
    <n v="1"/>
    <x v="17"/>
  </r>
  <r>
    <s v="PROP00055"/>
    <s v="Henderson Mountain 121, USA, Los Angeles"/>
    <s v="USA"/>
    <s v="Los Angeles"/>
    <s v="Los Angeles"/>
    <s v="Henderson Mountain 121"/>
    <s v="96062"/>
    <s v="+34-334321119"/>
    <x v="0"/>
    <d v="2025-06-09T00:00:00"/>
    <s v="OK"/>
    <s v="OK"/>
    <s v="OK"/>
    <s v="MATCH"/>
    <x v="1"/>
    <n v="0"/>
    <x v="11"/>
  </r>
  <r>
    <s v="PROP00056"/>
    <s v="Emily Rue 280, Liverpool"/>
    <s v="UK"/>
    <s v="Liverpool"/>
    <s v="Liverpool"/>
    <s v="Emily Rue 280"/>
    <s v="13400"/>
    <s v="+9-449353772"/>
    <x v="1"/>
    <d v="2023-05-09T00:00:00"/>
    <s v="OK"/>
    <s v="OK"/>
    <s v="OK"/>
    <s v="MATCH"/>
    <x v="1"/>
    <n v="0"/>
    <x v="24"/>
  </r>
  <r>
    <s v="PROP00057"/>
    <s v="Italy, Naples, Richard Junction 168"/>
    <s v="Italy"/>
    <s v="Naples"/>
    <s v="Naples"/>
    <s v="Richard Junction 168"/>
    <s v="14823"/>
    <s v="+19-149280558"/>
    <x v="0"/>
    <d v="2024-08-31T00:00:00"/>
    <s v="OK"/>
    <s v="OK"/>
    <s v="OK"/>
    <s v="MATCH"/>
    <x v="1"/>
    <n v="0"/>
    <x v="29"/>
  </r>
  <r>
    <s v="PROP00058"/>
    <s v="James Plain175, Munich, Germany"/>
    <s v="Germany"/>
    <s v="Munich"/>
    <s v="Munich"/>
    <s v="James Plain175"/>
    <s v="59301"/>
    <s v="+36-371993988"/>
    <x v="0"/>
    <d v="2024-07-17T00:00:00"/>
    <s v="OK"/>
    <s v="OK"/>
    <s v="OK"/>
    <s v="MATCH"/>
    <x v="1"/>
    <n v="0"/>
    <x v="0"/>
  </r>
  <r>
    <s v="PROP00059"/>
    <s v="LondonRobert Harbors170, UK"/>
    <s v="UK"/>
    <s v="London"/>
    <s v="London"/>
    <s v="LondonRobert Harbors170"/>
    <s v="61138"/>
    <s v="+83-257012393"/>
    <x v="1"/>
    <d v="2023-04-11T00:00:00"/>
    <s v="OK"/>
    <s v="OK"/>
    <s v="OK"/>
    <s v="MATCH"/>
    <x v="1"/>
    <n v="0"/>
    <x v="23"/>
  </r>
  <r>
    <s v="PROP00060"/>
    <s v="Brisbane, Nancy Club 162, Australia"/>
    <s v="Australia"/>
    <s v="Brisbane"/>
    <s v="Brisbane"/>
    <s v="Nancy Club 162"/>
    <s v="58583"/>
    <s v="+62-461988150"/>
    <x v="0"/>
    <d v="2023-09-14T00:00:00"/>
    <s v="OK"/>
    <s v="OK"/>
    <s v="OK"/>
    <s v="MATCH"/>
    <x v="1"/>
    <n v="0"/>
    <x v="21"/>
  </r>
  <r>
    <s v="PROP00061"/>
    <s v="Italy, Milan"/>
    <s v="Italy"/>
    <s v="Milan"/>
    <s v="Milan"/>
    <s v="Milan"/>
    <s v="2435"/>
    <s v="+56-645238025"/>
    <x v="0"/>
    <d v="2025-07-20T00:00:00"/>
    <s v="OK"/>
    <s v="OK"/>
    <s v="OK"/>
    <s v="MATCH"/>
    <x v="1"/>
    <n v="0"/>
    <x v="18"/>
  </r>
  <r>
    <s v="PROP00062"/>
    <s v="SpainSeville"/>
    <s v="Spain"/>
    <s v="Seville"/>
    <s v="Seville"/>
    <s v=""/>
    <s v="31483"/>
    <s v="+15-775114197"/>
    <x v="0"/>
    <d v="2023-10-24T00:00:00"/>
    <s v="MISSING"/>
    <s v="OK"/>
    <s v="OK"/>
    <s v="MATCH"/>
    <x v="0"/>
    <n v="1"/>
    <x v="13"/>
  </r>
  <r>
    <s v="PROP00063"/>
    <s v="BrazilRio de JaneiroRichard Orchard104"/>
    <s v="Brazil"/>
    <s v="Rio de Janeiro"/>
    <s v="Rio de Janeiro"/>
    <s v="BrazilRio de JaneiroRichard Orchard104"/>
    <s v="28517"/>
    <s v="+26-116958637"/>
    <x v="1"/>
    <d v="2025-01-16T00:00:00"/>
    <s v="OK"/>
    <s v="OK"/>
    <s v="OK"/>
    <s v="MATCH"/>
    <x v="1"/>
    <n v="0"/>
    <x v="17"/>
  </r>
  <r>
    <s v="PROP00064"/>
    <s v="Barrera Expressway 8, Italy, Florence"/>
    <s v="Italy"/>
    <s v="Florence"/>
    <s v="Florence"/>
    <s v="Barrera Expressway 8"/>
    <s v="50173"/>
    <s v="+19-823637428"/>
    <x v="1"/>
    <d v="2025-04-19T00:00:00"/>
    <s v="OK"/>
    <s v="OK"/>
    <s v="OK"/>
    <s v="MATCH"/>
    <x v="1"/>
    <n v="0"/>
    <x v="6"/>
  </r>
  <r>
    <s v="PROP00065"/>
    <s v="Tricia Greens 134, UK, Liverpool"/>
    <s v="UK"/>
    <s v="Liverpool"/>
    <s v="Liverpool"/>
    <s v="Tricia Greens 134"/>
    <s v="60139"/>
    <s v="+40-714942290"/>
    <x v="1"/>
    <d v="2023-01-18T00:00:00"/>
    <s v="OK"/>
    <s v="OK"/>
    <s v="OK"/>
    <s v="MATCH"/>
    <x v="1"/>
    <n v="0"/>
    <x v="16"/>
  </r>
  <r>
    <s v="PROP00066"/>
    <s v="USAChicagoHenderson Street66"/>
    <s v="USA"/>
    <s v="Chicago"/>
    <s v="Chicago"/>
    <s v="USAChicagoHenderson Street66"/>
    <s v="73346"/>
    <s v="+51-930349048"/>
    <x v="0"/>
    <d v="2025-08-21T00:00:00"/>
    <s v="OK"/>
    <s v="OK"/>
    <s v="OK"/>
    <s v="MATCH"/>
    <x v="1"/>
    <n v="0"/>
    <x v="30"/>
  </r>
  <r>
    <s v="PROP00067"/>
    <s v="ItalyRome"/>
    <s v="Italy"/>
    <s v="Rome"/>
    <s v="Rome"/>
    <s v=""/>
    <s v="29035"/>
    <s v="+2-179667335"/>
    <x v="0"/>
    <d v="2023-04-04T00:00:00"/>
    <s v="MISSING"/>
    <s v="OK"/>
    <s v="OK"/>
    <s v="MATCH"/>
    <x v="0"/>
    <n v="1"/>
    <x v="23"/>
  </r>
  <r>
    <s v="PROP00068"/>
    <s v="Beth Plains244, Kyoto, Japan"/>
    <s v="Japan"/>
    <s v="Kyoto"/>
    <s v="Kyoto"/>
    <s v="Beth Plains244"/>
    <s v="8490"/>
    <s v="+76-822620464"/>
    <x v="0"/>
    <d v="2023-11-10T00:00:00"/>
    <s v="OK"/>
    <s v="OK"/>
    <s v="OK"/>
    <s v="MATCH"/>
    <x v="1"/>
    <n v="0"/>
    <x v="1"/>
  </r>
  <r>
    <s v="PROP00069"/>
    <s v="JapanKyoto"/>
    <s v="Japan"/>
    <s v="Kyoto"/>
    <s v="Kyoto"/>
    <s v=""/>
    <s v="62994"/>
    <s v="+10-284307187"/>
    <x v="0"/>
    <d v="2025-02-21T00:00:00"/>
    <s v="MISSING"/>
    <s v="OK"/>
    <s v="OK"/>
    <s v="MATCH"/>
    <x v="0"/>
    <n v="1"/>
    <x v="31"/>
  </r>
  <r>
    <s v="PROP00070"/>
    <s v="Brian Pass 14, Canada, Montreal"/>
    <s v="Canada"/>
    <s v="Montreal"/>
    <s v="Montreal"/>
    <s v="Brian Pass 14"/>
    <s v="11001"/>
    <s v="+45-470241496"/>
    <x v="0"/>
    <d v="2024-03-31T00:00:00"/>
    <s v="OK"/>
    <s v="OK"/>
    <s v="OK"/>
    <s v="MATCH"/>
    <x v="1"/>
    <n v="0"/>
    <x v="32"/>
  </r>
  <r>
    <s v="PROP00071"/>
    <s v="AustraliaSydney"/>
    <s v="Australia"/>
    <s v="Sydney"/>
    <s v="Sydney"/>
    <s v=""/>
    <s v="89002"/>
    <s v="+54-855570893"/>
    <x v="0"/>
    <d v="2024-10-03T00:00:00"/>
    <s v="MISSING"/>
    <s v="OK"/>
    <s v="OK"/>
    <s v="MATCH"/>
    <x v="0"/>
    <n v="1"/>
    <x v="5"/>
  </r>
  <r>
    <s v="PROP00072"/>
    <s v="MunichRichard Port188, Germany"/>
    <s v="Germany"/>
    <s v="Munich"/>
    <s v="Munich"/>
    <s v="MunichRichard Port188"/>
    <s v="32772"/>
    <s v="+74-771894322"/>
    <x v="0"/>
    <d v="2025-08-23T00:00:00"/>
    <s v="OK"/>
    <s v="OK"/>
    <s v="OK"/>
    <s v="MATCH"/>
    <x v="1"/>
    <n v="0"/>
    <x v="30"/>
  </r>
  <r>
    <s v="PROP00073"/>
    <s v="Cologne, Christine Manor 113, Germany"/>
    <s v="Germany"/>
    <s v="Cologne"/>
    <s v="Cologne"/>
    <s v="Christine Manor 113"/>
    <s v="86664"/>
    <s v="+9-738348476"/>
    <x v="0"/>
    <d v="2022-12-08T00:00:00"/>
    <s v="OK"/>
    <s v="OK"/>
    <s v="OK"/>
    <s v="MATCH"/>
    <x v="1"/>
    <n v="0"/>
    <x v="7"/>
  </r>
  <r>
    <s v="PROP00074"/>
    <s v="Los Angeles, Donovan Ford 265, USA"/>
    <s v="USA"/>
    <s v="Los Angeles"/>
    <s v="Los Angeles"/>
    <s v="Donovan Ford 265"/>
    <s v="88283"/>
    <s v="+57-284587208"/>
    <x v="0"/>
    <d v="2024-06-05T00:00:00"/>
    <s v="OK"/>
    <s v="OK"/>
    <s v="OK"/>
    <s v="MATCH"/>
    <x v="1"/>
    <n v="0"/>
    <x v="9"/>
  </r>
  <r>
    <s v="PROP00075"/>
    <s v="Allen Locks 62, Rome"/>
    <s v="Italy"/>
    <s v="Rome"/>
    <s v="Rome"/>
    <s v="Allen Locks 62"/>
    <s v="17655"/>
    <s v="+54-983740017"/>
    <x v="0"/>
    <d v="2024-10-29T00:00:00"/>
    <s v="OK"/>
    <s v="OK"/>
    <s v="OK"/>
    <s v="MATCH"/>
    <x v="1"/>
    <n v="0"/>
    <x v="5"/>
  </r>
  <r>
    <s v="PROP00076"/>
    <s v="Bryant Terrace182, Munich, Germany"/>
    <s v="Germany"/>
    <s v="Munich"/>
    <s v="Munich"/>
    <s v="Bryant Terrace182"/>
    <s v="10009"/>
    <s v="+90-195206528"/>
    <x v="1"/>
    <d v="2024-08-22T00:00:00"/>
    <s v="OK"/>
    <s v="OK"/>
    <s v="OK"/>
    <s v="MATCH"/>
    <x v="1"/>
    <n v="0"/>
    <x v="29"/>
  </r>
  <r>
    <s v="PROP00077"/>
    <s v="Canada, Calgary, Stephen Port 133"/>
    <s v="Canada"/>
    <s v="Calgary"/>
    <s v="Calgary"/>
    <s v="Stephen Port 133"/>
    <s v="13605"/>
    <s v="+94-149826730"/>
    <x v="1"/>
    <d v="2023-07-06T00:00:00"/>
    <s v="OK"/>
    <s v="OK"/>
    <s v="OK"/>
    <s v="MATCH"/>
    <x v="1"/>
    <n v="0"/>
    <x v="20"/>
  </r>
  <r>
    <s v="PROP00078"/>
    <s v="Spain, Barcelona"/>
    <s v="Spain"/>
    <s v="Barcelona"/>
    <s v="Barcelona"/>
    <s v="Barcelona"/>
    <s v="35261"/>
    <s v="+46-812005552"/>
    <x v="0"/>
    <d v="2024-07-22T00:00:00"/>
    <s v="OK"/>
    <s v="OK"/>
    <s v="OK"/>
    <s v="MATCH"/>
    <x v="1"/>
    <n v="0"/>
    <x v="0"/>
  </r>
  <r>
    <s v="PROP00079"/>
    <s v="Sarah Cliff288, Houston, USA"/>
    <s v="USA"/>
    <s v="Houston"/>
    <s v="Houston"/>
    <s v="Sarah Cliff288"/>
    <s v="32519"/>
    <s v="+80-204097491"/>
    <x v="0"/>
    <d v="2025-03-28T00:00:00"/>
    <s v="OK"/>
    <s v="OK"/>
    <s v="OK"/>
    <s v="MATCH"/>
    <x v="1"/>
    <n v="0"/>
    <x v="15"/>
  </r>
  <r>
    <s v="PROP00080"/>
    <s v="FranceBordeaux, France"/>
    <s v="France"/>
    <s v="Bordeaux"/>
    <s v="Bordeaux"/>
    <s v="France"/>
    <s v="71701"/>
    <s v="+71-821851087"/>
    <x v="0"/>
    <d v="2023-02-13T00:00:00"/>
    <s v="OK"/>
    <s v="OK"/>
    <s v="OK"/>
    <s v="MATCH"/>
    <x v="1"/>
    <n v="0"/>
    <x v="3"/>
  </r>
  <r>
    <s v="PROP00081"/>
    <s v="Spain, Valencia"/>
    <s v="Spain"/>
    <s v="Valencia"/>
    <s v="Valencia"/>
    <s v="Valencia"/>
    <s v="86218"/>
    <s v="+90-281357532"/>
    <x v="1"/>
    <d v="2024-03-30T00:00:00"/>
    <s v="OK"/>
    <s v="OK"/>
    <s v="OK"/>
    <s v="MATCH"/>
    <x v="1"/>
    <n v="0"/>
    <x v="32"/>
  </r>
  <r>
    <s v="PROP00082"/>
    <s v="Brazil, São Paulo"/>
    <s v="Brazil"/>
    <s v="São Paulo"/>
    <s v="São Paulo"/>
    <s v="São Paulo"/>
    <s v="39741"/>
    <s v="+61-406195764"/>
    <x v="0"/>
    <d v="2025-10-16T00:00:00"/>
    <s v="OK"/>
    <s v="OK"/>
    <s v="OK"/>
    <s v="MATCH"/>
    <x v="1"/>
    <n v="0"/>
    <x v="8"/>
  </r>
  <r>
    <s v="PROP00083"/>
    <s v="Brazil, São Paulo"/>
    <s v="Brazil"/>
    <s v="São Paulo"/>
    <s v="São Paulo"/>
    <s v="São Paulo"/>
    <s v="35165"/>
    <s v="+43-610390467"/>
    <x v="1"/>
    <d v="2025-05-14T00:00:00"/>
    <s v="OK"/>
    <s v="OK"/>
    <s v="OK"/>
    <s v="MATCH"/>
    <x v="1"/>
    <n v="0"/>
    <x v="27"/>
  </r>
  <r>
    <s v="PROP00084"/>
    <s v="USALos AngelesPamela Summit57"/>
    <s v="USA"/>
    <s v="Los Angeles"/>
    <s v="Los Angeles"/>
    <s v="USALos AngelesPamela Summit57"/>
    <s v="73013"/>
    <s v="+53-349046412"/>
    <x v="1"/>
    <d v="2025-03-02T00:00:00"/>
    <s v="OK"/>
    <s v="OK"/>
    <s v="OK"/>
    <s v="MATCH"/>
    <x v="1"/>
    <n v="0"/>
    <x v="15"/>
  </r>
  <r>
    <s v="PROP00085"/>
    <s v="France, Toulouse, Joseph Rapids 253"/>
    <s v="France"/>
    <s v="Toulouse"/>
    <s v="Toulouse"/>
    <s v="Joseph Rapids 253"/>
    <s v="28108"/>
    <s v="+71-437953376"/>
    <x v="1"/>
    <d v="2024-12-13T00:00:00"/>
    <s v="OK"/>
    <s v="OK"/>
    <s v="OK"/>
    <s v="MATCH"/>
    <x v="1"/>
    <n v="0"/>
    <x v="22"/>
  </r>
  <r>
    <s v="PROP00086"/>
    <s v="Harris Roads19, Tokyo, Japan"/>
    <s v="Japan"/>
    <s v="Tokyo"/>
    <s v="Tokyo"/>
    <s v="Harris Roads19"/>
    <s v="35101"/>
    <s v="+43-753816494"/>
    <x v="0"/>
    <d v="2023-04-11T00:00:00"/>
    <s v="OK"/>
    <s v="OK"/>
    <s v="OK"/>
    <s v="MATCH"/>
    <x v="1"/>
    <n v="0"/>
    <x v="23"/>
  </r>
  <r>
    <s v="PROP00087"/>
    <s v="Australia, Sydney, King Vista 190"/>
    <s v="Australia"/>
    <s v="Sydney"/>
    <s v="Sydney"/>
    <s v="King Vista 190"/>
    <s v="7159"/>
    <s v="+2-642643520"/>
    <x v="1"/>
    <d v="2025-05-04T00:00:00"/>
    <s v="OK"/>
    <s v="OK"/>
    <s v="OK"/>
    <s v="MATCH"/>
    <x v="1"/>
    <n v="0"/>
    <x v="27"/>
  </r>
  <r>
    <s v="PROP00088"/>
    <s v="Germany, Munich"/>
    <s v="Germany"/>
    <s v="Munich"/>
    <s v="Munich"/>
    <s v="Munich"/>
    <s v="36766"/>
    <s v="+44-875991961"/>
    <x v="1"/>
    <d v="2024-09-10T00:00:00"/>
    <s v="OK"/>
    <s v="OK"/>
    <s v="OK"/>
    <s v="MATCH"/>
    <x v="1"/>
    <n v="0"/>
    <x v="33"/>
  </r>
  <r>
    <s v="PROP00089"/>
    <s v="Japan, Kyoto"/>
    <s v="Japan"/>
    <s v="Kyoto"/>
    <s v="Kyoto"/>
    <s v="Kyoto"/>
    <s v="17647"/>
    <s v="+30-729230982"/>
    <x v="0"/>
    <d v="2024-08-11T00:00:00"/>
    <s v="OK"/>
    <s v="OK"/>
    <s v="OK"/>
    <s v="MATCH"/>
    <x v="1"/>
    <n v="0"/>
    <x v="29"/>
  </r>
  <r>
    <s v="PROP00090"/>
    <s v="CalgaryMartin Mills172, Canada"/>
    <s v="Canada"/>
    <s v="Calgary"/>
    <s v="Calgary"/>
    <s v="CalgaryMartin Mills172"/>
    <s v="72810"/>
    <s v="+22-949812813"/>
    <x v="0"/>
    <d v="2024-09-19T00:00:00"/>
    <s v="OK"/>
    <s v="OK"/>
    <s v="OK"/>
    <s v="MATCH"/>
    <x v="1"/>
    <n v="0"/>
    <x v="33"/>
  </r>
  <r>
    <s v="PROP00091"/>
    <s v="Hoffman Creek 251, Rio de Janeiro"/>
    <s v="Brazil"/>
    <s v="Rio de Janeiro"/>
    <s v="Rio de Janeiro"/>
    <s v="Hoffman Creek 251"/>
    <s v="10363"/>
    <s v="+74-933316969"/>
    <x v="1"/>
    <d v="2023-04-11T00:00:00"/>
    <s v="OK"/>
    <s v="OK"/>
    <s v="OK"/>
    <s v="MATCH"/>
    <x v="1"/>
    <n v="0"/>
    <x v="23"/>
  </r>
  <r>
    <s v="PROP00092"/>
    <s v="FranceMarseille"/>
    <s v="France"/>
    <s v="Marseille"/>
    <s v="Marseille"/>
    <s v=""/>
    <s v="48894"/>
    <s v="+39-668783916"/>
    <x v="0"/>
    <d v="2023-04-26T00:00:00"/>
    <s v="MISSING"/>
    <s v="OK"/>
    <s v="OK"/>
    <s v="MATCH"/>
    <x v="0"/>
    <n v="1"/>
    <x v="23"/>
  </r>
  <r>
    <s v="PROP00093"/>
    <s v="Russell Canyon13, Leeds, UK"/>
    <s v="UK"/>
    <s v="Leeds"/>
    <s v="Leeds"/>
    <s v="Russell Canyon13"/>
    <s v="40905"/>
    <s v="+99-544053943"/>
    <x v="0"/>
    <d v="2025-09-10T00:00:00"/>
    <s v="OK"/>
    <s v="OK"/>
    <s v="OK"/>
    <s v="MATCH"/>
    <x v="1"/>
    <n v="0"/>
    <x v="19"/>
  </r>
  <r>
    <s v="PROP00094"/>
    <s v="BrazilBrasília, Brazil"/>
    <s v="Brazil"/>
    <s v="Brasília"/>
    <s v="Brasília"/>
    <s v="Brazil"/>
    <s v="5730"/>
    <s v="+91-128006433"/>
    <x v="1"/>
    <d v="2023-01-28T00:00:00"/>
    <s v="OK"/>
    <s v="OK"/>
    <s v="OK"/>
    <s v="MATCH"/>
    <x v="1"/>
    <n v="0"/>
    <x v="16"/>
  </r>
  <r>
    <s v="PROP00095"/>
    <s v="CanadaMontreal"/>
    <s v="Canada"/>
    <s v="Montreal"/>
    <s v="Montreal"/>
    <s v=""/>
    <s v="87917"/>
    <s v="+50-444364960"/>
    <x v="1"/>
    <d v="2024-01-14T00:00:00"/>
    <s v="MISSING"/>
    <s v="OK"/>
    <s v="OK"/>
    <s v="MATCH"/>
    <x v="0"/>
    <n v="1"/>
    <x v="34"/>
  </r>
  <r>
    <s v="PROP00096"/>
    <s v="FranceLyonMichael Points219"/>
    <s v="France"/>
    <s v="Lyon"/>
    <s v="Lyon"/>
    <s v="FranceLyonMichael Points219"/>
    <s v="53765"/>
    <s v="+82-254422976"/>
    <x v="1"/>
    <d v="2024-07-31T00:00:00"/>
    <s v="OK"/>
    <s v="OK"/>
    <s v="OK"/>
    <s v="MATCH"/>
    <x v="1"/>
    <n v="0"/>
    <x v="0"/>
  </r>
  <r>
    <s v="PROP00097"/>
    <s v="France, Paris"/>
    <s v="France"/>
    <s v="Paris"/>
    <s v="Paris"/>
    <s v="Paris"/>
    <s v="21800"/>
    <s v="+78-268374543"/>
    <x v="1"/>
    <d v="2023-04-06T00:00:00"/>
    <s v="OK"/>
    <s v="OK"/>
    <s v="OK"/>
    <s v="MATCH"/>
    <x v="1"/>
    <n v="0"/>
    <x v="23"/>
  </r>
  <r>
    <s v="PROP00098"/>
    <s v="Nicole Burg 111, UK, Birmingham"/>
    <s v="UK"/>
    <s v="Birmingham"/>
    <s v="Birmingham"/>
    <s v="Nicole Burg 111"/>
    <s v="24010"/>
    <s v="+66-401294716"/>
    <x v="0"/>
    <d v="2023-01-14T00:00:00"/>
    <s v="OK"/>
    <s v="OK"/>
    <s v="OK"/>
    <s v="MATCH"/>
    <x v="1"/>
    <n v="0"/>
    <x v="16"/>
  </r>
  <r>
    <s v="PROP00099"/>
    <s v="Rio de JaneiroPatton Loop78, Brazil"/>
    <s v="Brazil"/>
    <s v="Rio de Janeiro"/>
    <s v="Rio de Janeiro"/>
    <s v="Rio de JaneiroPatton Loop78"/>
    <s v="88307"/>
    <s v="+68-104681050"/>
    <x v="0"/>
    <d v="2024-06-04T00:00:00"/>
    <s v="OK"/>
    <s v="OK"/>
    <s v="OK"/>
    <s v="MATCH"/>
    <x v="1"/>
    <n v="0"/>
    <x v="9"/>
  </r>
  <r>
    <s v="PROP00100"/>
    <s v="CanadaOttawa, Canada"/>
    <s v="Canada"/>
    <s v="Ottawa"/>
    <s v="Ottawa"/>
    <s v="Canada"/>
    <s v="92418"/>
    <s v="+72-516046588"/>
    <x v="0"/>
    <d v="2025-08-02T00:00:00"/>
    <s v="OK"/>
    <s v="OK"/>
    <s v="OK"/>
    <s v="MATCH"/>
    <x v="1"/>
    <n v="0"/>
    <x v="30"/>
  </r>
  <r>
    <s v="PROP00101"/>
    <s v="Patrick Camp 280, Toronto"/>
    <s v="Canada"/>
    <s v="Toronto"/>
    <s v="Toronto"/>
    <s v="Patrick Camp 280"/>
    <s v="62195"/>
    <s v="+40-108692375"/>
    <x v="1"/>
    <d v="2023-10-25T00:00:00"/>
    <s v="OK"/>
    <s v="OK"/>
    <s v="OK"/>
    <s v="MATCH"/>
    <x v="1"/>
    <n v="0"/>
    <x v="13"/>
  </r>
  <r>
    <s v="PROP00102"/>
    <s v="ItalyRome, Italy"/>
    <s v="Italy"/>
    <s v="Rome"/>
    <s v="Rome"/>
    <s v="Italy"/>
    <s v="46331"/>
    <s v="+90-670947397"/>
    <x v="0"/>
    <d v="2023-09-28T00:00:00"/>
    <s v="OK"/>
    <s v="OK"/>
    <s v="OK"/>
    <s v="MATCH"/>
    <x v="1"/>
    <n v="0"/>
    <x v="21"/>
  </r>
  <r>
    <s v="PROP00103"/>
    <s v="Canada, Montreal, Hoover Well 14"/>
    <s v="Canada"/>
    <s v="Montreal"/>
    <s v="Montreal"/>
    <s v="Hoover Well 14"/>
    <s v="30332"/>
    <s v="+2-716543748"/>
    <x v="0"/>
    <d v="2024-10-16T00:00:00"/>
    <s v="OK"/>
    <s v="OK"/>
    <s v="OK"/>
    <s v="MATCH"/>
    <x v="1"/>
    <n v="0"/>
    <x v="5"/>
  </r>
  <r>
    <s v="PROP00104"/>
    <s v="Andrew Fields 41, Cologne"/>
    <s v="Germany"/>
    <s v="Cologne"/>
    <s v="Cologne"/>
    <s v="Andrew Fields 41"/>
    <s v="52728"/>
    <s v="+77-915809959"/>
    <x v="0"/>
    <d v="2025-05-16T00:00:00"/>
    <s v="OK"/>
    <s v="OK"/>
    <s v="OK"/>
    <s v="MATCH"/>
    <x v="1"/>
    <n v="0"/>
    <x v="27"/>
  </r>
  <r>
    <s v="PROP00105"/>
    <s v="Ramirez Cliff214, Turin, Italy"/>
    <s v="Italy"/>
    <s v="Turin"/>
    <s v="Turin"/>
    <s v="Ramirez Cliff214"/>
    <s v="37086"/>
    <s v="+58-128327145"/>
    <x v="1"/>
    <d v="2025-05-18T00:00:00"/>
    <s v="OK"/>
    <s v="OK"/>
    <s v="OK"/>
    <s v="MATCH"/>
    <x v="1"/>
    <n v="0"/>
    <x v="27"/>
  </r>
  <r>
    <s v="PROP00106"/>
    <s v="CanadaToronto, Canada"/>
    <s v="Canada"/>
    <s v="Toronto"/>
    <s v="Toronto"/>
    <s v="Canada"/>
    <s v="89566"/>
    <s v="+52-781682173"/>
    <x v="0"/>
    <d v="2023-12-14T00:00:00"/>
    <s v="OK"/>
    <s v="OK"/>
    <s v="OK"/>
    <s v="MATCH"/>
    <x v="1"/>
    <n v="0"/>
    <x v="25"/>
  </r>
  <r>
    <s v="PROP00107"/>
    <s v="Australia, Melbourne, Crosby Crescent 19"/>
    <s v="Australia"/>
    <s v="Melbourne"/>
    <s v="Melbourne"/>
    <s v="Crosby Crescent 19"/>
    <s v="34738"/>
    <s v="+30-986705709"/>
    <x v="1"/>
    <d v="2023-05-02T00:00:00"/>
    <s v="OK"/>
    <s v="OK"/>
    <s v="OK"/>
    <s v="MATCH"/>
    <x v="1"/>
    <n v="0"/>
    <x v="24"/>
  </r>
  <r>
    <s v="PROP00108"/>
    <s v="AustraliaPerth"/>
    <s v="Australia"/>
    <s v="Perth"/>
    <s v="Perth"/>
    <s v=""/>
    <s v="5515"/>
    <s v="+46-712608587"/>
    <x v="0"/>
    <d v="2023-07-01T00:00:00"/>
    <s v="MISSING"/>
    <s v="OK"/>
    <s v="OK"/>
    <s v="MATCH"/>
    <x v="0"/>
    <n v="1"/>
    <x v="20"/>
  </r>
  <r>
    <s v="PROP00109"/>
    <s v="JapanNagoya, Japan"/>
    <s v="Japan"/>
    <s v="Nagoya"/>
    <s v="Nagoya"/>
    <s v="Japan"/>
    <s v="95992"/>
    <s v="+24-699093788"/>
    <x v="1"/>
    <d v="2024-05-16T00:00:00"/>
    <s v="OK"/>
    <s v="OK"/>
    <s v="OK"/>
    <s v="MATCH"/>
    <x v="1"/>
    <n v="0"/>
    <x v="12"/>
  </r>
  <r>
    <s v="PROP00110"/>
    <s v="Graham Pass109, Hamburg, Germany"/>
    <s v="Germany"/>
    <s v="Hamburg"/>
    <s v="Hamburg"/>
    <s v="Graham Pass109"/>
    <s v="15658"/>
    <s v="+31-951115542"/>
    <x v="1"/>
    <d v="2025-10-18T00:00:00"/>
    <s v="OK"/>
    <s v="OK"/>
    <s v="OK"/>
    <s v="MATCH"/>
    <x v="1"/>
    <n v="0"/>
    <x v="8"/>
  </r>
  <r>
    <s v="PROP00111"/>
    <s v="UKLondon, UK"/>
    <s v="UK"/>
    <s v="London"/>
    <s v="London"/>
    <s v="UK"/>
    <s v="33887"/>
    <s v="+95-539878666"/>
    <x v="0"/>
    <d v="2023-09-01T00:00:00"/>
    <s v="OK"/>
    <s v="OK"/>
    <s v="OK"/>
    <s v="MATCH"/>
    <x v="1"/>
    <n v="0"/>
    <x v="21"/>
  </r>
  <r>
    <s v="PROP00112"/>
    <s v="NagoyaJeanne Alley61, Japan"/>
    <s v="Japan"/>
    <s v="Nagoya"/>
    <s v="Nagoya"/>
    <s v="NagoyaJeanne Alley61"/>
    <s v="68647"/>
    <s v="+36-803661906"/>
    <x v="0"/>
    <d v="2025-01-31T00:00:00"/>
    <s v="OK"/>
    <s v="OK"/>
    <s v="OK"/>
    <s v="MATCH"/>
    <x v="1"/>
    <n v="0"/>
    <x v="17"/>
  </r>
  <r>
    <s v="PROP00113"/>
    <s v="FranceToulouse, France"/>
    <s v="France"/>
    <s v="Toulouse"/>
    <s v="Toulouse"/>
    <s v="France"/>
    <s v="87563"/>
    <s v="+6-196700498"/>
    <x v="0"/>
    <d v="2025-05-11T00:00:00"/>
    <s v="OK"/>
    <s v="OK"/>
    <s v="OK"/>
    <s v="MATCH"/>
    <x v="1"/>
    <n v="0"/>
    <x v="27"/>
  </r>
  <r>
    <s v="PROP00114"/>
    <s v="Hanson Shore 281, Rome"/>
    <s v="Italy"/>
    <s v="Rome"/>
    <s v="Rome"/>
    <s v="Hanson Shore 281"/>
    <s v="16835"/>
    <s v="+81-745948280"/>
    <x v="1"/>
    <d v="2025-10-24T00:00:00"/>
    <s v="OK"/>
    <s v="OK"/>
    <s v="OK"/>
    <s v="MATCH"/>
    <x v="1"/>
    <n v="0"/>
    <x v="8"/>
  </r>
  <r>
    <s v="PROP00115"/>
    <s v="JapanKyotoHunter Shores166"/>
    <s v="Japan"/>
    <s v="Kyoto"/>
    <s v="Kyoto"/>
    <s v="JapanKyotoHunter Shores166"/>
    <s v="54029"/>
    <s v="+80-858743865"/>
    <x v="0"/>
    <d v="2023-03-21T00:00:00"/>
    <s v="OK"/>
    <s v="OK"/>
    <s v="OK"/>
    <s v="MATCH"/>
    <x v="1"/>
    <n v="0"/>
    <x v="28"/>
  </r>
  <r>
    <s v="PROP00116"/>
    <s v="Spain, Seville, Powell Hill 285"/>
    <s v="Spain"/>
    <s v="Seville"/>
    <s v="Seville"/>
    <s v="Powell Hill 285"/>
    <s v="73168"/>
    <s v="+85-635524815"/>
    <x v="0"/>
    <d v="2022-12-30T00:00:00"/>
    <s v="OK"/>
    <s v="OK"/>
    <s v="OK"/>
    <s v="MATCH"/>
    <x v="1"/>
    <n v="0"/>
    <x v="7"/>
  </r>
  <r>
    <s v="PROP00117"/>
    <s v="USAPhoenix, USA"/>
    <s v="USA"/>
    <s v="Phoenix"/>
    <s v="Phoenix"/>
    <s v="USA"/>
    <s v="50196"/>
    <s v="+15-826883571"/>
    <x v="1"/>
    <d v="2024-04-23T00:00:00"/>
    <s v="OK"/>
    <s v="OK"/>
    <s v="OK"/>
    <s v="MATCH"/>
    <x v="1"/>
    <n v="0"/>
    <x v="2"/>
  </r>
  <r>
    <s v="PROP00118"/>
    <s v="FrankfurtChristina Hollow154, Germany"/>
    <s v="Germany"/>
    <s v="Frankfurt"/>
    <s v="Frankfurt"/>
    <s v="FrankfurtChristina Hollow154"/>
    <s v="53726"/>
    <s v="+48-456049222"/>
    <x v="1"/>
    <d v="2023-12-06T00:00:00"/>
    <s v="OK"/>
    <s v="OK"/>
    <s v="OK"/>
    <s v="MATCH"/>
    <x v="1"/>
    <n v="0"/>
    <x v="25"/>
  </r>
  <r>
    <s v="PROP00119"/>
    <s v="Los AngelesKevin Fords89, USA"/>
    <s v="USA"/>
    <s v="Los Angeles"/>
    <s v="Los Angeles"/>
    <s v="Los AngelesKevin Fords89"/>
    <s v="56847"/>
    <s v="+21-647847567"/>
    <x v="1"/>
    <d v="2025-05-28T00:00:00"/>
    <s v="OK"/>
    <s v="OK"/>
    <s v="OK"/>
    <s v="MATCH"/>
    <x v="1"/>
    <n v="0"/>
    <x v="27"/>
  </r>
  <r>
    <s v="PROP00120"/>
    <s v="Italy, Turin"/>
    <s v="Italy"/>
    <s v="Turin"/>
    <s v="Turin"/>
    <s v="Turin"/>
    <s v="89056"/>
    <s v="+2-128497429"/>
    <x v="1"/>
    <d v="2024-08-06T00:00:00"/>
    <s v="OK"/>
    <s v="OK"/>
    <s v="OK"/>
    <s v="MATCH"/>
    <x v="1"/>
    <n v="0"/>
    <x v="29"/>
  </r>
  <r>
    <s v="PROP00121"/>
    <s v="UK, Birmingham, William Underpass 179"/>
    <s v="UK"/>
    <s v="Birmingham"/>
    <s v="Birmingham"/>
    <s v="William Underpass 179"/>
    <s v="96964"/>
    <s v="+43-487423151"/>
    <x v="1"/>
    <d v="2023-07-27T00:00:00"/>
    <s v="OK"/>
    <s v="OK"/>
    <s v="OK"/>
    <s v="MATCH"/>
    <x v="1"/>
    <n v="0"/>
    <x v="20"/>
  </r>
  <r>
    <s v="PROP00122"/>
    <s v="AdelaideDonna Haven193, Australia"/>
    <s v="Australia"/>
    <s v="Adelaide"/>
    <s v="Adelaide"/>
    <s v="AdelaideDonna Haven193"/>
    <s v="68062"/>
    <s v="+90-826650780"/>
    <x v="0"/>
    <d v="2024-03-18T00:00:00"/>
    <s v="OK"/>
    <s v="OK"/>
    <s v="OK"/>
    <s v="MATCH"/>
    <x v="1"/>
    <n v="0"/>
    <x v="32"/>
  </r>
  <r>
    <s v="PROP00123"/>
    <s v="CanadaToronto"/>
    <s v="Canada"/>
    <s v="Toronto"/>
    <s v="Toronto"/>
    <s v=""/>
    <s v="31285"/>
    <s v="+19-116255518"/>
    <x v="0"/>
    <d v="2025-10-19T00:00:00"/>
    <s v="MISSING"/>
    <s v="OK"/>
    <s v="OK"/>
    <s v="MATCH"/>
    <x v="0"/>
    <n v="1"/>
    <x v="8"/>
  </r>
  <r>
    <s v="PROP00124"/>
    <s v="CanadaCalgaryWalker Flat187"/>
    <s v="Canada"/>
    <s v="Calgary"/>
    <s v="Calgary"/>
    <s v="CanadaCalgaryWalker Flat187"/>
    <s v="19814"/>
    <s v="+58-446650963"/>
    <x v="1"/>
    <d v="2024-12-29T00:00:00"/>
    <s v="OK"/>
    <s v="OK"/>
    <s v="OK"/>
    <s v="MATCH"/>
    <x v="1"/>
    <n v="0"/>
    <x v="22"/>
  </r>
  <r>
    <s v="PROP00125"/>
    <s v="Brandon Mountains103, Frankfurt, Germany"/>
    <s v="Germany"/>
    <s v="Frankfurt"/>
    <s v="Frankfurt"/>
    <s v="Brandon Mountains103"/>
    <s v="80621"/>
    <s v="+69-873739504"/>
    <x v="1"/>
    <d v="2023-10-28T00:00:00"/>
    <s v="OK"/>
    <s v="OK"/>
    <s v="OK"/>
    <s v="MATCH"/>
    <x v="1"/>
    <n v="0"/>
    <x v="13"/>
  </r>
  <r>
    <s v="PROP00126"/>
    <s v="Germany, Cologne"/>
    <s v="Germany"/>
    <s v="Cologne"/>
    <s v="Cologne"/>
    <s v="Cologne"/>
    <s v="75955"/>
    <s v="+5-889502567"/>
    <x v="0"/>
    <d v="2023-08-09T00:00:00"/>
    <s v="OK"/>
    <s v="OK"/>
    <s v="OK"/>
    <s v="MATCH"/>
    <x v="1"/>
    <n v="0"/>
    <x v="35"/>
  </r>
  <r>
    <s v="PROP00127"/>
    <s v="Jennifer Lights 173, Spain, Madrid"/>
    <s v="Spain"/>
    <s v="Madrid"/>
    <s v="Madrid"/>
    <s v="Jennifer Lights 173"/>
    <s v="65300"/>
    <s v="+89-498991772"/>
    <x v="0"/>
    <d v="2023-03-08T00:00:00"/>
    <s v="OK"/>
    <s v="OK"/>
    <s v="OK"/>
    <s v="MATCH"/>
    <x v="1"/>
    <n v="0"/>
    <x v="28"/>
  </r>
  <r>
    <s v="PROP00128"/>
    <s v="Madrid, Sanchez Shoal 29, Spain"/>
    <s v="Spain"/>
    <s v="Madrid"/>
    <s v="Madrid"/>
    <s v="Sanchez Shoal 29"/>
    <s v="90629"/>
    <s v="+80-703163769"/>
    <x v="1"/>
    <d v="2023-11-26T00:00:00"/>
    <s v="OK"/>
    <s v="OK"/>
    <s v="OK"/>
    <s v="MATCH"/>
    <x v="1"/>
    <n v="0"/>
    <x v="1"/>
  </r>
  <r>
    <s v="PROP00129"/>
    <s v="Patricia Wall 102, Canada, Calgary"/>
    <s v="Canada"/>
    <s v="Calgary"/>
    <s v="Calgary"/>
    <s v="Patricia Wall 102"/>
    <s v="14471"/>
    <s v="+80-517588526"/>
    <x v="1"/>
    <d v="2025-11-20T00:00:00"/>
    <s v="OK"/>
    <s v="OK"/>
    <s v="OK"/>
    <s v="MATCH"/>
    <x v="1"/>
    <n v="0"/>
    <x v="14"/>
  </r>
  <r>
    <s v="PROP00130"/>
    <s v="MilanRobinson Unions166, Italy"/>
    <s v="Italy"/>
    <s v="Milan"/>
    <s v="Milan"/>
    <s v="MilanRobinson Unions166"/>
    <s v="91715"/>
    <s v="+85-187213398"/>
    <x v="0"/>
    <d v="2024-04-17T00:00:00"/>
    <s v="OK"/>
    <s v="OK"/>
    <s v="OK"/>
    <s v="MATCH"/>
    <x v="1"/>
    <n v="0"/>
    <x v="2"/>
  </r>
  <r>
    <s v="PROP00131"/>
    <s v="Williams Gateway29, Naples, Italy"/>
    <s v="Italy"/>
    <s v="Naples"/>
    <s v="Naples"/>
    <s v="Williams Gateway29"/>
    <s v="16407"/>
    <s v="+23-121419408"/>
    <x v="0"/>
    <d v="2023-12-18T00:00:00"/>
    <s v="OK"/>
    <s v="OK"/>
    <s v="OK"/>
    <s v="MATCH"/>
    <x v="1"/>
    <n v="0"/>
    <x v="25"/>
  </r>
  <r>
    <s v="PROP00132"/>
    <s v="USAChicagoAnderson Mountain52"/>
    <s v="USA"/>
    <s v="Chicago"/>
    <s v="Chicago"/>
    <s v="USAChicagoAnderson Mountain52"/>
    <s v="88001"/>
    <s v="+23-132311626"/>
    <x v="0"/>
    <d v="2024-04-12T00:00:00"/>
    <s v="OK"/>
    <s v="OK"/>
    <s v="OK"/>
    <s v="MATCH"/>
    <x v="1"/>
    <n v="0"/>
    <x v="2"/>
  </r>
  <r>
    <s v="PROP00133"/>
    <s v="USAHoustonDodson Mills228"/>
    <s v="USA"/>
    <s v="Houston"/>
    <s v="Houston"/>
    <s v="USAHoustonDodson Mills228"/>
    <s v="80802"/>
    <s v="+47-191495881"/>
    <x v="1"/>
    <d v="2025-08-20T00:00:00"/>
    <s v="OK"/>
    <s v="OK"/>
    <s v="OK"/>
    <s v="MATCH"/>
    <x v="1"/>
    <n v="0"/>
    <x v="30"/>
  </r>
  <r>
    <s v="PROP00134"/>
    <s v="Canada, Ottawa"/>
    <s v="Canada"/>
    <s v="Ottawa"/>
    <s v="Ottawa"/>
    <s v="Ottawa"/>
    <s v="58947"/>
    <s v="+5-516397814"/>
    <x v="1"/>
    <d v="2025-09-29T00:00:00"/>
    <s v="OK"/>
    <s v="OK"/>
    <s v="OK"/>
    <s v="MATCH"/>
    <x v="1"/>
    <n v="0"/>
    <x v="19"/>
  </r>
  <r>
    <s v="PROP00135"/>
    <s v="Spain, Seville, Julia Mountains 298"/>
    <s v="Spain"/>
    <s v="Seville"/>
    <s v="Seville"/>
    <s v="Julia Mountains 298"/>
    <s v="59492"/>
    <s v="+14-942083879"/>
    <x v="0"/>
    <d v="2025-02-08T00:00:00"/>
    <s v="OK"/>
    <s v="OK"/>
    <s v="OK"/>
    <s v="MATCH"/>
    <x v="1"/>
    <n v="0"/>
    <x v="31"/>
  </r>
  <r>
    <s v="PROP00136"/>
    <s v="SpainMadridWalton Ville241"/>
    <s v="Spain"/>
    <s v="Madrid"/>
    <s v="Madrid"/>
    <s v="SpainMadridWalton Ville241"/>
    <s v="84080"/>
    <s v="+83-852326601"/>
    <x v="0"/>
    <d v="2024-03-25T00:00:00"/>
    <s v="OK"/>
    <s v="OK"/>
    <s v="OK"/>
    <s v="MATCH"/>
    <x v="1"/>
    <n v="0"/>
    <x v="32"/>
  </r>
  <r>
    <s v="PROP00137"/>
    <s v="Spain, Bilbao, Cannon Pike 266"/>
    <s v="Spain"/>
    <s v="Bilbao"/>
    <s v="Bilbao"/>
    <s v="Cannon Pike 266"/>
    <s v="64018"/>
    <s v="+73-366323179"/>
    <x v="0"/>
    <d v="2023-01-05T00:00:00"/>
    <s v="OK"/>
    <s v="OK"/>
    <s v="OK"/>
    <s v="MATCH"/>
    <x v="1"/>
    <n v="0"/>
    <x v="16"/>
  </r>
  <r>
    <s v="PROP00138"/>
    <s v="FranceLyon, France"/>
    <s v="France"/>
    <s v="Lyon"/>
    <s v="Lyon"/>
    <s v="France"/>
    <s v="94026"/>
    <s v="+68-508787981"/>
    <x v="0"/>
    <d v="2024-12-31T00:00:00"/>
    <s v="OK"/>
    <s v="OK"/>
    <s v="OK"/>
    <s v="MATCH"/>
    <x v="1"/>
    <n v="0"/>
    <x v="22"/>
  </r>
  <r>
    <s v="PROP00139"/>
    <s v="Young Isle 76, Naples"/>
    <s v="Italy"/>
    <s v="Naples"/>
    <s v="Naples"/>
    <s v="Young Isle 76"/>
    <s v="42405"/>
    <s v="+79-834932727"/>
    <x v="1"/>
    <d v="2023-10-23T00:00:00"/>
    <s v="OK"/>
    <s v="OK"/>
    <s v="OK"/>
    <s v="MATCH"/>
    <x v="1"/>
    <n v="0"/>
    <x v="13"/>
  </r>
  <r>
    <s v="PROP00140"/>
    <s v="Brazil, Salvador"/>
    <s v="Brazil"/>
    <s v="Salvador"/>
    <s v="Salvador"/>
    <s v="Salvador"/>
    <s v="50706"/>
    <s v="+67-482257059"/>
    <x v="0"/>
    <d v="2024-09-15T00:00:00"/>
    <s v="OK"/>
    <s v="OK"/>
    <s v="OK"/>
    <s v="MATCH"/>
    <x v="1"/>
    <n v="0"/>
    <x v="33"/>
  </r>
  <r>
    <s v="PROP00141"/>
    <s v="Jasmine Circles 123, Brazil, Rio de Janeiro"/>
    <s v="Brazil"/>
    <s v="Rio de Janeiro"/>
    <s v="Rio de Janeiro"/>
    <s v="Jasmine Circles 123"/>
    <s v="54878"/>
    <s v="+16-934525024"/>
    <x v="1"/>
    <d v="2023-11-21T00:00:00"/>
    <s v="OK"/>
    <s v="OK"/>
    <s v="OK"/>
    <s v="MATCH"/>
    <x v="1"/>
    <n v="0"/>
    <x v="1"/>
  </r>
  <r>
    <s v="PROP00142"/>
    <s v="AustraliaMelbourneRivera Mountain270"/>
    <s v="Australia"/>
    <s v="Melbourne"/>
    <s v="Melbourne"/>
    <s v="AustraliaMelbourneRivera Mountain270"/>
    <s v="54997"/>
    <s v="+17-645793987"/>
    <x v="1"/>
    <d v="2024-06-15T00:00:00"/>
    <s v="OK"/>
    <s v="OK"/>
    <s v="OK"/>
    <s v="MATCH"/>
    <x v="1"/>
    <n v="0"/>
    <x v="9"/>
  </r>
  <r>
    <s v="PROP00143"/>
    <s v="Jamie Manor 135, UK, Liverpool"/>
    <s v="UK"/>
    <s v="Liverpool"/>
    <s v="Liverpool"/>
    <s v="Jamie Manor 135"/>
    <s v="51550"/>
    <s v="+83-108169633"/>
    <x v="0"/>
    <d v="2024-01-13T00:00:00"/>
    <s v="OK"/>
    <s v="OK"/>
    <s v="OK"/>
    <s v="MATCH"/>
    <x v="1"/>
    <n v="0"/>
    <x v="34"/>
  </r>
  <r>
    <s v="PROP00144"/>
    <s v="USANew York, USA"/>
    <s v="USA"/>
    <s v="New York"/>
    <s v="New York"/>
    <s v="USA"/>
    <s v="75957"/>
    <s v="+37-200858169"/>
    <x v="0"/>
    <d v="2023-03-27T00:00:00"/>
    <s v="OK"/>
    <s v="OK"/>
    <s v="OK"/>
    <s v="MATCH"/>
    <x v="1"/>
    <n v="0"/>
    <x v="28"/>
  </r>
  <r>
    <s v="PROP00145"/>
    <s v="Woods Knoll 289, Manchester"/>
    <s v="UK"/>
    <s v="Manchester"/>
    <s v="Manchester"/>
    <s v="Woods Knoll 289"/>
    <s v="39640"/>
    <s v="+37-332793491"/>
    <x v="0"/>
    <d v="2025-10-05T00:00:00"/>
    <s v="OK"/>
    <s v="OK"/>
    <s v="OK"/>
    <s v="MATCH"/>
    <x v="1"/>
    <n v="0"/>
    <x v="8"/>
  </r>
  <r>
    <s v="PROP00146"/>
    <s v="Brazil, Fortaleza, Castaneda Village 261"/>
    <s v="Brazil"/>
    <s v="Fortaleza"/>
    <s v="Fortaleza"/>
    <s v="Castaneda Village 261"/>
    <s v="55422"/>
    <s v="+28-587754655"/>
    <x v="1"/>
    <d v="2024-07-12T00:00:00"/>
    <s v="OK"/>
    <s v="OK"/>
    <s v="OK"/>
    <s v="MATCH"/>
    <x v="1"/>
    <n v="0"/>
    <x v="0"/>
  </r>
  <r>
    <s v="PROP00147"/>
    <s v="Tracy Groves 81, Australia, Sydney"/>
    <s v="Australia"/>
    <s v="Sydney"/>
    <s v="Sydney"/>
    <s v="Tracy Groves 81"/>
    <s v="57626"/>
    <s v="+37-502213749"/>
    <x v="0"/>
    <d v="2024-05-02T00:00:00"/>
    <s v="OK"/>
    <s v="OK"/>
    <s v="OK"/>
    <s v="MATCH"/>
    <x v="1"/>
    <n v="0"/>
    <x v="12"/>
  </r>
  <r>
    <s v="PROP00148"/>
    <s v="JapanTokyoJohnson Junction110"/>
    <s v="Japan"/>
    <s v="Tokyo"/>
    <s v="Tokyo"/>
    <s v="JapanTokyoJohnson Junction110"/>
    <s v="88171"/>
    <s v="+33-581304057"/>
    <x v="1"/>
    <d v="2025-10-29T00:00:00"/>
    <s v="OK"/>
    <s v="OK"/>
    <s v="OK"/>
    <s v="MATCH"/>
    <x v="1"/>
    <n v="0"/>
    <x v="8"/>
  </r>
  <r>
    <s v="PROP00149"/>
    <s v="Ramsey Ville 254, Manchester"/>
    <s v="UK"/>
    <s v="Manchester"/>
    <s v="Manchester"/>
    <s v="Ramsey Ville 254"/>
    <s v="61762"/>
    <s v="+23-163122183"/>
    <x v="1"/>
    <d v="2023-09-19T00:00:00"/>
    <s v="OK"/>
    <s v="OK"/>
    <s v="OK"/>
    <s v="MATCH"/>
    <x v="1"/>
    <n v="0"/>
    <x v="21"/>
  </r>
  <r>
    <s v="PROP00150"/>
    <s v="FranceBordeaux, France"/>
    <s v="France"/>
    <s v="Bordeaux"/>
    <s v="Bordeaux"/>
    <s v="France"/>
    <s v="4035"/>
    <s v="+79-707354583"/>
    <x v="0"/>
    <d v="2024-03-24T00:00:00"/>
    <s v="OK"/>
    <s v="OK"/>
    <s v="OK"/>
    <s v="MATCH"/>
    <x v="1"/>
    <n v="0"/>
    <x v="32"/>
  </r>
  <r>
    <s v="PROP00151"/>
    <s v="UKLondon, UK"/>
    <s v="UK"/>
    <s v="London"/>
    <s v="London"/>
    <s v="UK"/>
    <s v="4053"/>
    <s v="+95-108286733"/>
    <x v="1"/>
    <d v="2023-10-23T00:00:00"/>
    <s v="OK"/>
    <s v="OK"/>
    <s v="OK"/>
    <s v="MATCH"/>
    <x v="1"/>
    <n v="0"/>
    <x v="13"/>
  </r>
  <r>
    <s v="PROP00152"/>
    <s v="AustraliaAdelaide, Australia"/>
    <s v="Australia"/>
    <s v="Adelaide"/>
    <s v="Adelaide"/>
    <s v="Australia"/>
    <s v="61016"/>
    <s v="+90-374333719"/>
    <x v="1"/>
    <d v="2025-05-08T00:00:00"/>
    <s v="OK"/>
    <s v="OK"/>
    <s v="OK"/>
    <s v="MATCH"/>
    <x v="1"/>
    <n v="0"/>
    <x v="27"/>
  </r>
  <r>
    <s v="PROP00153"/>
    <s v="Brent Light290, Sapporo, Japan"/>
    <s v="Japan"/>
    <s v="Sapporo"/>
    <s v="Sapporo"/>
    <s v="Brent Light290"/>
    <s v="43407"/>
    <s v="+10-754763110"/>
    <x v="0"/>
    <d v="2024-03-29T00:00:00"/>
    <s v="OK"/>
    <s v="OK"/>
    <s v="OK"/>
    <s v="MATCH"/>
    <x v="1"/>
    <n v="0"/>
    <x v="32"/>
  </r>
  <r>
    <s v="PROP00154"/>
    <s v="Canada, Montreal"/>
    <s v="Canada"/>
    <s v="Montreal"/>
    <s v="Montreal"/>
    <s v="Montreal"/>
    <s v="50193"/>
    <s v="+36-440407257"/>
    <x v="0"/>
    <d v="2025-03-29T00:00:00"/>
    <s v="OK"/>
    <s v="OK"/>
    <s v="OK"/>
    <s v="MATCH"/>
    <x v="1"/>
    <n v="0"/>
    <x v="15"/>
  </r>
  <r>
    <s v="PROP00155"/>
    <s v="Vancouver, Walton Village 45, Canada"/>
    <s v="Canada"/>
    <s v="Vancouver"/>
    <s v="Vancouver"/>
    <s v="Walton Village 45"/>
    <s v="55756"/>
    <s v="+5-827536535"/>
    <x v="1"/>
    <d v="2023-05-13T00:00:00"/>
    <s v="OK"/>
    <s v="OK"/>
    <s v="OK"/>
    <s v="MATCH"/>
    <x v="1"/>
    <n v="0"/>
    <x v="24"/>
  </r>
  <r>
    <s v="PROP00156"/>
    <s v="Conley Mountains 230, Canada, Vancouver"/>
    <s v="Canada"/>
    <s v="Vancouver"/>
    <s v="Vancouver"/>
    <s v="Conley Mountains 230"/>
    <s v="3041"/>
    <s v="+43-884502073"/>
    <x v="0"/>
    <d v="2024-02-27T00:00:00"/>
    <s v="OK"/>
    <s v="OK"/>
    <s v="OK"/>
    <s v="MATCH"/>
    <x v="1"/>
    <n v="0"/>
    <x v="10"/>
  </r>
  <r>
    <s v="PROP00157"/>
    <s v="GermanyFrankfurtZoe Keys48"/>
    <s v="Germany"/>
    <s v="Frankfurt"/>
    <s v="Frankfurt"/>
    <s v="GermanyFrankfurtZoe Keys48"/>
    <s v="29890"/>
    <s v="+47-300275203"/>
    <x v="1"/>
    <d v="2023-08-09T00:00:00"/>
    <s v="OK"/>
    <s v="OK"/>
    <s v="OK"/>
    <s v="MATCH"/>
    <x v="1"/>
    <n v="0"/>
    <x v="35"/>
  </r>
  <r>
    <s v="PROP00158"/>
    <s v="GermanyMunichKimberly Run59"/>
    <s v="Germany"/>
    <s v="Munich"/>
    <s v="Munich"/>
    <s v="GermanyMunichKimberly Run59"/>
    <s v="5777"/>
    <s v="+13-757468846"/>
    <x v="0"/>
    <d v="2024-01-18T00:00:00"/>
    <s v="OK"/>
    <s v="OK"/>
    <s v="OK"/>
    <s v="MATCH"/>
    <x v="1"/>
    <n v="0"/>
    <x v="34"/>
  </r>
  <r>
    <s v="PROP00159"/>
    <s v="Stefanie Flats 67, Paris"/>
    <s v="France"/>
    <s v="Paris"/>
    <s v="Paris"/>
    <s v="Stefanie Flats 67"/>
    <s v="3172"/>
    <s v="+55-574095858"/>
    <x v="1"/>
    <d v="2024-05-25T00:00:00"/>
    <s v="OK"/>
    <s v="OK"/>
    <s v="OK"/>
    <s v="MATCH"/>
    <x v="1"/>
    <n v="0"/>
    <x v="12"/>
  </r>
  <r>
    <s v="PROP00160"/>
    <s v="USA, Phoenix"/>
    <s v="USA"/>
    <s v="Phoenix"/>
    <s v="Phoenix"/>
    <s v="Phoenix"/>
    <s v="88248"/>
    <s v="+69-151093772"/>
    <x v="0"/>
    <d v="2024-05-01T00:00:00"/>
    <s v="OK"/>
    <s v="OK"/>
    <s v="OK"/>
    <s v="MATCH"/>
    <x v="1"/>
    <n v="0"/>
    <x v="12"/>
  </r>
  <r>
    <s v="PROP00161"/>
    <s v="JapanTokyo"/>
    <s v="Japan"/>
    <s v="Tokyo"/>
    <s v="Tokyo"/>
    <s v=""/>
    <s v="61453"/>
    <s v="+5-298206860"/>
    <x v="0"/>
    <d v="2023-09-02T00:00:00"/>
    <s v="MISSING"/>
    <s v="OK"/>
    <s v="OK"/>
    <s v="MATCH"/>
    <x v="0"/>
    <n v="1"/>
    <x v="21"/>
  </r>
  <r>
    <s v="PROP00162"/>
    <s v="Wang Expressway 245, Manchester"/>
    <s v="UK"/>
    <s v="Manchester"/>
    <s v="Manchester"/>
    <s v="Wang Expressway 245"/>
    <s v="79916"/>
    <s v="+91-113005321"/>
    <x v="1"/>
    <d v="2023-11-24T00:00:00"/>
    <s v="OK"/>
    <s v="OK"/>
    <s v="OK"/>
    <s v="MATCH"/>
    <x v="1"/>
    <n v="0"/>
    <x v="1"/>
  </r>
  <r>
    <s v="PROP00163"/>
    <s v="Valencia, Kimberly Estates 253, Spain"/>
    <s v="Spain"/>
    <s v="Valencia"/>
    <s v="Valencia"/>
    <s v="Kimberly Estates 253"/>
    <s v="41269"/>
    <s v="+8-707427867"/>
    <x v="1"/>
    <d v="2024-10-22T00:00:00"/>
    <s v="OK"/>
    <s v="OK"/>
    <s v="OK"/>
    <s v="MATCH"/>
    <x v="1"/>
    <n v="0"/>
    <x v="5"/>
  </r>
  <r>
    <s v="PROP00164"/>
    <s v="Japan, Osaka"/>
    <s v="Japan"/>
    <s v="Osaka"/>
    <s v="Osaka"/>
    <s v="Osaka"/>
    <s v="75971"/>
    <s v="+34-967616944"/>
    <x v="0"/>
    <d v="2024-01-08T00:00:00"/>
    <s v="OK"/>
    <s v="OK"/>
    <s v="OK"/>
    <s v="MATCH"/>
    <x v="1"/>
    <n v="0"/>
    <x v="34"/>
  </r>
  <r>
    <s v="PROP00165"/>
    <s v="Sanders Stravenue 68, Milan"/>
    <s v="Italy"/>
    <s v="Milan"/>
    <s v="Milan"/>
    <s v="Sanders Stravenue 68"/>
    <s v="26496"/>
    <s v="+61-194615280"/>
    <x v="0"/>
    <d v="2025-06-09T00:00:00"/>
    <s v="OK"/>
    <s v="OK"/>
    <s v="OK"/>
    <s v="MATCH"/>
    <x v="1"/>
    <n v="0"/>
    <x v="11"/>
  </r>
  <r>
    <s v="PROP00166"/>
    <s v="CanadaVancouver"/>
    <s v="Canada"/>
    <s v="Vancouver"/>
    <s v="Vancouver"/>
    <s v=""/>
    <s v="82714"/>
    <s v="+19-180045678"/>
    <x v="0"/>
    <d v="2023-12-26T00:00:00"/>
    <s v="MISSING"/>
    <s v="OK"/>
    <s v="OK"/>
    <s v="MATCH"/>
    <x v="0"/>
    <n v="1"/>
    <x v="25"/>
  </r>
  <r>
    <s v="PROP00167"/>
    <s v="ItalyMilan"/>
    <s v="Italy"/>
    <s v="Milan"/>
    <s v="Milan"/>
    <s v=""/>
    <s v="40030"/>
    <s v="+95-885665642"/>
    <x v="1"/>
    <d v="2023-07-17T00:00:00"/>
    <s v="MISSING"/>
    <s v="OK"/>
    <s v="OK"/>
    <s v="MATCH"/>
    <x v="0"/>
    <n v="1"/>
    <x v="20"/>
  </r>
  <r>
    <s v="PROP00168"/>
    <s v="BerlinLaura Port45, Germany"/>
    <s v="Germany"/>
    <s v="Berlin"/>
    <s v="Berlin"/>
    <s v="BerlinLaura Port45"/>
    <s v="5884"/>
    <s v="+54-199128355"/>
    <x v="1"/>
    <d v="2025-06-14T00:00:00"/>
    <s v="OK"/>
    <s v="OK"/>
    <s v="OK"/>
    <s v="MATCH"/>
    <x v="1"/>
    <n v="0"/>
    <x v="11"/>
  </r>
  <r>
    <s v="PROP00169"/>
    <s v="Canada, Calgary, Patel Shore 168"/>
    <s v="Canada"/>
    <s v="Calgary"/>
    <s v="Calgary"/>
    <s v="Patel Shore 168"/>
    <s v="49072"/>
    <s v="+66-969287118"/>
    <x v="0"/>
    <d v="2024-07-29T00:00:00"/>
    <s v="OK"/>
    <s v="OK"/>
    <s v="OK"/>
    <s v="MATCH"/>
    <x v="1"/>
    <n v="0"/>
    <x v="0"/>
  </r>
  <r>
    <s v="PROP00170"/>
    <s v="Australia, Adelaide, William Junctions 150"/>
    <s v="Australia"/>
    <s v="Adelaide"/>
    <s v="Adelaide"/>
    <s v="William Junctions 150"/>
    <s v="2159"/>
    <s v="+99-643719850"/>
    <x v="1"/>
    <d v="2025-03-23T00:00:00"/>
    <s v="OK"/>
    <s v="OK"/>
    <s v="OK"/>
    <s v="MATCH"/>
    <x v="1"/>
    <n v="0"/>
    <x v="15"/>
  </r>
  <r>
    <s v="PROP00171"/>
    <s v="Short Coves178, Birmingham, UK"/>
    <s v="UK"/>
    <s v="Birmingham"/>
    <s v="Birmingham"/>
    <s v="Short Coves178"/>
    <s v="57323"/>
    <s v="+1-345382503"/>
    <x v="0"/>
    <d v="2023-07-13T00:00:00"/>
    <s v="OK"/>
    <s v="OK"/>
    <s v="OK"/>
    <s v="MATCH"/>
    <x v="1"/>
    <n v="0"/>
    <x v="20"/>
  </r>
  <r>
    <s v="PROP00172"/>
    <s v="Canada, Montreal"/>
    <s v="Canada"/>
    <s v="Montreal"/>
    <s v="Montreal"/>
    <s v="Montreal"/>
    <s v="60759"/>
    <s v="+4-820520242"/>
    <x v="1"/>
    <d v="2025-05-15T00:00:00"/>
    <s v="OK"/>
    <s v="OK"/>
    <s v="OK"/>
    <s v="MATCH"/>
    <x v="1"/>
    <n v="0"/>
    <x v="27"/>
  </r>
  <r>
    <s v="PROP00173"/>
    <s v="UK, Liverpool"/>
    <s v="UK"/>
    <s v="Liverpool"/>
    <s v="Liverpool"/>
    <s v="Liverpool"/>
    <s v="68887"/>
    <s v="+31-644502432"/>
    <x v="0"/>
    <d v="2025-01-24T00:00:00"/>
    <s v="OK"/>
    <s v="OK"/>
    <s v="OK"/>
    <s v="MATCH"/>
    <x v="1"/>
    <n v="0"/>
    <x v="17"/>
  </r>
  <r>
    <s v="PROP00174"/>
    <s v="Australia, Perth, Gilbert Plain 107"/>
    <s v="Australia"/>
    <s v="Perth"/>
    <s v="Perth"/>
    <s v="Gilbert Plain 107"/>
    <s v="63873"/>
    <s v="+81-936361720"/>
    <x v="1"/>
    <d v="2024-02-07T00:00:00"/>
    <s v="OK"/>
    <s v="OK"/>
    <s v="OK"/>
    <s v="MATCH"/>
    <x v="1"/>
    <n v="0"/>
    <x v="10"/>
  </r>
  <r>
    <s v="PROP00175"/>
    <s v="Cologne, Graham Street 185, Germany"/>
    <s v="Germany"/>
    <s v="Cologne"/>
    <s v="Cologne"/>
    <s v="Graham Street 185"/>
    <s v="78157"/>
    <s v="+95-450424454"/>
    <x v="1"/>
    <d v="2024-07-04T00:00:00"/>
    <s v="OK"/>
    <s v="OK"/>
    <s v="OK"/>
    <s v="MATCH"/>
    <x v="1"/>
    <n v="0"/>
    <x v="0"/>
  </r>
  <r>
    <s v="PROP00176"/>
    <s v="USALos Angeles"/>
    <s v="USA"/>
    <s v="Los Angeles"/>
    <s v="Los Angeles"/>
    <s v=""/>
    <s v="11860"/>
    <s v="+49-167302363"/>
    <x v="0"/>
    <d v="2023-08-05T00:00:00"/>
    <s v="MISSING"/>
    <s v="OK"/>
    <s v="OK"/>
    <s v="MATCH"/>
    <x v="0"/>
    <n v="1"/>
    <x v="35"/>
  </r>
  <r>
    <s v="PROP00177"/>
    <s v="Germany, Munich"/>
    <s v="Germany"/>
    <s v="Munich"/>
    <s v="Munich"/>
    <s v="Munich"/>
    <s v="98867"/>
    <s v="+92-610541957"/>
    <x v="1"/>
    <d v="2023-10-05T00:00:00"/>
    <s v="OK"/>
    <s v="OK"/>
    <s v="OK"/>
    <s v="MATCH"/>
    <x v="1"/>
    <n v="0"/>
    <x v="13"/>
  </r>
  <r>
    <s v="PROP00178"/>
    <s v="GermanyHamburg"/>
    <s v="Germany"/>
    <s v="Hamburg"/>
    <s v="Hamburg"/>
    <s v=""/>
    <s v="50175"/>
    <s v="+86-831939515"/>
    <x v="1"/>
    <d v="2023-06-20T00:00:00"/>
    <s v="MISSING"/>
    <s v="OK"/>
    <s v="OK"/>
    <s v="MATCH"/>
    <x v="0"/>
    <n v="1"/>
    <x v="4"/>
  </r>
  <r>
    <s v="PROP00179"/>
    <s v="France, Bordeaux, Johnson Vista 118"/>
    <s v="France"/>
    <s v="Bordeaux"/>
    <s v="Bordeaux"/>
    <s v="Johnson Vista 118"/>
    <s v="43101"/>
    <s v="+17-728970616"/>
    <x v="0"/>
    <d v="2022-12-10T00:00:00"/>
    <s v="OK"/>
    <s v="OK"/>
    <s v="OK"/>
    <s v="MATCH"/>
    <x v="1"/>
    <n v="0"/>
    <x v="7"/>
  </r>
  <r>
    <s v="PROP00180"/>
    <s v="JapanKyoto, Japan"/>
    <s v="Japan"/>
    <s v="Kyoto"/>
    <s v="Kyoto"/>
    <s v="Japan"/>
    <s v="34363"/>
    <s v="+18-263433455"/>
    <x v="1"/>
    <d v="2024-08-15T00:00:00"/>
    <s v="OK"/>
    <s v="OK"/>
    <s v="OK"/>
    <s v="MATCH"/>
    <x v="1"/>
    <n v="0"/>
    <x v="29"/>
  </r>
  <r>
    <s v="PROP00181"/>
    <s v="SpainMadridRamirez Ranch192"/>
    <s v="Spain"/>
    <s v="Madrid"/>
    <s v="Madrid"/>
    <s v="SpainMadridRamirez Ranch192"/>
    <s v="92406"/>
    <s v="+18-241015632"/>
    <x v="1"/>
    <d v="2022-12-20T00:00:00"/>
    <s v="OK"/>
    <s v="OK"/>
    <s v="OK"/>
    <s v="MATCH"/>
    <x v="1"/>
    <n v="0"/>
    <x v="7"/>
  </r>
  <r>
    <s v="PROP00182"/>
    <s v="Japan, Osaka"/>
    <s v="Japan"/>
    <s v="Osaka"/>
    <s v="Osaka"/>
    <s v="Osaka"/>
    <s v="25543"/>
    <s v="+31-196850352"/>
    <x v="0"/>
    <d v="2024-09-29T00:00:00"/>
    <s v="OK"/>
    <s v="OK"/>
    <s v="OK"/>
    <s v="MATCH"/>
    <x v="1"/>
    <n v="0"/>
    <x v="33"/>
  </r>
  <r>
    <s v="PROP00183"/>
    <s v="John Lodge 110, Vancouver"/>
    <s v="Canada"/>
    <s v="Vancouver"/>
    <s v="Vancouver"/>
    <s v="John Lodge 110"/>
    <s v="64539"/>
    <s v="+89-589979888"/>
    <x v="1"/>
    <d v="2025-09-19T00:00:00"/>
    <s v="OK"/>
    <s v="OK"/>
    <s v="OK"/>
    <s v="MATCH"/>
    <x v="1"/>
    <n v="0"/>
    <x v="19"/>
  </r>
  <r>
    <s v="PROP00184"/>
    <s v="Hannah Rue110, Birmingham, UK"/>
    <s v="UK"/>
    <s v="Birmingham"/>
    <s v="Birmingham"/>
    <s v="Hannah Rue110"/>
    <s v="93803"/>
    <s v="+3-365822217"/>
    <x v="1"/>
    <d v="2024-12-17T00:00:00"/>
    <s v="OK"/>
    <s v="OK"/>
    <s v="OK"/>
    <s v="MATCH"/>
    <x v="1"/>
    <n v="0"/>
    <x v="22"/>
  </r>
  <r>
    <s v="PROP00185"/>
    <s v="SpainBarcelona, Spain"/>
    <s v="Spain"/>
    <s v="Barcelona"/>
    <s v="Barcelona"/>
    <s v="Spain"/>
    <s v="12697"/>
    <s v="+57-430667492"/>
    <x v="1"/>
    <d v="2025-08-17T00:00:00"/>
    <s v="OK"/>
    <s v="OK"/>
    <s v="OK"/>
    <s v="MATCH"/>
    <x v="1"/>
    <n v="0"/>
    <x v="30"/>
  </r>
  <r>
    <s v="PROP00186"/>
    <s v="Canada, Montreal, Walker Square 151"/>
    <s v="Canada"/>
    <s v="Montreal"/>
    <s v="Montreal"/>
    <s v="Walker Square 151"/>
    <s v="32391"/>
    <s v="+38-343085791"/>
    <x v="0"/>
    <d v="2025-06-19T00:00:00"/>
    <s v="OK"/>
    <s v="OK"/>
    <s v="OK"/>
    <s v="MATCH"/>
    <x v="1"/>
    <n v="0"/>
    <x v="11"/>
  </r>
  <r>
    <s v="PROP00187"/>
    <s v="USA, Phoenix"/>
    <s v="USA"/>
    <s v="Phoenix"/>
    <s v="Phoenix"/>
    <s v="Phoenix"/>
    <s v="62532"/>
    <s v="+95-831665040"/>
    <x v="0"/>
    <d v="2024-08-20T00:00:00"/>
    <s v="OK"/>
    <s v="OK"/>
    <s v="OK"/>
    <s v="MATCH"/>
    <x v="1"/>
    <n v="0"/>
    <x v="29"/>
  </r>
  <r>
    <s v="PROP00188"/>
    <s v="CanadaMontrealColeman Summit191"/>
    <s v="Canada"/>
    <s v="Montreal"/>
    <s v="Montreal"/>
    <s v="CanadaMontrealColeman Summit191"/>
    <s v="72641"/>
    <s v="+87-952931366"/>
    <x v="1"/>
    <d v="2024-07-12T00:00:00"/>
    <s v="OK"/>
    <s v="OK"/>
    <s v="OK"/>
    <s v="MATCH"/>
    <x v="1"/>
    <n v="0"/>
    <x v="0"/>
  </r>
  <r>
    <s v="PROP00189"/>
    <s v="Bell Motorway300, Fortaleza, Brazil"/>
    <s v="Brazil"/>
    <s v="Fortaleza"/>
    <s v="Fortaleza"/>
    <s v="Bell Motorway300"/>
    <s v="36010"/>
    <s v="+51-768033605"/>
    <x v="1"/>
    <d v="2023-09-25T00:00:00"/>
    <s v="OK"/>
    <s v="OK"/>
    <s v="OK"/>
    <s v="MATCH"/>
    <x v="1"/>
    <n v="0"/>
    <x v="21"/>
  </r>
  <r>
    <s v="PROP00190"/>
    <s v="SpainMadrid"/>
    <s v="Spain"/>
    <s v="Madrid"/>
    <s v="Madrid"/>
    <s v=""/>
    <s v="95041"/>
    <s v="+78-983917789"/>
    <x v="1"/>
    <d v="2025-09-19T00:00:00"/>
    <s v="MISSING"/>
    <s v="OK"/>
    <s v="OK"/>
    <s v="MATCH"/>
    <x v="0"/>
    <n v="1"/>
    <x v="19"/>
  </r>
  <r>
    <s v="PROP00191"/>
    <s v="Leslie Summit 92, Germany, Frankfurt"/>
    <s v="Germany"/>
    <s v="Frankfurt"/>
    <s v="Frankfurt"/>
    <s v="Leslie Summit 92"/>
    <s v="70737"/>
    <s v="+75-307546814"/>
    <x v="1"/>
    <d v="2025-09-11T00:00:00"/>
    <s v="OK"/>
    <s v="OK"/>
    <s v="OK"/>
    <s v="MATCH"/>
    <x v="1"/>
    <n v="0"/>
    <x v="19"/>
  </r>
  <r>
    <s v="PROP00192"/>
    <s v="James Streets 111, USA, Chicago"/>
    <s v="USA"/>
    <s v="Chicago"/>
    <s v="Chicago"/>
    <s v="James Streets 111"/>
    <s v="63965"/>
    <s v="+11-333534504"/>
    <x v="0"/>
    <d v="2025-05-04T00:00:00"/>
    <s v="OK"/>
    <s v="OK"/>
    <s v="OK"/>
    <s v="MATCH"/>
    <x v="1"/>
    <n v="0"/>
    <x v="27"/>
  </r>
  <r>
    <s v="PROP00193"/>
    <s v="Liverpool, Hardy Trace 182, UK"/>
    <s v="UK"/>
    <s v="Liverpool"/>
    <s v="Liverpool"/>
    <s v="Hardy Trace 182"/>
    <s v="69266"/>
    <s v="+30-508591017"/>
    <x v="1"/>
    <d v="2024-11-13T00:00:00"/>
    <s v="OK"/>
    <s v="OK"/>
    <s v="OK"/>
    <s v="MATCH"/>
    <x v="1"/>
    <n v="0"/>
    <x v="36"/>
  </r>
  <r>
    <s v="PROP00194"/>
    <s v="USAChicago"/>
    <s v="USA"/>
    <s v="Chicago"/>
    <s v="Chicago"/>
    <s v=""/>
    <s v="25944"/>
    <s v="+10-315980498"/>
    <x v="1"/>
    <d v="2024-04-29T00:00:00"/>
    <s v="MISSING"/>
    <s v="OK"/>
    <s v="OK"/>
    <s v="MATCH"/>
    <x v="0"/>
    <n v="1"/>
    <x v="2"/>
  </r>
  <r>
    <s v="PROP00195"/>
    <s v="Perez Fall 169, Sapporo"/>
    <s v="Japan"/>
    <s v="Sapporo"/>
    <s v="Sapporo"/>
    <s v="Perez Fall 169"/>
    <s v="40119"/>
    <s v="+54-402449788"/>
    <x v="1"/>
    <d v="2023-04-12T00:00:00"/>
    <s v="OK"/>
    <s v="OK"/>
    <s v="OK"/>
    <s v="MATCH"/>
    <x v="1"/>
    <n v="0"/>
    <x v="23"/>
  </r>
  <r>
    <s v="PROP00196"/>
    <s v="GermanyHamburg, Germany"/>
    <s v="Germany"/>
    <s v="Hamburg"/>
    <s v="Hamburg"/>
    <s v="Germany"/>
    <s v="36455"/>
    <s v="+41-770111148"/>
    <x v="0"/>
    <d v="2024-06-29T00:00:00"/>
    <s v="OK"/>
    <s v="OK"/>
    <s v="OK"/>
    <s v="MATCH"/>
    <x v="1"/>
    <n v="0"/>
    <x v="9"/>
  </r>
  <r>
    <s v="PROP00197"/>
    <s v="MadridTerri Plaza90, Spain"/>
    <s v="Spain"/>
    <s v="Madrid"/>
    <s v="Madrid"/>
    <s v="MadridTerri Plaza90"/>
    <s v="38791"/>
    <s v="+93-742367161"/>
    <x v="1"/>
    <d v="2025-03-04T00:00:00"/>
    <s v="OK"/>
    <s v="OK"/>
    <s v="OK"/>
    <s v="MATCH"/>
    <x v="1"/>
    <n v="0"/>
    <x v="15"/>
  </r>
  <r>
    <s v="PROP00198"/>
    <s v="Dana Terrace 273, Brazil, São Paulo"/>
    <s v="Brazil"/>
    <s v="São Paulo"/>
    <s v="São Paulo"/>
    <s v="Dana Terrace 273"/>
    <s v="64841"/>
    <s v="+63-155696492"/>
    <x v="0"/>
    <d v="2023-03-24T00:00:00"/>
    <s v="OK"/>
    <s v="OK"/>
    <s v="OK"/>
    <s v="MATCH"/>
    <x v="1"/>
    <n v="0"/>
    <x v="28"/>
  </r>
  <r>
    <s v="PROP00199"/>
    <s v="Germany, Frankfurt, Monique Ports 111"/>
    <s v="Germany"/>
    <s v="Frankfurt"/>
    <s v="Frankfurt"/>
    <s v="Monique Ports 111"/>
    <s v="37769"/>
    <s v="+61-923091053"/>
    <x v="1"/>
    <d v="2023-11-29T00:00:00"/>
    <s v="OK"/>
    <s v="OK"/>
    <s v="OK"/>
    <s v="MATCH"/>
    <x v="1"/>
    <n v="0"/>
    <x v="1"/>
  </r>
  <r>
    <s v="PROP00200"/>
    <s v="Mendoza Junctions 69, Brazil, Brasília"/>
    <s v="Brazil"/>
    <s v="Brasília"/>
    <s v="Brasília"/>
    <s v="Mendoza Junctions 69"/>
    <s v="24665"/>
    <s v="+4-194222250"/>
    <x v="1"/>
    <d v="2025-09-12T00:00:00"/>
    <s v="OK"/>
    <s v="OK"/>
    <s v="OK"/>
    <s v="MATCH"/>
    <x v="1"/>
    <n v="0"/>
    <x v="19"/>
  </r>
  <r>
    <s v="PROP00201"/>
    <s v="Johnny Wall 185, Bilbao"/>
    <s v="Spain"/>
    <s v="Bilbao"/>
    <s v="Bilbao"/>
    <s v="Johnny Wall 185"/>
    <s v="63117"/>
    <s v="+74-951657689"/>
    <x v="0"/>
    <d v="2023-10-22T00:00:00"/>
    <s v="OK"/>
    <s v="OK"/>
    <s v="OK"/>
    <s v="MATCH"/>
    <x v="1"/>
    <n v="0"/>
    <x v="13"/>
  </r>
  <r>
    <s v="PROP00202"/>
    <s v="Fortaleza, Lynn Locks 218, Brazil"/>
    <s v="Brazil"/>
    <s v="Fortaleza"/>
    <s v="Fortaleza"/>
    <s v="Lynn Locks 218"/>
    <s v="64955"/>
    <s v="+89-684573706"/>
    <x v="0"/>
    <d v="2024-05-04T00:00:00"/>
    <s v="OK"/>
    <s v="OK"/>
    <s v="OK"/>
    <s v="MATCH"/>
    <x v="1"/>
    <n v="0"/>
    <x v="12"/>
  </r>
  <r>
    <s v="PROP00203"/>
    <s v="Brazil, Salvador"/>
    <s v="Brazil"/>
    <s v="Salvador"/>
    <s v="Salvador"/>
    <s v="Salvador"/>
    <s v="7527"/>
    <s v="+61-956453505"/>
    <x v="1"/>
    <d v="2024-07-27T00:00:00"/>
    <s v="OK"/>
    <s v="OK"/>
    <s v="OK"/>
    <s v="MATCH"/>
    <x v="1"/>
    <n v="0"/>
    <x v="0"/>
  </r>
  <r>
    <s v="PROP00204"/>
    <s v="Edward Port216, Tokyo, Japan"/>
    <s v="Japan"/>
    <s v="Tokyo"/>
    <s v="Tokyo"/>
    <s v="Edward Port216"/>
    <s v="40325"/>
    <s v="+99-521068019"/>
    <x v="0"/>
    <d v="2023-11-03T00:00:00"/>
    <s v="OK"/>
    <s v="OK"/>
    <s v="OK"/>
    <s v="MATCH"/>
    <x v="1"/>
    <n v="0"/>
    <x v="1"/>
  </r>
  <r>
    <s v="PROP00205"/>
    <s v="AustraliaSydney"/>
    <s v="Australia"/>
    <s v="Sydney"/>
    <s v="Sydney"/>
    <s v=""/>
    <s v="73648"/>
    <s v="+87-951010049"/>
    <x v="1"/>
    <d v="2022-11-29T00:00:00"/>
    <s v="MISSING"/>
    <s v="OK"/>
    <s v="OK"/>
    <s v="MATCH"/>
    <x v="0"/>
    <n v="1"/>
    <x v="26"/>
  </r>
  <r>
    <s v="PROP00206"/>
    <s v="Obrien Turnpike 263, Fortaleza"/>
    <s v="Brazil"/>
    <s v="Fortaleza"/>
    <s v="Fortaleza"/>
    <s v="Obrien Turnpike 263"/>
    <s v="81558"/>
    <s v="+17-859357224"/>
    <x v="0"/>
    <d v="2025-03-19T00:00:00"/>
    <s v="OK"/>
    <s v="OK"/>
    <s v="OK"/>
    <s v="MATCH"/>
    <x v="1"/>
    <n v="0"/>
    <x v="15"/>
  </r>
  <r>
    <s v="PROP00207"/>
    <s v="FlorenceKimberly Light13, Italy"/>
    <s v="Italy"/>
    <s v="Florence"/>
    <s v="Florence"/>
    <s v="FlorenceKimberly Light13"/>
    <s v="59550"/>
    <s v="+86-477559104"/>
    <x v="0"/>
    <d v="2023-06-17T00:00:00"/>
    <s v="OK"/>
    <s v="OK"/>
    <s v="OK"/>
    <s v="MATCH"/>
    <x v="1"/>
    <n v="0"/>
    <x v="4"/>
  </r>
  <r>
    <s v="PROP00208"/>
    <s v="Evans Radial 7, USA, Phoenix"/>
    <s v="USA"/>
    <s v="Phoenix"/>
    <s v="Phoenix"/>
    <s v="Evans Radial 7"/>
    <s v="56708"/>
    <s v="+66-200467411"/>
    <x v="0"/>
    <d v="2023-05-04T00:00:00"/>
    <s v="OK"/>
    <s v="OK"/>
    <s v="OK"/>
    <s v="MATCH"/>
    <x v="1"/>
    <n v="0"/>
    <x v="24"/>
  </r>
  <r>
    <s v="PROP00209"/>
    <s v="Germany, Frankfurt"/>
    <s v="Germany"/>
    <s v="Frankfurt"/>
    <s v="Frankfurt"/>
    <s v="Frankfurt"/>
    <s v="80406"/>
    <s v="+73-912953831"/>
    <x v="0"/>
    <d v="2025-07-19T00:00:00"/>
    <s v="OK"/>
    <s v="OK"/>
    <s v="OK"/>
    <s v="MATCH"/>
    <x v="1"/>
    <n v="0"/>
    <x v="18"/>
  </r>
  <r>
    <s v="PROP00210"/>
    <s v="SpainValencia, Spain"/>
    <s v="Spain"/>
    <s v="Valencia"/>
    <s v="Valencia"/>
    <s v="Spain"/>
    <s v="82488"/>
    <s v="+65-108268231"/>
    <x v="1"/>
    <d v="2025-01-08T00:00:00"/>
    <s v="OK"/>
    <s v="OK"/>
    <s v="OK"/>
    <s v="MATCH"/>
    <x v="1"/>
    <n v="0"/>
    <x v="17"/>
  </r>
  <r>
    <s v="PROP00211"/>
    <s v="Joseph Common 145, Canada, Vancouver"/>
    <s v="Canada"/>
    <s v="Vancouver"/>
    <s v="Vancouver"/>
    <s v="Joseph Common 145"/>
    <s v="21086"/>
    <s v="+41-510863778"/>
    <x v="1"/>
    <d v="2023-11-02T00:00:00"/>
    <s v="OK"/>
    <s v="OK"/>
    <s v="OK"/>
    <s v="MATCH"/>
    <x v="1"/>
    <n v="0"/>
    <x v="1"/>
  </r>
  <r>
    <s v="PROP00212"/>
    <s v="MontrealGlenn Club126, Canada"/>
    <s v="Canada"/>
    <s v="Montreal"/>
    <s v="Montreal"/>
    <s v="MontrealGlenn Club126"/>
    <s v="21018"/>
    <s v="+86-561507606"/>
    <x v="0"/>
    <d v="2025-04-04T00:00:00"/>
    <s v="OK"/>
    <s v="OK"/>
    <s v="OK"/>
    <s v="MATCH"/>
    <x v="1"/>
    <n v="0"/>
    <x v="6"/>
  </r>
  <r>
    <s v="PROP00213"/>
    <s v="JapanTokyo"/>
    <s v="Japan"/>
    <s v="Tokyo"/>
    <s v="Tokyo"/>
    <s v=""/>
    <s v="78333"/>
    <s v="+26-527996574"/>
    <x v="1"/>
    <d v="2023-06-06T00:00:00"/>
    <s v="MISSING"/>
    <s v="OK"/>
    <s v="OK"/>
    <s v="MATCH"/>
    <x v="0"/>
    <n v="1"/>
    <x v="4"/>
  </r>
  <r>
    <s v="PROP00214"/>
    <s v="Australia, Perth, Carter Fort 199"/>
    <s v="Australia"/>
    <s v="Perth"/>
    <s v="Perth"/>
    <s v="Carter Fort 199"/>
    <s v="38263"/>
    <s v="+70-505094546"/>
    <x v="1"/>
    <d v="2025-03-03T00:00:00"/>
    <s v="OK"/>
    <s v="OK"/>
    <s v="OK"/>
    <s v="MATCH"/>
    <x v="1"/>
    <n v="0"/>
    <x v="15"/>
  </r>
  <r>
    <s v="PROP00215"/>
    <s v="Brisbane, Warner Motorway 276, Australia"/>
    <s v="Australia"/>
    <s v="Brisbane"/>
    <s v="Brisbane"/>
    <s v="Warner Motorway 276"/>
    <s v="9830"/>
    <s v="+33-264928001"/>
    <x v="0"/>
    <d v="2023-06-14T00:00:00"/>
    <s v="OK"/>
    <s v="OK"/>
    <s v="OK"/>
    <s v="MATCH"/>
    <x v="1"/>
    <n v="0"/>
    <x v="4"/>
  </r>
  <r>
    <s v="PROP00216"/>
    <s v="ParisSandra Turnpike160, France"/>
    <s v="France"/>
    <s v="Paris"/>
    <s v="Paris"/>
    <s v="ParisSandra Turnpike160"/>
    <s v="82428"/>
    <s v="+76-620930226"/>
    <x v="1"/>
    <d v="2024-05-27T00:00:00"/>
    <s v="OK"/>
    <s v="OK"/>
    <s v="OK"/>
    <s v="MATCH"/>
    <x v="1"/>
    <n v="0"/>
    <x v="12"/>
  </r>
  <r>
    <s v="PROP00217"/>
    <s v="Ronald Plains220, Paris, France"/>
    <s v="France"/>
    <s v="Paris"/>
    <s v="Paris"/>
    <s v="Ronald Plains220"/>
    <s v="29967"/>
    <s v="+80-939490180"/>
    <x v="1"/>
    <d v="2023-12-16T00:00:00"/>
    <s v="OK"/>
    <s v="OK"/>
    <s v="OK"/>
    <s v="MATCH"/>
    <x v="1"/>
    <n v="0"/>
    <x v="25"/>
  </r>
  <r>
    <s v="PROP00218"/>
    <s v="GermanyHamburg"/>
    <s v="Germany"/>
    <s v="Hamburg"/>
    <s v="Hamburg"/>
    <s v=""/>
    <s v="19144"/>
    <s v="+12-344009477"/>
    <x v="1"/>
    <d v="2023-10-04T00:00:00"/>
    <s v="MISSING"/>
    <s v="OK"/>
    <s v="OK"/>
    <s v="MATCH"/>
    <x v="0"/>
    <n v="1"/>
    <x v="13"/>
  </r>
  <r>
    <s v="PROP00219"/>
    <s v="Brian Turnpike 92, Madrid"/>
    <s v="Spain"/>
    <s v="Madrid"/>
    <s v="Madrid"/>
    <s v="Brian Turnpike 92"/>
    <s v="40820"/>
    <s v="+26-583535715"/>
    <x v="1"/>
    <d v="2023-03-16T00:00:00"/>
    <s v="OK"/>
    <s v="OK"/>
    <s v="OK"/>
    <s v="MATCH"/>
    <x v="1"/>
    <n v="0"/>
    <x v="28"/>
  </r>
  <r>
    <s v="PROP00220"/>
    <s v="PhoenixGonzales Mountain163, USA"/>
    <s v="USA"/>
    <s v="Phoenix"/>
    <s v="Phoenix"/>
    <s v="PhoenixGonzales Mountain163"/>
    <s v="90767"/>
    <s v="+1-683819190"/>
    <x v="0"/>
    <d v="2025-09-21T00:00:00"/>
    <s v="OK"/>
    <s v="OK"/>
    <s v="OK"/>
    <s v="MATCH"/>
    <x v="1"/>
    <n v="0"/>
    <x v="19"/>
  </r>
  <r>
    <s v="PROP00221"/>
    <s v="BirminghamLyons Groves42, UK"/>
    <s v="UK"/>
    <s v="Birmingham"/>
    <s v="Birmingham"/>
    <s v="BirminghamLyons Groves42"/>
    <s v="66098"/>
    <s v="+83-219270063"/>
    <x v="1"/>
    <d v="2025-06-29T00:00:00"/>
    <s v="OK"/>
    <s v="OK"/>
    <s v="OK"/>
    <s v="MATCH"/>
    <x v="1"/>
    <n v="0"/>
    <x v="11"/>
  </r>
  <r>
    <s v="PROP00222"/>
    <s v="FranceParis, France"/>
    <s v="France"/>
    <s v="Paris"/>
    <s v="Paris"/>
    <s v="France"/>
    <s v="5725"/>
    <s v="+4-164777008"/>
    <x v="1"/>
    <d v="2025-08-21T00:00:00"/>
    <s v="OK"/>
    <s v="OK"/>
    <s v="OK"/>
    <s v="MATCH"/>
    <x v="1"/>
    <n v="0"/>
    <x v="30"/>
  </r>
  <r>
    <s v="PROP00223"/>
    <s v="ItalyTurin"/>
    <s v="Italy"/>
    <s v="Turin"/>
    <s v="Turin"/>
    <s v=""/>
    <s v="33317"/>
    <s v="+37-302878401"/>
    <x v="0"/>
    <d v="2023-12-29T00:00:00"/>
    <s v="MISSING"/>
    <s v="OK"/>
    <s v="OK"/>
    <s v="MATCH"/>
    <x v="0"/>
    <n v="1"/>
    <x v="25"/>
  </r>
  <r>
    <s v="PROP00224"/>
    <s v="BrazilSão Paulo"/>
    <s v="Brazil"/>
    <s v="São Paulo"/>
    <s v="São Paulo"/>
    <s v=""/>
    <s v="75893"/>
    <s v="+32-610414625"/>
    <x v="1"/>
    <d v="2025-06-21T00:00:00"/>
    <s v="MISSING"/>
    <s v="OK"/>
    <s v="OK"/>
    <s v="MATCH"/>
    <x v="0"/>
    <n v="1"/>
    <x v="11"/>
  </r>
  <r>
    <s v="PROP00225"/>
    <s v="FranceLyon"/>
    <s v="France"/>
    <s v="Lyon"/>
    <s v="Lyon"/>
    <s v=""/>
    <s v="35826"/>
    <s v="+3-961237551"/>
    <x v="0"/>
    <d v="2025-02-28T00:00:00"/>
    <s v="MISSING"/>
    <s v="OK"/>
    <s v="OK"/>
    <s v="MATCH"/>
    <x v="0"/>
    <n v="1"/>
    <x v="31"/>
  </r>
  <r>
    <s v="PROP00226"/>
    <s v="CanadaMontrealKathryn Extensions12"/>
    <s v="Canada"/>
    <s v="Montreal"/>
    <s v="Montreal"/>
    <s v="CanadaMontrealKathryn Extensions12"/>
    <s v="62170"/>
    <s v="+62-839688302"/>
    <x v="1"/>
    <d v="2024-09-12T00:00:00"/>
    <s v="OK"/>
    <s v="OK"/>
    <s v="OK"/>
    <s v="MATCH"/>
    <x v="1"/>
    <n v="0"/>
    <x v="33"/>
  </r>
  <r>
    <s v="PROP00227"/>
    <s v="BrisbaneMoon Falls294, Australia"/>
    <s v="Australia"/>
    <s v="Brisbane"/>
    <s v="Brisbane"/>
    <s v="BrisbaneMoon Falls294"/>
    <s v="77221"/>
    <s v="+35-787477011"/>
    <x v="1"/>
    <d v="2022-11-28T00:00:00"/>
    <s v="OK"/>
    <s v="OK"/>
    <s v="OK"/>
    <s v="MATCH"/>
    <x v="1"/>
    <n v="0"/>
    <x v="26"/>
  </r>
  <r>
    <s v="PROP00228"/>
    <s v="UKLondon"/>
    <s v="UK"/>
    <s v="London"/>
    <s v="London"/>
    <s v=""/>
    <s v="12460"/>
    <s v="+84-429732763"/>
    <x v="0"/>
    <d v="2025-01-22T00:00:00"/>
    <s v="MISSING"/>
    <s v="OK"/>
    <s v="OK"/>
    <s v="MATCH"/>
    <x v="0"/>
    <n v="1"/>
    <x v="17"/>
  </r>
  <r>
    <s v="PROP00229"/>
    <s v="Bailey Isle 8, Germany, Berlin"/>
    <s v="Germany"/>
    <s v="Berlin"/>
    <s v="Berlin"/>
    <s v="Bailey Isle 8"/>
    <s v="42582"/>
    <s v="+51-221482509"/>
    <x v="0"/>
    <d v="2025-01-22T00:00:00"/>
    <s v="OK"/>
    <s v="OK"/>
    <s v="OK"/>
    <s v="MATCH"/>
    <x v="1"/>
    <n v="0"/>
    <x v="17"/>
  </r>
  <r>
    <s v="PROP00230"/>
    <s v="UKLiverpoolMia Isle235"/>
    <s v="UK"/>
    <s v="Liverpool"/>
    <s v="Liverpool"/>
    <s v="UKLiverpoolMia Isle235"/>
    <s v="54456"/>
    <s v="+57-246784274"/>
    <x v="0"/>
    <d v="2024-08-07T00:00:00"/>
    <s v="OK"/>
    <s v="OK"/>
    <s v="OK"/>
    <s v="MATCH"/>
    <x v="1"/>
    <n v="0"/>
    <x v="29"/>
  </r>
  <r>
    <s v="PROP00231"/>
    <s v="UKLondon"/>
    <s v="UK"/>
    <s v="London"/>
    <s v="London"/>
    <s v=""/>
    <s v="72603"/>
    <s v="+46-912697732"/>
    <x v="1"/>
    <d v="2024-05-03T00:00:00"/>
    <s v="MISSING"/>
    <s v="OK"/>
    <s v="OK"/>
    <s v="MATCH"/>
    <x v="0"/>
    <n v="1"/>
    <x v="12"/>
  </r>
  <r>
    <s v="PROP00232"/>
    <s v="AustraliaPerth"/>
    <s v="Australia"/>
    <s v="Perth"/>
    <s v="Perth"/>
    <s v=""/>
    <s v="33583"/>
    <s v="+65-531967246"/>
    <x v="1"/>
    <d v="2023-11-04T00:00:00"/>
    <s v="MISSING"/>
    <s v="OK"/>
    <s v="OK"/>
    <s v="MATCH"/>
    <x v="0"/>
    <n v="1"/>
    <x v="1"/>
  </r>
  <r>
    <s v="PROP00233"/>
    <s v="UKLeeds"/>
    <s v="UK"/>
    <s v="Leeds"/>
    <s v="Leeds"/>
    <s v=""/>
    <s v="53477"/>
    <s v="+34-628777998"/>
    <x v="1"/>
    <d v="2023-11-17T00:00:00"/>
    <s v="MISSING"/>
    <s v="OK"/>
    <s v="OK"/>
    <s v="MATCH"/>
    <x v="0"/>
    <n v="1"/>
    <x v="1"/>
  </r>
  <r>
    <s v="PROP00234"/>
    <s v="GermanyMunich"/>
    <s v="Germany"/>
    <s v="Munich"/>
    <s v="Munich"/>
    <s v=""/>
    <s v="61053"/>
    <s v="+77-319537557"/>
    <x v="0"/>
    <d v="2025-03-18T00:00:00"/>
    <s v="MISSING"/>
    <s v="OK"/>
    <s v="OK"/>
    <s v="MATCH"/>
    <x v="0"/>
    <n v="1"/>
    <x v="15"/>
  </r>
  <r>
    <s v="PROP00235"/>
    <s v="Fortaleza, Brown Path 237, Brazil"/>
    <s v="Brazil"/>
    <s v="Fortaleza"/>
    <s v="Fortaleza"/>
    <s v="Brown Path 237"/>
    <s v="47920"/>
    <s v="+26-897609046"/>
    <x v="1"/>
    <d v="2025-09-11T00:00:00"/>
    <s v="OK"/>
    <s v="OK"/>
    <s v="OK"/>
    <s v="MATCH"/>
    <x v="1"/>
    <n v="0"/>
    <x v="19"/>
  </r>
  <r>
    <s v="PROP00236"/>
    <s v="AustraliaPerth, Australia"/>
    <s v="Australia"/>
    <s v="Perth"/>
    <s v="Perth"/>
    <s v="Australia"/>
    <s v="7265"/>
    <s v="+27-999684991"/>
    <x v="1"/>
    <d v="2023-11-24T00:00:00"/>
    <s v="OK"/>
    <s v="OK"/>
    <s v="OK"/>
    <s v="MATCH"/>
    <x v="1"/>
    <n v="0"/>
    <x v="1"/>
  </r>
  <r>
    <s v="PROP00237"/>
    <s v="Joseph Curve 49, Hamburg"/>
    <s v="Germany"/>
    <s v="Hamburg"/>
    <s v="Hamburg"/>
    <s v="Joseph Curve 49"/>
    <s v="38253"/>
    <s v="+62-293593385"/>
    <x v="0"/>
    <d v="2025-11-15T00:00:00"/>
    <s v="OK"/>
    <s v="OK"/>
    <s v="OK"/>
    <s v="MATCH"/>
    <x v="1"/>
    <n v="0"/>
    <x v="14"/>
  </r>
  <r>
    <s v="PROP00238"/>
    <s v="Gilmore Oval 266, Paris"/>
    <s v="France"/>
    <s v="Paris"/>
    <s v="Paris"/>
    <s v="Gilmore Oval 266"/>
    <s v="16416"/>
    <s v="+77-120684582"/>
    <x v="1"/>
    <d v="2025-09-05T00:00:00"/>
    <s v="OK"/>
    <s v="OK"/>
    <s v="OK"/>
    <s v="MATCH"/>
    <x v="1"/>
    <n v="0"/>
    <x v="19"/>
  </r>
  <r>
    <s v="PROP00239"/>
    <s v="NaplesTeresa Rest232, Italy"/>
    <s v="Italy"/>
    <s v="Naples"/>
    <s v="Naples"/>
    <s v="NaplesTeresa Rest232"/>
    <s v="31866"/>
    <s v="+86-365965161"/>
    <x v="1"/>
    <d v="2025-04-18T00:00:00"/>
    <s v="OK"/>
    <s v="OK"/>
    <s v="OK"/>
    <s v="MATCH"/>
    <x v="1"/>
    <n v="0"/>
    <x v="6"/>
  </r>
  <r>
    <s v="PROP00240"/>
    <s v="JapanTokyoLance Bridge101"/>
    <s v="Japan"/>
    <s v="Tokyo"/>
    <s v="Tokyo"/>
    <s v="JapanTokyoLance Bridge101"/>
    <s v="72885"/>
    <s v="+48-772050569"/>
    <x v="1"/>
    <d v="2025-08-27T00:00:00"/>
    <s v="OK"/>
    <s v="OK"/>
    <s v="OK"/>
    <s v="MATCH"/>
    <x v="1"/>
    <n v="0"/>
    <x v="30"/>
  </r>
  <r>
    <s v="PROP00241"/>
    <s v="Canada, Vancouver, Davis Ville 185"/>
    <s v="Canada"/>
    <s v="Vancouver"/>
    <s v="Vancouver"/>
    <s v="Davis Ville 185"/>
    <s v="15372"/>
    <s v="+70-578503796"/>
    <x v="0"/>
    <d v="2025-09-17T00:00:00"/>
    <s v="OK"/>
    <s v="OK"/>
    <s v="OK"/>
    <s v="MATCH"/>
    <x v="1"/>
    <n v="0"/>
    <x v="19"/>
  </r>
  <r>
    <s v="PROP00242"/>
    <s v="Valentine Rue159, Melbourne, Australia"/>
    <s v="Australia"/>
    <s v="Melbourne"/>
    <s v="Melbourne"/>
    <s v="Valentine Rue159"/>
    <s v="20682"/>
    <s v="+36-879423333"/>
    <x v="1"/>
    <d v="2023-01-23T00:00:00"/>
    <s v="OK"/>
    <s v="OK"/>
    <s v="OK"/>
    <s v="MATCH"/>
    <x v="1"/>
    <n v="0"/>
    <x v="16"/>
  </r>
  <r>
    <s v="PROP00243"/>
    <s v="France, Paris"/>
    <s v="France"/>
    <s v="Paris"/>
    <s v="Paris"/>
    <s v="Paris"/>
    <s v="67199"/>
    <s v="+93-624115037"/>
    <x v="1"/>
    <d v="2025-04-24T00:00:00"/>
    <s v="OK"/>
    <s v="OK"/>
    <s v="OK"/>
    <s v="MATCH"/>
    <x v="1"/>
    <n v="0"/>
    <x v="6"/>
  </r>
  <r>
    <s v="PROP00244"/>
    <s v="ParisPerry Orchard298, France"/>
    <s v="France"/>
    <s v="Paris"/>
    <s v="Paris"/>
    <s v="ParisPerry Orchard298"/>
    <s v="62395"/>
    <s v="+48-590697260"/>
    <x v="1"/>
    <d v="2025-01-25T00:00:00"/>
    <s v="OK"/>
    <s v="OK"/>
    <s v="OK"/>
    <s v="MATCH"/>
    <x v="1"/>
    <n v="0"/>
    <x v="17"/>
  </r>
  <r>
    <s v="PROP00245"/>
    <s v="Stephen Drive 57, France, Marseille"/>
    <s v="France"/>
    <s v="Marseille"/>
    <s v="Marseille"/>
    <s v="Stephen Drive 57"/>
    <s v="50778"/>
    <s v="+25-478015328"/>
    <x v="0"/>
    <d v="2023-07-07T00:00:00"/>
    <s v="OK"/>
    <s v="OK"/>
    <s v="OK"/>
    <s v="MATCH"/>
    <x v="1"/>
    <n v="0"/>
    <x v="20"/>
  </r>
  <r>
    <s v="PROP00246"/>
    <s v="AustraliaBrisbane"/>
    <s v="Australia"/>
    <s v="Brisbane"/>
    <s v="Brisbane"/>
    <s v=""/>
    <s v="98319"/>
    <s v="+62-876834698"/>
    <x v="1"/>
    <d v="2025-11-23T00:00:00"/>
    <s v="MISSING"/>
    <s v="OK"/>
    <s v="OK"/>
    <s v="MATCH"/>
    <x v="0"/>
    <n v="1"/>
    <x v="14"/>
  </r>
  <r>
    <s v="PROP00247"/>
    <s v="UK, Manchester"/>
    <s v="UK"/>
    <s v="Manchester"/>
    <s v="Manchester"/>
    <s v="Manchester"/>
    <s v="54888"/>
    <s v="+11-958092389"/>
    <x v="0"/>
    <d v="2025-07-03T00:00:00"/>
    <s v="OK"/>
    <s v="OK"/>
    <s v="OK"/>
    <s v="MATCH"/>
    <x v="1"/>
    <n v="0"/>
    <x v="18"/>
  </r>
  <r>
    <s v="PROP00248"/>
    <s v="Villa Parkways110, Bordeaux, France"/>
    <s v="France"/>
    <s v="Bordeaux"/>
    <s v="Bordeaux"/>
    <s v="Villa Parkways110"/>
    <s v="35519"/>
    <s v="+7-238442070"/>
    <x v="1"/>
    <d v="2023-05-20T00:00:00"/>
    <s v="OK"/>
    <s v="OK"/>
    <s v="OK"/>
    <s v="MATCH"/>
    <x v="1"/>
    <n v="0"/>
    <x v="24"/>
  </r>
  <r>
    <s v="PROP00249"/>
    <s v="AustraliaBrisbane"/>
    <s v="Australia"/>
    <s v="Brisbane"/>
    <s v="Brisbane"/>
    <s v=""/>
    <s v="77432"/>
    <s v="+90-367901008"/>
    <x v="1"/>
    <d v="2023-10-19T00:00:00"/>
    <s v="MISSING"/>
    <s v="OK"/>
    <s v="OK"/>
    <s v="MATCH"/>
    <x v="0"/>
    <n v="1"/>
    <x v="13"/>
  </r>
  <r>
    <s v="PROP00250"/>
    <s v="Grimes Mission 228, Japan, Osaka"/>
    <s v="Japan"/>
    <s v="Osaka"/>
    <s v="Osaka"/>
    <s v="Grimes Mission 228"/>
    <s v="71093"/>
    <s v="+29-180441807"/>
    <x v="1"/>
    <d v="2023-08-12T00:00:00"/>
    <s v="OK"/>
    <s v="OK"/>
    <s v="OK"/>
    <s v="MATCH"/>
    <x v="1"/>
    <n v="0"/>
    <x v="35"/>
  </r>
  <r>
    <s v="PROP00251"/>
    <s v="Reed Plaza 157, USA, Houston"/>
    <s v="USA"/>
    <s v="Houston"/>
    <s v="Houston"/>
    <s v="Reed Plaza 157"/>
    <s v="71729"/>
    <s v="+1-299578454"/>
    <x v="0"/>
    <d v="2023-01-26T00:00:00"/>
    <s v="OK"/>
    <s v="OK"/>
    <s v="OK"/>
    <s v="MATCH"/>
    <x v="1"/>
    <n v="0"/>
    <x v="16"/>
  </r>
  <r>
    <s v="PROP00252"/>
    <s v="Italy, Naples, Gibson Islands 48"/>
    <s v="Italy"/>
    <s v="Naples"/>
    <s v="Naples"/>
    <s v="Gibson Islands 48"/>
    <s v="25228"/>
    <s v="+22-524433573"/>
    <x v="0"/>
    <d v="2022-12-11T00:00:00"/>
    <s v="OK"/>
    <s v="OK"/>
    <s v="OK"/>
    <s v="MATCH"/>
    <x v="1"/>
    <n v="0"/>
    <x v="7"/>
  </r>
  <r>
    <s v="PROP00253"/>
    <s v="AustraliaAdelaide"/>
    <s v="Australia"/>
    <s v="Adelaide"/>
    <s v="Adelaide"/>
    <s v=""/>
    <s v="54342"/>
    <s v="+92-762276073"/>
    <x v="0"/>
    <d v="2024-11-01T00:00:00"/>
    <s v="MISSING"/>
    <s v="OK"/>
    <s v="OK"/>
    <s v="MATCH"/>
    <x v="0"/>
    <n v="1"/>
    <x v="36"/>
  </r>
  <r>
    <s v="PROP00254"/>
    <s v="Louis Mountains 287, Bilbao"/>
    <s v="Spain"/>
    <s v="Bilbao"/>
    <s v="Bilbao"/>
    <s v="Louis Mountains 287"/>
    <s v="92936"/>
    <s v="+24-859746679"/>
    <x v="0"/>
    <d v="2025-09-18T00:00:00"/>
    <s v="OK"/>
    <s v="OK"/>
    <s v="OK"/>
    <s v="MATCH"/>
    <x v="1"/>
    <n v="0"/>
    <x v="19"/>
  </r>
  <r>
    <s v="PROP00255"/>
    <s v="Hughes Shore 118, Japan, Nagoya"/>
    <s v="Japan"/>
    <s v="Nagoya"/>
    <s v="Nagoya"/>
    <s v="Hughes Shore 118"/>
    <s v="85962"/>
    <s v="+55-721726327"/>
    <x v="0"/>
    <d v="2024-03-25T00:00:00"/>
    <s v="OK"/>
    <s v="OK"/>
    <s v="OK"/>
    <s v="MATCH"/>
    <x v="1"/>
    <n v="0"/>
    <x v="32"/>
  </r>
  <r>
    <s v="PROP00256"/>
    <s v="Tyler Camp 66, Japan, Kyoto"/>
    <s v="Japan"/>
    <s v="Kyoto"/>
    <s v="Kyoto"/>
    <s v="Tyler Camp 66"/>
    <s v="17048"/>
    <s v="+51-303625489"/>
    <x v="0"/>
    <d v="2024-05-17T00:00:00"/>
    <s v="OK"/>
    <s v="OK"/>
    <s v="OK"/>
    <s v="MATCH"/>
    <x v="1"/>
    <n v="0"/>
    <x v="12"/>
  </r>
  <r>
    <s v="PROP00257"/>
    <s v="Kane Well294, Seville, Spain"/>
    <s v="Spain"/>
    <s v="Seville"/>
    <s v="Seville"/>
    <s v="Kane Well294"/>
    <s v="58212"/>
    <s v="+9-768866473"/>
    <x v="0"/>
    <d v="2023-12-13T00:00:00"/>
    <s v="OK"/>
    <s v="OK"/>
    <s v="OK"/>
    <s v="MATCH"/>
    <x v="1"/>
    <n v="0"/>
    <x v="25"/>
  </r>
  <r>
    <s v="PROP00258"/>
    <s v="Canada, Montreal"/>
    <s v="Canada"/>
    <s v="Montreal"/>
    <s v="Montreal"/>
    <s v="Montreal"/>
    <s v="2512"/>
    <s v="+45-896798087"/>
    <x v="1"/>
    <d v="2025-08-17T00:00:00"/>
    <s v="OK"/>
    <s v="OK"/>
    <s v="OK"/>
    <s v="MATCH"/>
    <x v="1"/>
    <n v="0"/>
    <x v="30"/>
  </r>
  <r>
    <s v="PROP00259"/>
    <s v="Hamburg, Robert Shoal 173, Germany"/>
    <s v="Germany"/>
    <s v="Hamburg"/>
    <s v="Hamburg"/>
    <s v="Robert Shoal 173"/>
    <s v="20733"/>
    <s v="+91-926118343"/>
    <x v="1"/>
    <d v="2023-05-11T00:00:00"/>
    <s v="OK"/>
    <s v="OK"/>
    <s v="OK"/>
    <s v="MATCH"/>
    <x v="1"/>
    <n v="0"/>
    <x v="24"/>
  </r>
  <r>
    <s v="PROP00260"/>
    <s v="LyonTerrance Greens77, France"/>
    <s v="France"/>
    <s v="Lyon"/>
    <s v="Lyon"/>
    <s v="LyonTerrance Greens77"/>
    <s v="44876"/>
    <s v="+92-674319716"/>
    <x v="1"/>
    <d v="2024-07-24T00:00:00"/>
    <s v="OK"/>
    <s v="OK"/>
    <s v="OK"/>
    <s v="MATCH"/>
    <x v="1"/>
    <n v="0"/>
    <x v="0"/>
  </r>
  <r>
    <s v="PROP00261"/>
    <s v="ItalyMilan"/>
    <s v="Italy"/>
    <s v="Milan"/>
    <s v="Milan"/>
    <s v=""/>
    <s v="43566"/>
    <s v="+28-424131603"/>
    <x v="1"/>
    <d v="2023-05-22T00:00:00"/>
    <s v="MISSING"/>
    <s v="OK"/>
    <s v="OK"/>
    <s v="MATCH"/>
    <x v="0"/>
    <n v="1"/>
    <x v="24"/>
  </r>
  <r>
    <s v="PROP00262"/>
    <s v="Finley Road136, Salvador, Brazil"/>
    <s v="Brazil"/>
    <s v="Salvador"/>
    <s v="Salvador"/>
    <s v="Finley Road136"/>
    <s v="94704"/>
    <s v="+12-553723849"/>
    <x v="0"/>
    <d v="2024-07-13T00:00:00"/>
    <s v="OK"/>
    <s v="OK"/>
    <s v="OK"/>
    <s v="MATCH"/>
    <x v="1"/>
    <n v="0"/>
    <x v="0"/>
  </r>
  <r>
    <s v="PROP00263"/>
    <s v="BrasíliaBrennan Camp37, Brazil"/>
    <s v="Brazil"/>
    <s v="Brasília"/>
    <s v="Brasília"/>
    <s v="BrasíliaBrennan Camp37"/>
    <s v="81432"/>
    <s v="+21-246932754"/>
    <x v="1"/>
    <d v="2023-06-26T00:00:00"/>
    <s v="OK"/>
    <s v="OK"/>
    <s v="OK"/>
    <s v="MATCH"/>
    <x v="1"/>
    <n v="0"/>
    <x v="4"/>
  </r>
  <r>
    <s v="PROP00264"/>
    <s v="Frankfurt, Jimmy Spur 173, Germany"/>
    <s v="Germany"/>
    <s v="Frankfurt"/>
    <s v="Frankfurt"/>
    <s v="Jimmy Spur 173"/>
    <s v="38168"/>
    <s v="+97-535199213"/>
    <x v="1"/>
    <d v="2025-03-29T00:00:00"/>
    <s v="OK"/>
    <s v="OK"/>
    <s v="OK"/>
    <s v="MATCH"/>
    <x v="1"/>
    <n v="0"/>
    <x v="15"/>
  </r>
  <r>
    <s v="PROP00265"/>
    <s v="CanadaMontreal"/>
    <s v="Canada"/>
    <s v="Montreal"/>
    <s v="Montreal"/>
    <s v=""/>
    <s v="13404"/>
    <s v="+20-374893134"/>
    <x v="1"/>
    <d v="2024-01-09T00:00:00"/>
    <s v="MISSING"/>
    <s v="OK"/>
    <s v="OK"/>
    <s v="MATCH"/>
    <x v="0"/>
    <n v="1"/>
    <x v="34"/>
  </r>
  <r>
    <s v="PROP00266"/>
    <s v="UKManchester"/>
    <s v="UK"/>
    <s v="Manchester"/>
    <s v="Manchester"/>
    <s v=""/>
    <s v="39752"/>
    <s v="+77-374505712"/>
    <x v="0"/>
    <d v="2023-06-19T00:00:00"/>
    <s v="MISSING"/>
    <s v="OK"/>
    <s v="OK"/>
    <s v="MATCH"/>
    <x v="0"/>
    <n v="1"/>
    <x v="4"/>
  </r>
  <r>
    <s v="PROP00267"/>
    <s v="UKLeedsBrandon Underpass29"/>
    <s v="UK"/>
    <s v="Leeds"/>
    <s v="Leeds"/>
    <s v="UKLeedsBrandon Underpass29"/>
    <s v="7856"/>
    <s v="+76-116541530"/>
    <x v="0"/>
    <d v="2022-12-23T00:00:00"/>
    <s v="OK"/>
    <s v="OK"/>
    <s v="OK"/>
    <s v="MATCH"/>
    <x v="1"/>
    <n v="0"/>
    <x v="7"/>
  </r>
  <r>
    <s v="PROP00268"/>
    <s v="SapporoHoward Meadows30, Japan"/>
    <s v="Japan"/>
    <s v="Sapporo"/>
    <s v="Sapporo"/>
    <s v="SapporoHoward Meadows30"/>
    <s v="19581"/>
    <s v="+50-157477530"/>
    <x v="1"/>
    <d v="2025-09-17T00:00:00"/>
    <s v="OK"/>
    <s v="OK"/>
    <s v="OK"/>
    <s v="MATCH"/>
    <x v="1"/>
    <n v="0"/>
    <x v="19"/>
  </r>
  <r>
    <s v="PROP00269"/>
    <s v="Amanda Port 2, Calgary"/>
    <s v="Canada"/>
    <s v="Calgary"/>
    <s v="Calgary"/>
    <s v="Amanda Port 2"/>
    <s v="89865"/>
    <s v="+53-274569602"/>
    <x v="1"/>
    <d v="2024-11-08T00:00:00"/>
    <s v="OK"/>
    <s v="OK"/>
    <s v="OK"/>
    <s v="MATCH"/>
    <x v="1"/>
    <n v="0"/>
    <x v="36"/>
  </r>
  <r>
    <s v="PROP00270"/>
    <s v="George Common 184, Naples"/>
    <s v="Italy"/>
    <s v="Naples"/>
    <s v="Naples"/>
    <s v="George Common 184"/>
    <s v="80388"/>
    <s v="+20-187421837"/>
    <x v="1"/>
    <d v="2024-09-15T00:00:00"/>
    <s v="OK"/>
    <s v="OK"/>
    <s v="OK"/>
    <s v="MATCH"/>
    <x v="1"/>
    <n v="0"/>
    <x v="33"/>
  </r>
  <r>
    <s v="PROP00271"/>
    <s v="JapanNagoya"/>
    <s v="Japan"/>
    <s v="Nagoya"/>
    <s v="Nagoya"/>
    <s v=""/>
    <s v="65731"/>
    <s v="+59-885960030"/>
    <x v="1"/>
    <d v="2023-02-22T00:00:00"/>
    <s v="MISSING"/>
    <s v="OK"/>
    <s v="OK"/>
    <s v="MATCH"/>
    <x v="0"/>
    <n v="1"/>
    <x v="3"/>
  </r>
  <r>
    <s v="PROP00272"/>
    <s v="Jesse Route 278, USA, Phoenix"/>
    <s v="USA"/>
    <s v="Phoenix"/>
    <s v="Phoenix"/>
    <s v="Jesse Route 278"/>
    <s v="33790"/>
    <s v="+1-457366445"/>
    <x v="0"/>
    <d v="2024-02-24T00:00:00"/>
    <s v="OK"/>
    <s v="OK"/>
    <s v="OK"/>
    <s v="MATCH"/>
    <x v="1"/>
    <n v="0"/>
    <x v="10"/>
  </r>
  <r>
    <s v="PROP00273"/>
    <s v="CanadaVancouver"/>
    <s v="Canada"/>
    <s v="Vancouver"/>
    <s v="Vancouver"/>
    <s v=""/>
    <s v="61482"/>
    <s v="+29-904892516"/>
    <x v="1"/>
    <d v="2023-06-12T00:00:00"/>
    <s v="MISSING"/>
    <s v="OK"/>
    <s v="OK"/>
    <s v="MATCH"/>
    <x v="0"/>
    <n v="1"/>
    <x v="4"/>
  </r>
  <r>
    <s v="PROP00274"/>
    <s v="USAHouston"/>
    <s v="USA"/>
    <s v="Houston"/>
    <s v="Houston"/>
    <s v=""/>
    <s v="10182"/>
    <s v="+23-232848465"/>
    <x v="0"/>
    <d v="2025-04-19T00:00:00"/>
    <s v="MISSING"/>
    <s v="OK"/>
    <s v="OK"/>
    <s v="MATCH"/>
    <x v="0"/>
    <n v="1"/>
    <x v="6"/>
  </r>
  <r>
    <s v="PROP00275"/>
    <s v="Germany, Cologne"/>
    <s v="Germany"/>
    <s v="Cologne"/>
    <s v="Cologne"/>
    <s v="Cologne"/>
    <s v="39711"/>
    <s v="+95-993398160"/>
    <x v="1"/>
    <d v="2022-12-13T00:00:00"/>
    <s v="OK"/>
    <s v="OK"/>
    <s v="OK"/>
    <s v="MATCH"/>
    <x v="1"/>
    <n v="0"/>
    <x v="7"/>
  </r>
  <r>
    <s v="PROP00276"/>
    <s v="GermanyFrankfurt, Germany"/>
    <s v="Germany"/>
    <s v="Frankfurt"/>
    <s v="Frankfurt"/>
    <s v="Germany"/>
    <s v="40100"/>
    <s v="+94-720786363"/>
    <x v="1"/>
    <d v="2024-01-15T00:00:00"/>
    <s v="OK"/>
    <s v="OK"/>
    <s v="OK"/>
    <s v="MATCH"/>
    <x v="1"/>
    <n v="0"/>
    <x v="34"/>
  </r>
  <r>
    <s v="PROP00277"/>
    <s v="Calgary, Yvonne Walk 269, Canada"/>
    <s v="Canada"/>
    <s v="Calgary"/>
    <s v="Calgary"/>
    <s v="Yvonne Walk 269"/>
    <s v="63836"/>
    <s v="+97-172788544"/>
    <x v="0"/>
    <d v="2024-11-10T00:00:00"/>
    <s v="OK"/>
    <s v="OK"/>
    <s v="OK"/>
    <s v="MATCH"/>
    <x v="1"/>
    <n v="0"/>
    <x v="36"/>
  </r>
  <r>
    <s v="PROP00278"/>
    <s v="AustraliaAdelaide, Australia"/>
    <s v="Australia"/>
    <s v="Adelaide"/>
    <s v="Adelaide"/>
    <s v="Australia"/>
    <s v="47550"/>
    <s v="+53-569562534"/>
    <x v="0"/>
    <d v="2023-05-09T00:00:00"/>
    <s v="OK"/>
    <s v="OK"/>
    <s v="OK"/>
    <s v="MATCH"/>
    <x v="1"/>
    <n v="0"/>
    <x v="24"/>
  </r>
  <r>
    <s v="PROP00279"/>
    <s v="Brazil, Rio de Janeiro"/>
    <s v="Brazil"/>
    <s v="Rio de Janeiro"/>
    <s v="Rio de Janeiro"/>
    <s v="Rio de Janeiro"/>
    <s v="3376"/>
    <s v="+52-736920379"/>
    <x v="1"/>
    <d v="2024-04-30T00:00:00"/>
    <s v="OK"/>
    <s v="OK"/>
    <s v="OK"/>
    <s v="MATCH"/>
    <x v="1"/>
    <n v="0"/>
    <x v="2"/>
  </r>
  <r>
    <s v="PROP00280"/>
    <s v="JapanNagoyaHill Port8"/>
    <s v="Japan"/>
    <s v="Nagoya"/>
    <s v="Nagoya"/>
    <s v="JapanNagoyaHill Port8"/>
    <s v="90390"/>
    <s v="+10-401230907"/>
    <x v="0"/>
    <d v="2024-08-09T00:00:00"/>
    <s v="OK"/>
    <s v="OK"/>
    <s v="OK"/>
    <s v="MATCH"/>
    <x v="1"/>
    <n v="0"/>
    <x v="29"/>
  </r>
  <r>
    <s v="PROP00281"/>
    <s v="Japan, Tokyo, Renee Summit 183"/>
    <s v="Japan"/>
    <s v="Tokyo"/>
    <s v="Tokyo"/>
    <s v="Renee Summit 183"/>
    <s v="65608"/>
    <s v="+15-737055387"/>
    <x v="1"/>
    <d v="2024-01-12T00:00:00"/>
    <s v="OK"/>
    <s v="OK"/>
    <s v="OK"/>
    <s v="MATCH"/>
    <x v="1"/>
    <n v="0"/>
    <x v="34"/>
  </r>
  <r>
    <s v="PROP00282"/>
    <s v="BrisbaneParsons Forks64, Australia"/>
    <s v="Australia"/>
    <s v="Brisbane"/>
    <s v="Brisbane"/>
    <s v="BrisbaneParsons Forks64"/>
    <s v="80070"/>
    <s v="+80-678085476"/>
    <x v="1"/>
    <d v="2023-02-22T00:00:00"/>
    <s v="OK"/>
    <s v="OK"/>
    <s v="OK"/>
    <s v="MATCH"/>
    <x v="1"/>
    <n v="0"/>
    <x v="3"/>
  </r>
  <r>
    <s v="PROP00283"/>
    <s v="MadridRobinson Field59, Spain"/>
    <s v="Spain"/>
    <s v="Madrid"/>
    <s v="Madrid"/>
    <s v="MadridRobinson Field59"/>
    <s v="81882"/>
    <s v="+34-854940653"/>
    <x v="0"/>
    <d v="2023-11-02T00:00:00"/>
    <s v="OK"/>
    <s v="OK"/>
    <s v="OK"/>
    <s v="MATCH"/>
    <x v="1"/>
    <n v="0"/>
    <x v="1"/>
  </r>
  <r>
    <s v="PROP00284"/>
    <s v="UKBirmingham, UK"/>
    <s v="UK"/>
    <s v="Birmingham"/>
    <s v="Birmingham"/>
    <s v="UK"/>
    <s v="86901"/>
    <s v="+32-501717196"/>
    <x v="0"/>
    <d v="2023-10-13T00:00:00"/>
    <s v="OK"/>
    <s v="OK"/>
    <s v="OK"/>
    <s v="MATCH"/>
    <x v="1"/>
    <n v="0"/>
    <x v="13"/>
  </r>
  <r>
    <s v="PROP00285"/>
    <s v="AustraliaAdelaide"/>
    <s v="Australia"/>
    <s v="Adelaide"/>
    <s v="Adelaide"/>
    <s v=""/>
    <s v="85218"/>
    <s v="+13-253344605"/>
    <x v="1"/>
    <d v="2023-12-13T00:00:00"/>
    <s v="MISSING"/>
    <s v="OK"/>
    <s v="OK"/>
    <s v="MATCH"/>
    <x v="0"/>
    <n v="1"/>
    <x v="25"/>
  </r>
  <r>
    <s v="PROP00286"/>
    <s v="Kyle Mill181, Montreal, Canada"/>
    <s v="Canada"/>
    <s v="Montreal"/>
    <s v="Montreal"/>
    <s v="Kyle Mill181"/>
    <s v="4874"/>
    <s v="+20-169655374"/>
    <x v="0"/>
    <d v="2025-08-11T00:00:00"/>
    <s v="OK"/>
    <s v="OK"/>
    <s v="OK"/>
    <s v="MATCH"/>
    <x v="1"/>
    <n v="0"/>
    <x v="30"/>
  </r>
  <r>
    <s v="PROP00287"/>
    <s v="Rio de Janeiro, Oconnor Course 202, Brazil"/>
    <s v="Brazil"/>
    <s v="Rio de Janeiro"/>
    <s v="Rio de Janeiro"/>
    <s v="Oconnor Course 202"/>
    <s v="39181"/>
    <s v="+44-154796541"/>
    <x v="0"/>
    <d v="2023-06-27T00:00:00"/>
    <s v="OK"/>
    <s v="OK"/>
    <s v="OK"/>
    <s v="MATCH"/>
    <x v="1"/>
    <n v="0"/>
    <x v="4"/>
  </r>
  <r>
    <s v="PROP00288"/>
    <s v="São Paulo, Burgess Extensions 183, Brazil"/>
    <s v="Brazil"/>
    <s v="São Paulo"/>
    <s v="São Paulo"/>
    <s v="Burgess Extensions 183"/>
    <s v="26819"/>
    <s v="+73-854885848"/>
    <x v="1"/>
    <d v="2025-03-03T00:00:00"/>
    <s v="OK"/>
    <s v="OK"/>
    <s v="OK"/>
    <s v="MATCH"/>
    <x v="1"/>
    <n v="0"/>
    <x v="15"/>
  </r>
  <r>
    <s v="PROP00289"/>
    <s v="Brisbane, Kristin Wells 71, Australia"/>
    <s v="Australia"/>
    <s v="Brisbane"/>
    <s v="Brisbane"/>
    <s v="Kristin Wells 71"/>
    <s v="48454"/>
    <s v="+75-204608927"/>
    <x v="1"/>
    <d v="2025-02-08T00:00:00"/>
    <s v="OK"/>
    <s v="OK"/>
    <s v="OK"/>
    <s v="MATCH"/>
    <x v="1"/>
    <n v="0"/>
    <x v="31"/>
  </r>
  <r>
    <s v="PROP00290"/>
    <s v="GermanyHamburg, Germany"/>
    <s v="Germany"/>
    <s v="Hamburg"/>
    <s v="Hamburg"/>
    <s v="Germany"/>
    <s v="63657"/>
    <s v="+96-520795808"/>
    <x v="0"/>
    <d v="2023-08-16T00:00:00"/>
    <s v="OK"/>
    <s v="OK"/>
    <s v="OK"/>
    <s v="MATCH"/>
    <x v="1"/>
    <n v="0"/>
    <x v="35"/>
  </r>
  <r>
    <s v="PROP00291"/>
    <s v="CanadaMontreal"/>
    <s v="Canada"/>
    <s v="Montreal"/>
    <s v="Montreal"/>
    <s v=""/>
    <s v="15596"/>
    <s v="+12-509285245"/>
    <x v="1"/>
    <d v="2023-01-26T00:00:00"/>
    <s v="MISSING"/>
    <s v="OK"/>
    <s v="OK"/>
    <s v="MATCH"/>
    <x v="0"/>
    <n v="1"/>
    <x v="16"/>
  </r>
  <r>
    <s v="PROP00292"/>
    <s v="USA, New York, Mccarty Divide 15"/>
    <s v="USA"/>
    <s v="New York"/>
    <s v="New York"/>
    <s v="Mccarty Divide 15"/>
    <s v="99349"/>
    <s v="+82-220182858"/>
    <x v="0"/>
    <d v="2025-09-20T00:00:00"/>
    <s v="OK"/>
    <s v="OK"/>
    <s v="OK"/>
    <s v="MATCH"/>
    <x v="1"/>
    <n v="0"/>
    <x v="19"/>
  </r>
  <r>
    <s v="PROP00293"/>
    <s v="AustraliaMelbourne"/>
    <s v="Australia"/>
    <s v="Melbourne"/>
    <s v="Melbourne"/>
    <s v=""/>
    <s v="88896"/>
    <s v="+25-517989908"/>
    <x v="0"/>
    <d v="2025-08-26T00:00:00"/>
    <s v="MISSING"/>
    <s v="OK"/>
    <s v="OK"/>
    <s v="MATCH"/>
    <x v="0"/>
    <n v="1"/>
    <x v="30"/>
  </r>
  <r>
    <s v="PROP00294"/>
    <s v="Coffey Unions 116, Germany, Cologne"/>
    <s v="Germany"/>
    <s v="Cologne"/>
    <s v="Cologne"/>
    <s v="Coffey Unions 116"/>
    <s v="73549"/>
    <s v="+82-979950186"/>
    <x v="0"/>
    <d v="2025-08-02T00:00:00"/>
    <s v="OK"/>
    <s v="OK"/>
    <s v="OK"/>
    <s v="MATCH"/>
    <x v="1"/>
    <n v="0"/>
    <x v="30"/>
  </r>
  <r>
    <s v="PROP00295"/>
    <s v="Davis Locks 25, Italy, Naples"/>
    <s v="Italy"/>
    <s v="Naples"/>
    <s v="Naples"/>
    <s v="Davis Locks 25"/>
    <s v="2325"/>
    <s v="+68-483600749"/>
    <x v="0"/>
    <d v="2024-05-31T00:00:00"/>
    <s v="OK"/>
    <s v="OK"/>
    <s v="OK"/>
    <s v="MATCH"/>
    <x v="1"/>
    <n v="0"/>
    <x v="12"/>
  </r>
  <r>
    <s v="PROP00296"/>
    <s v="Italy, Naples, Herrera Motorway 169"/>
    <s v="Italy"/>
    <s v="Naples"/>
    <s v="Naples"/>
    <s v="Herrera Motorway 169"/>
    <s v="48812"/>
    <s v="+82-174512198"/>
    <x v="0"/>
    <d v="2025-10-11T00:00:00"/>
    <s v="OK"/>
    <s v="OK"/>
    <s v="OK"/>
    <s v="MATCH"/>
    <x v="1"/>
    <n v="0"/>
    <x v="8"/>
  </r>
  <r>
    <s v="PROP00297"/>
    <s v="Leeds, Richards View 78, UK"/>
    <s v="UK"/>
    <s v="Leeds"/>
    <s v="Leeds"/>
    <s v="Richards View 78"/>
    <s v="84196"/>
    <s v="+23-863508817"/>
    <x v="0"/>
    <d v="2025-02-23T00:00:00"/>
    <s v="OK"/>
    <s v="OK"/>
    <s v="OK"/>
    <s v="MATCH"/>
    <x v="1"/>
    <n v="0"/>
    <x v="31"/>
  </r>
  <r>
    <s v="PROP00298"/>
    <s v="GermanyBerlin"/>
    <s v="Germany"/>
    <s v="Berlin"/>
    <s v="Berlin"/>
    <s v=""/>
    <s v="62298"/>
    <s v="+28-385042285"/>
    <x v="1"/>
    <d v="2023-07-27T00:00:00"/>
    <s v="MISSING"/>
    <s v="OK"/>
    <s v="OK"/>
    <s v="MATCH"/>
    <x v="0"/>
    <n v="1"/>
    <x v="20"/>
  </r>
  <r>
    <s v="PROP00299"/>
    <s v="Leeds, Christine Points 207, UK"/>
    <s v="UK"/>
    <s v="Leeds"/>
    <s v="Leeds"/>
    <s v="Christine Points 207"/>
    <s v="43493"/>
    <s v="+88-126384432"/>
    <x v="1"/>
    <d v="2023-12-27T00:00:00"/>
    <s v="OK"/>
    <s v="OK"/>
    <s v="OK"/>
    <s v="MATCH"/>
    <x v="1"/>
    <n v="0"/>
    <x v="25"/>
  </r>
  <r>
    <s v="PROP00300"/>
    <s v="Deborah Roads 279, Italy, Florence"/>
    <s v="Italy"/>
    <s v="Florence"/>
    <s v="Florence"/>
    <s v="Deborah Roads 279"/>
    <s v="61353"/>
    <s v="+63-751929397"/>
    <x v="1"/>
    <d v="2025-08-09T00:00:00"/>
    <s v="OK"/>
    <s v="OK"/>
    <s v="OK"/>
    <s v="MATCH"/>
    <x v="1"/>
    <n v="0"/>
    <x v="30"/>
  </r>
  <r>
    <s v="PROP00301"/>
    <s v="Banks Crescent 116, France, Paris"/>
    <s v="France"/>
    <s v="Paris"/>
    <s v="Paris"/>
    <s v="Banks Crescent 116"/>
    <s v="18821"/>
    <s v="+85-135214085"/>
    <x v="0"/>
    <d v="2025-09-26T00:00:00"/>
    <s v="OK"/>
    <s v="OK"/>
    <s v="OK"/>
    <s v="MATCH"/>
    <x v="1"/>
    <n v="0"/>
    <x v="19"/>
  </r>
  <r>
    <s v="PROP00302"/>
    <s v="Canada, Montreal, Sophia Hollow 204"/>
    <s v="Canada"/>
    <s v="Montreal"/>
    <s v="Montreal"/>
    <s v="Sophia Hollow 204"/>
    <s v="65070"/>
    <s v="+51-140880382"/>
    <x v="0"/>
    <d v="2025-03-16T00:00:00"/>
    <s v="OK"/>
    <s v="OK"/>
    <s v="OK"/>
    <s v="MATCH"/>
    <x v="1"/>
    <n v="0"/>
    <x v="15"/>
  </r>
  <r>
    <s v="PROP00303"/>
    <s v="GermanyBerlinColton Plain44"/>
    <s v="Germany"/>
    <s v="Berlin"/>
    <s v="Berlin"/>
    <s v="GermanyBerlinColton Plain44"/>
    <s v="18282"/>
    <s v="+52-392879985"/>
    <x v="0"/>
    <d v="2024-10-15T00:00:00"/>
    <s v="OK"/>
    <s v="OK"/>
    <s v="OK"/>
    <s v="MATCH"/>
    <x v="1"/>
    <n v="0"/>
    <x v="5"/>
  </r>
  <r>
    <s v="PROP00304"/>
    <s v="Chavez Skyway 138, Brazil, Salvador"/>
    <s v="Brazil"/>
    <s v="Salvador"/>
    <s v="Salvador"/>
    <s v="Chavez Skyway 138"/>
    <s v="97905"/>
    <s v="+81-778539798"/>
    <x v="0"/>
    <d v="2023-05-16T00:00:00"/>
    <s v="OK"/>
    <s v="OK"/>
    <s v="OK"/>
    <s v="MATCH"/>
    <x v="1"/>
    <n v="0"/>
    <x v="24"/>
  </r>
  <r>
    <s v="PROP00305"/>
    <s v="Brazil, Fortaleza"/>
    <s v="Brazil"/>
    <s v="Fortaleza"/>
    <s v="Fortaleza"/>
    <s v="Fortaleza"/>
    <s v="20754"/>
    <s v="+40-285554409"/>
    <x v="1"/>
    <d v="2025-03-15T00:00:00"/>
    <s v="OK"/>
    <s v="OK"/>
    <s v="OK"/>
    <s v="MATCH"/>
    <x v="1"/>
    <n v="0"/>
    <x v="15"/>
  </r>
  <r>
    <s v="PROP00306"/>
    <s v="Paris, Pena Village 84, France"/>
    <s v="France"/>
    <s v="Paris"/>
    <s v="Paris"/>
    <s v="Pena Village 84"/>
    <s v="64640"/>
    <s v="+18-150879126"/>
    <x v="1"/>
    <d v="2024-02-09T00:00:00"/>
    <s v="OK"/>
    <s v="OK"/>
    <s v="OK"/>
    <s v="MATCH"/>
    <x v="1"/>
    <n v="0"/>
    <x v="10"/>
  </r>
  <r>
    <s v="PROP00307"/>
    <s v="NaplesCrosby Harbors180, Italy"/>
    <s v="Italy"/>
    <s v="Naples"/>
    <s v="Naples"/>
    <s v="NaplesCrosby Harbors180"/>
    <s v="4789"/>
    <s v="+50-476359228"/>
    <x v="0"/>
    <d v="2023-11-12T00:00:00"/>
    <s v="OK"/>
    <s v="OK"/>
    <s v="OK"/>
    <s v="MATCH"/>
    <x v="1"/>
    <n v="0"/>
    <x v="1"/>
  </r>
  <r>
    <s v="PROP00308"/>
    <s v="Japan, Sapporo"/>
    <s v="Japan"/>
    <s v="Sapporo"/>
    <s v="Sapporo"/>
    <s v="Sapporo"/>
    <s v="31448"/>
    <s v="+99-495225028"/>
    <x v="1"/>
    <d v="2024-10-26T00:00:00"/>
    <s v="OK"/>
    <s v="OK"/>
    <s v="OK"/>
    <s v="MATCH"/>
    <x v="1"/>
    <n v="0"/>
    <x v="5"/>
  </r>
  <r>
    <s v="PROP00309"/>
    <s v="Garcia Spur146, Kyoto, Japan"/>
    <s v="Japan"/>
    <s v="Kyoto"/>
    <s v="Kyoto"/>
    <s v="Garcia Spur146"/>
    <s v="48648"/>
    <s v="+64-902246995"/>
    <x v="0"/>
    <d v="2023-04-07T00:00:00"/>
    <s v="OK"/>
    <s v="OK"/>
    <s v="OK"/>
    <s v="MATCH"/>
    <x v="1"/>
    <n v="0"/>
    <x v="23"/>
  </r>
  <r>
    <s v="PROP00310"/>
    <s v="MontrealBrown Harbor209, Canada"/>
    <s v="Canada"/>
    <s v="Montreal"/>
    <s v="Montreal"/>
    <s v="MontrealBrown Harbor209"/>
    <s v="25379"/>
    <s v="+91-846025871"/>
    <x v="0"/>
    <d v="2024-09-24T00:00:00"/>
    <s v="OK"/>
    <s v="OK"/>
    <s v="OK"/>
    <s v="MATCH"/>
    <x v="1"/>
    <n v="0"/>
    <x v="33"/>
  </r>
  <r>
    <s v="PROP00311"/>
    <s v="UKLondonStacy View2"/>
    <s v="UK"/>
    <s v="London"/>
    <s v="London"/>
    <s v="UKLondonStacy View2"/>
    <s v="60101"/>
    <s v="+64-488462965"/>
    <x v="1"/>
    <d v="2023-06-04T00:00:00"/>
    <s v="OK"/>
    <s v="OK"/>
    <s v="OK"/>
    <s v="MATCH"/>
    <x v="1"/>
    <n v="0"/>
    <x v="4"/>
  </r>
  <r>
    <s v="PROP00312"/>
    <s v="Salvador, Elizabeth Row 194, Brazil"/>
    <s v="Brazil"/>
    <s v="Salvador"/>
    <s v="Salvador"/>
    <s v="Elizabeth Row 194"/>
    <s v="84320"/>
    <s v="+94-237322065"/>
    <x v="0"/>
    <d v="2024-07-05T00:00:00"/>
    <s v="OK"/>
    <s v="OK"/>
    <s v="OK"/>
    <s v="MATCH"/>
    <x v="1"/>
    <n v="0"/>
    <x v="0"/>
  </r>
  <r>
    <s v="PROP00313"/>
    <s v="FranceParis"/>
    <s v="France"/>
    <s v="Paris"/>
    <s v="Paris"/>
    <s v=""/>
    <s v="32426"/>
    <s v="+12-586674372"/>
    <x v="1"/>
    <d v="2024-10-25T00:00:00"/>
    <s v="MISSING"/>
    <s v="OK"/>
    <s v="OK"/>
    <s v="MATCH"/>
    <x v="0"/>
    <n v="1"/>
    <x v="5"/>
  </r>
  <r>
    <s v="PROP00314"/>
    <s v="Australia, Brisbane"/>
    <s v="Australia"/>
    <s v="Brisbane"/>
    <s v="Brisbane"/>
    <s v="Brisbane"/>
    <s v="9493"/>
    <s v="+86-729075789"/>
    <x v="0"/>
    <d v="2025-02-14T00:00:00"/>
    <s v="OK"/>
    <s v="OK"/>
    <s v="OK"/>
    <s v="MATCH"/>
    <x v="1"/>
    <n v="0"/>
    <x v="31"/>
  </r>
  <r>
    <s v="PROP00315"/>
    <s v="JapanSapporo, Japan"/>
    <s v="Japan"/>
    <s v="Sapporo"/>
    <s v="Sapporo"/>
    <s v="Japan"/>
    <s v="31040"/>
    <s v="+55-687532531"/>
    <x v="1"/>
    <d v="2023-08-28T00:00:00"/>
    <s v="OK"/>
    <s v="OK"/>
    <s v="OK"/>
    <s v="MATCH"/>
    <x v="1"/>
    <n v="0"/>
    <x v="35"/>
  </r>
  <r>
    <s v="PROP00316"/>
    <s v="USA, Los Angeles"/>
    <s v="USA"/>
    <s v="Los Angeles"/>
    <s v="Los Angeles"/>
    <s v="Los Angeles"/>
    <s v="78617"/>
    <s v="+95-555391646"/>
    <x v="0"/>
    <d v="2023-10-01T00:00:00"/>
    <s v="OK"/>
    <s v="OK"/>
    <s v="OK"/>
    <s v="MATCH"/>
    <x v="1"/>
    <n v="0"/>
    <x v="13"/>
  </r>
  <r>
    <s v="PROP00317"/>
    <s v="UK, Leeds"/>
    <s v="UK"/>
    <s v="Leeds"/>
    <s v="Leeds"/>
    <s v="Leeds"/>
    <s v="17539"/>
    <s v="+41-492066828"/>
    <x v="1"/>
    <d v="2025-05-16T00:00:00"/>
    <s v="OK"/>
    <s v="OK"/>
    <s v="OK"/>
    <s v="MATCH"/>
    <x v="1"/>
    <n v="0"/>
    <x v="27"/>
  </r>
  <r>
    <s v="PROP00318"/>
    <s v="FranceToulouseLindsey Creek215"/>
    <s v="France"/>
    <s v="Toulouse"/>
    <s v="Toulouse"/>
    <s v="FranceToulouseLindsey Creek215"/>
    <s v="87147"/>
    <s v="+99-754162255"/>
    <x v="0"/>
    <d v="2025-06-05T00:00:00"/>
    <s v="OK"/>
    <s v="OK"/>
    <s v="OK"/>
    <s v="MATCH"/>
    <x v="1"/>
    <n v="0"/>
    <x v="11"/>
  </r>
  <r>
    <s v="PROP00319"/>
    <s v="CanadaCalgary"/>
    <s v="Canada"/>
    <s v="Calgary"/>
    <s v="Calgary"/>
    <s v=""/>
    <s v="31687"/>
    <s v="+53-950873380"/>
    <x v="1"/>
    <d v="2025-03-09T00:00:00"/>
    <s v="MISSING"/>
    <s v="OK"/>
    <s v="OK"/>
    <s v="MATCH"/>
    <x v="0"/>
    <n v="1"/>
    <x v="15"/>
  </r>
  <r>
    <s v="PROP00320"/>
    <s v="Smith Greens 255, USA, New York"/>
    <s v="USA"/>
    <s v="New York"/>
    <s v="New York"/>
    <s v="Smith Greens 255"/>
    <s v="7369"/>
    <s v="+33-649924565"/>
    <x v="1"/>
    <d v="2024-10-12T00:00:00"/>
    <s v="OK"/>
    <s v="OK"/>
    <s v="OK"/>
    <s v="MATCH"/>
    <x v="1"/>
    <n v="0"/>
    <x v="5"/>
  </r>
  <r>
    <s v="PROP00321"/>
    <s v="AustraliaPerth, Australia"/>
    <s v="Australia"/>
    <s v="Perth"/>
    <s v="Perth"/>
    <s v="Australia"/>
    <s v="15397"/>
    <s v="+73-839214656"/>
    <x v="1"/>
    <d v="2024-09-18T00:00:00"/>
    <s v="OK"/>
    <s v="OK"/>
    <s v="OK"/>
    <s v="MATCH"/>
    <x v="1"/>
    <n v="0"/>
    <x v="33"/>
  </r>
  <r>
    <s v="PROP00322"/>
    <s v="Thomas Tunnel 275, Bilbao"/>
    <s v="Spain"/>
    <s v="Bilbao"/>
    <s v="Bilbao"/>
    <s v="Thomas Tunnel 275"/>
    <s v="47954"/>
    <s v="+13-324829465"/>
    <x v="1"/>
    <d v="2024-08-14T00:00:00"/>
    <s v="OK"/>
    <s v="OK"/>
    <s v="OK"/>
    <s v="MATCH"/>
    <x v="1"/>
    <n v="0"/>
    <x v="29"/>
  </r>
  <r>
    <s v="PROP00323"/>
    <s v="Shannon Forges 5, Paris"/>
    <s v="France"/>
    <s v="Paris"/>
    <s v="Paris"/>
    <s v="Shannon Forges 5"/>
    <s v="81124"/>
    <s v="+85-842499052"/>
    <x v="0"/>
    <d v="2023-12-15T00:00:00"/>
    <s v="OK"/>
    <s v="OK"/>
    <s v="OK"/>
    <s v="MATCH"/>
    <x v="1"/>
    <n v="0"/>
    <x v="25"/>
  </r>
  <r>
    <s v="PROP00324"/>
    <s v="HamburgJessica Way23, Germany"/>
    <s v="Germany"/>
    <s v="Hamburg"/>
    <s v="Hamburg"/>
    <s v="HamburgJessica Way23"/>
    <s v="86864"/>
    <s v="+91-692810156"/>
    <x v="1"/>
    <d v="2023-06-22T00:00:00"/>
    <s v="OK"/>
    <s v="OK"/>
    <s v="OK"/>
    <s v="MATCH"/>
    <x v="1"/>
    <n v="0"/>
    <x v="4"/>
  </r>
  <r>
    <s v="PROP00325"/>
    <s v="CanadaCalgaryEllis Burgs119"/>
    <s v="Canada"/>
    <s v="Calgary"/>
    <s v="Calgary"/>
    <s v="CanadaCalgaryEllis Burgs119"/>
    <s v="8473"/>
    <s v="+36-642163636"/>
    <x v="0"/>
    <d v="2025-11-20T00:00:00"/>
    <s v="OK"/>
    <s v="OK"/>
    <s v="OK"/>
    <s v="MATCH"/>
    <x v="1"/>
    <n v="0"/>
    <x v="14"/>
  </r>
  <r>
    <s v="PROP00326"/>
    <s v="AustraliaAdelaide, Australia"/>
    <s v="Australia"/>
    <s v="Adelaide"/>
    <s v="Adelaide"/>
    <s v="Australia"/>
    <s v="90429"/>
    <s v="+53-672859526"/>
    <x v="0"/>
    <d v="2024-12-27T00:00:00"/>
    <s v="OK"/>
    <s v="OK"/>
    <s v="OK"/>
    <s v="MATCH"/>
    <x v="1"/>
    <n v="0"/>
    <x v="22"/>
  </r>
  <r>
    <s v="PROP00327"/>
    <s v="Brisbane, Tracy Mills 245, Australia"/>
    <s v="Australia"/>
    <s v="Brisbane"/>
    <s v="Brisbane"/>
    <s v="Tracy Mills 245"/>
    <s v="10133"/>
    <s v="+48-588321579"/>
    <x v="1"/>
    <d v="2023-07-26T00:00:00"/>
    <s v="OK"/>
    <s v="OK"/>
    <s v="OK"/>
    <s v="MATCH"/>
    <x v="1"/>
    <n v="0"/>
    <x v="20"/>
  </r>
  <r>
    <s v="PROP00328"/>
    <s v="UK, London, Marc Drive 256"/>
    <s v="UK"/>
    <s v="London"/>
    <s v="London"/>
    <s v="Marc Drive 256"/>
    <s v="9110"/>
    <s v="+40-874645092"/>
    <x v="1"/>
    <d v="2023-12-02T00:00:00"/>
    <s v="OK"/>
    <s v="OK"/>
    <s v="OK"/>
    <s v="MATCH"/>
    <x v="1"/>
    <n v="0"/>
    <x v="25"/>
  </r>
  <r>
    <s v="PROP00329"/>
    <s v="Canada, Calgary"/>
    <s v="Canada"/>
    <s v="Calgary"/>
    <s v="Calgary"/>
    <s v="Calgary"/>
    <s v="77225"/>
    <s v="+65-954424282"/>
    <x v="1"/>
    <d v="2025-11-21T00:00:00"/>
    <s v="OK"/>
    <s v="OK"/>
    <s v="OK"/>
    <s v="MATCH"/>
    <x v="1"/>
    <n v="0"/>
    <x v="14"/>
  </r>
  <r>
    <s v="PROP00330"/>
    <s v="AustraliaMelbourneJames Ranch170"/>
    <s v="Australia"/>
    <s v="Melbourne"/>
    <s v="Melbourne"/>
    <s v="AustraliaMelbourneJames Ranch170"/>
    <s v="70042"/>
    <s v="+19-425560833"/>
    <x v="0"/>
    <d v="2022-12-25T00:00:00"/>
    <s v="OK"/>
    <s v="OK"/>
    <s v="OK"/>
    <s v="MATCH"/>
    <x v="1"/>
    <n v="0"/>
    <x v="7"/>
  </r>
  <r>
    <s v="PROP00331"/>
    <s v="USAHouston"/>
    <s v="USA"/>
    <s v="Houston"/>
    <s v="Houston"/>
    <s v=""/>
    <s v="56888"/>
    <s v="+9-506116383"/>
    <x v="0"/>
    <d v="2023-12-04T00:00:00"/>
    <s v="MISSING"/>
    <s v="OK"/>
    <s v="OK"/>
    <s v="MATCH"/>
    <x v="0"/>
    <n v="1"/>
    <x v="25"/>
  </r>
  <r>
    <s v="PROP00332"/>
    <s v="Australia, Brisbane"/>
    <s v="Australia"/>
    <s v="Brisbane"/>
    <s v="Brisbane"/>
    <s v="Brisbane"/>
    <s v="86315"/>
    <s v="+74-680505115"/>
    <x v="1"/>
    <d v="2023-12-29T00:00:00"/>
    <s v="OK"/>
    <s v="OK"/>
    <s v="OK"/>
    <s v="MATCH"/>
    <x v="1"/>
    <n v="0"/>
    <x v="25"/>
  </r>
  <r>
    <s v="PROP00333"/>
    <s v="France, Paris, Russell Forks 185"/>
    <s v="France"/>
    <s v="Paris"/>
    <s v="Paris"/>
    <s v="Russell Forks 185"/>
    <s v="54740"/>
    <s v="+38-561996820"/>
    <x v="1"/>
    <d v="2024-03-20T00:00:00"/>
    <s v="OK"/>
    <s v="OK"/>
    <s v="OK"/>
    <s v="MATCH"/>
    <x v="1"/>
    <n v="0"/>
    <x v="32"/>
  </r>
  <r>
    <s v="PROP00334"/>
    <s v="Los Angeles, Wilcox Locks 70, USA"/>
    <s v="USA"/>
    <s v="Los Angeles"/>
    <s v="Los Angeles"/>
    <s v="Wilcox Locks 70"/>
    <s v="55025"/>
    <s v="+18-715557014"/>
    <x v="1"/>
    <d v="2024-03-26T00:00:00"/>
    <s v="OK"/>
    <s v="OK"/>
    <s v="OK"/>
    <s v="MATCH"/>
    <x v="1"/>
    <n v="0"/>
    <x v="32"/>
  </r>
  <r>
    <s v="PROP00335"/>
    <s v="Germany, Frankfurt, Larry Island 100"/>
    <s v="Germany"/>
    <s v="Frankfurt"/>
    <s v="Frankfurt"/>
    <s v="Larry Island 100"/>
    <s v="87678"/>
    <s v="+36-499389023"/>
    <x v="1"/>
    <d v="2025-03-30T00:00:00"/>
    <s v="OK"/>
    <s v="OK"/>
    <s v="OK"/>
    <s v="MATCH"/>
    <x v="1"/>
    <n v="0"/>
    <x v="15"/>
  </r>
  <r>
    <s v="PROP00336"/>
    <s v="Brooks Drives 68, Japan, Osaka"/>
    <s v="Japan"/>
    <s v="Osaka"/>
    <s v="Osaka"/>
    <s v="Brooks Drives 68"/>
    <s v="90524"/>
    <s v="+36-687023082"/>
    <x v="0"/>
    <d v="2025-11-03T00:00:00"/>
    <s v="OK"/>
    <s v="OK"/>
    <s v="OK"/>
    <s v="MATCH"/>
    <x v="1"/>
    <n v="0"/>
    <x v="14"/>
  </r>
  <r>
    <s v="PROP00337"/>
    <s v="UK, Leeds"/>
    <s v="UK"/>
    <s v="Leeds"/>
    <s v="Leeds"/>
    <s v="Leeds"/>
    <s v="11689"/>
    <s v="+24-294930259"/>
    <x v="0"/>
    <d v="2023-11-25T00:00:00"/>
    <s v="OK"/>
    <s v="OK"/>
    <s v="OK"/>
    <s v="MATCH"/>
    <x v="1"/>
    <n v="0"/>
    <x v="1"/>
  </r>
  <r>
    <s v="PROP00338"/>
    <s v="BordeauxRyan Summit13, France"/>
    <s v="France"/>
    <s v="Bordeaux"/>
    <s v="Bordeaux"/>
    <s v="BordeauxRyan Summit13"/>
    <s v="97336"/>
    <s v="+99-946409846"/>
    <x v="1"/>
    <d v="2023-06-28T00:00:00"/>
    <s v="OK"/>
    <s v="OK"/>
    <s v="OK"/>
    <s v="MATCH"/>
    <x v="1"/>
    <n v="0"/>
    <x v="4"/>
  </r>
  <r>
    <s v="PROP00339"/>
    <s v="Cain Point 186, USA, Phoenix"/>
    <s v="USA"/>
    <s v="Phoenix"/>
    <s v="Phoenix"/>
    <s v="Cain Point 186"/>
    <s v="8362"/>
    <s v="+36-940622025"/>
    <x v="0"/>
    <d v="2025-09-10T00:00:00"/>
    <s v="OK"/>
    <s v="OK"/>
    <s v="OK"/>
    <s v="MATCH"/>
    <x v="1"/>
    <n v="0"/>
    <x v="19"/>
  </r>
  <r>
    <s v="PROP00340"/>
    <s v="FranceBordeauxSantiago Loop66"/>
    <s v="France"/>
    <s v="Bordeaux"/>
    <s v="Bordeaux"/>
    <s v="FranceBordeauxSantiago Loop66"/>
    <s v="46847"/>
    <s v="+39-791814890"/>
    <x v="1"/>
    <d v="2025-02-12T00:00:00"/>
    <s v="OK"/>
    <s v="OK"/>
    <s v="OK"/>
    <s v="MATCH"/>
    <x v="1"/>
    <n v="0"/>
    <x v="31"/>
  </r>
  <r>
    <s v="PROP00341"/>
    <s v="GermanyMunichParrish Stravenue265"/>
    <s v="Germany"/>
    <s v="Munich"/>
    <s v="Munich"/>
    <s v="GermanyMunichParrish Stravenue265"/>
    <s v="7244"/>
    <s v="+35-188431370"/>
    <x v="0"/>
    <d v="2023-02-09T00:00:00"/>
    <s v="OK"/>
    <s v="OK"/>
    <s v="OK"/>
    <s v="MATCH"/>
    <x v="1"/>
    <n v="0"/>
    <x v="3"/>
  </r>
  <r>
    <s v="PROP00342"/>
    <s v="ItalyMilan"/>
    <s v="Italy"/>
    <s v="Milan"/>
    <s v="Milan"/>
    <s v=""/>
    <s v="14080"/>
    <s v="+93-413223741"/>
    <x v="1"/>
    <d v="2025-04-01T00:00:00"/>
    <s v="MISSING"/>
    <s v="OK"/>
    <s v="OK"/>
    <s v="MATCH"/>
    <x v="0"/>
    <n v="1"/>
    <x v="6"/>
  </r>
  <r>
    <s v="PROP00343"/>
    <s v="ToulouseEric Orchard239, France"/>
    <s v="France"/>
    <s v="Toulouse"/>
    <s v="Toulouse"/>
    <s v="ToulouseEric Orchard239"/>
    <s v="29893"/>
    <s v="+17-841983540"/>
    <x v="1"/>
    <d v="2023-09-22T00:00:00"/>
    <s v="OK"/>
    <s v="OK"/>
    <s v="OK"/>
    <s v="MATCH"/>
    <x v="1"/>
    <n v="0"/>
    <x v="21"/>
  </r>
  <r>
    <s v="PROP00344"/>
    <s v="Michael Point 90, Japan, Tokyo"/>
    <s v="Japan"/>
    <s v="Tokyo"/>
    <s v="Tokyo"/>
    <s v="Michael Point 90"/>
    <s v="48677"/>
    <s v="+56-533009180"/>
    <x v="1"/>
    <d v="2023-07-22T00:00:00"/>
    <s v="OK"/>
    <s v="OK"/>
    <s v="OK"/>
    <s v="MATCH"/>
    <x v="1"/>
    <n v="0"/>
    <x v="20"/>
  </r>
  <r>
    <s v="PROP00345"/>
    <s v="GermanyBerlinKathryn Ports35"/>
    <s v="Germany"/>
    <s v="Berlin"/>
    <s v="Berlin"/>
    <s v="GermanyBerlinKathryn Ports35"/>
    <s v="30144"/>
    <s v="+89-331541889"/>
    <x v="0"/>
    <d v="2024-06-30T00:00:00"/>
    <s v="OK"/>
    <s v="OK"/>
    <s v="OK"/>
    <s v="MATCH"/>
    <x v="1"/>
    <n v="0"/>
    <x v="9"/>
  </r>
  <r>
    <s v="PROP00346"/>
    <s v="Bruce Trafficway 94, Manchester"/>
    <s v="UK"/>
    <s v="Manchester"/>
    <s v="Manchester"/>
    <s v="Bruce Trafficway 94"/>
    <s v="81991"/>
    <s v="+56-586911127"/>
    <x v="1"/>
    <d v="2023-05-17T00:00:00"/>
    <s v="OK"/>
    <s v="OK"/>
    <s v="OK"/>
    <s v="MATCH"/>
    <x v="1"/>
    <n v="0"/>
    <x v="24"/>
  </r>
  <r>
    <s v="PROP00347"/>
    <s v="BrazilSalvadorChelsea Shoals133"/>
    <s v="Brazil"/>
    <s v="Salvador"/>
    <s v="Salvador"/>
    <s v="BrazilSalvadorChelsea Shoals133"/>
    <s v="91395"/>
    <s v="+84-358153343"/>
    <x v="1"/>
    <d v="2023-03-10T00:00:00"/>
    <s v="OK"/>
    <s v="OK"/>
    <s v="OK"/>
    <s v="MATCH"/>
    <x v="1"/>
    <n v="0"/>
    <x v="28"/>
  </r>
  <r>
    <s v="PROP00348"/>
    <s v="GermanyBerlin, Germany"/>
    <s v="Germany"/>
    <s v="Berlin"/>
    <s v="Berlin"/>
    <s v="Germany"/>
    <s v="92605"/>
    <s v="+85-673844231"/>
    <x v="1"/>
    <d v="2025-02-22T00:00:00"/>
    <s v="OK"/>
    <s v="OK"/>
    <s v="OK"/>
    <s v="MATCH"/>
    <x v="1"/>
    <n v="0"/>
    <x v="31"/>
  </r>
  <r>
    <s v="PROP00349"/>
    <s v="GermanyFrankfurt"/>
    <s v="Germany"/>
    <s v="Frankfurt"/>
    <s v="Frankfurt"/>
    <s v=""/>
    <s v="1301"/>
    <s v="+53-539474257"/>
    <x v="1"/>
    <d v="2025-10-15T00:00:00"/>
    <s v="MISSING"/>
    <s v="OK"/>
    <s v="OK"/>
    <s v="MATCH"/>
    <x v="0"/>
    <n v="1"/>
    <x v="8"/>
  </r>
  <r>
    <s v="PROP00350"/>
    <s v="UKManchester"/>
    <s v="UK"/>
    <s v="Manchester"/>
    <s v="Manchester"/>
    <s v=""/>
    <s v="86660"/>
    <s v="+1-167381279"/>
    <x v="1"/>
    <d v="2025-10-08T00:00:00"/>
    <s v="MISSING"/>
    <s v="OK"/>
    <s v="OK"/>
    <s v="MATCH"/>
    <x v="0"/>
    <n v="1"/>
    <x v="8"/>
  </r>
  <r>
    <s v="PROP00351"/>
    <s v="Los Angeles, Jones Streets 121, USA"/>
    <s v="USA"/>
    <s v="Los Angeles"/>
    <s v="Los Angeles"/>
    <s v="Jones Streets 121"/>
    <s v="83492"/>
    <s v="+79-517550358"/>
    <x v="0"/>
    <d v="2024-04-19T00:00:00"/>
    <s v="OK"/>
    <s v="OK"/>
    <s v="OK"/>
    <s v="MATCH"/>
    <x v="1"/>
    <n v="0"/>
    <x v="2"/>
  </r>
  <r>
    <s v="PROP00352"/>
    <s v="BrazilRio de Janeiro"/>
    <s v="Brazil"/>
    <s v="Rio de Janeiro"/>
    <s v="Rio de Janeiro"/>
    <s v=""/>
    <s v="28698"/>
    <s v="+13-374861883"/>
    <x v="1"/>
    <d v="2025-08-08T00:00:00"/>
    <s v="MISSING"/>
    <s v="OK"/>
    <s v="OK"/>
    <s v="MATCH"/>
    <x v="0"/>
    <n v="1"/>
    <x v="30"/>
  </r>
  <r>
    <s v="PROP00353"/>
    <s v="UK, London"/>
    <s v="UK"/>
    <s v="London"/>
    <s v="London"/>
    <s v="London"/>
    <s v="21132"/>
    <s v="+53-802440237"/>
    <x v="1"/>
    <d v="2025-08-24T00:00:00"/>
    <s v="OK"/>
    <s v="OK"/>
    <s v="OK"/>
    <s v="MATCH"/>
    <x v="1"/>
    <n v="0"/>
    <x v="30"/>
  </r>
  <r>
    <s v="PROP00354"/>
    <s v="Germany, Hamburg"/>
    <s v="Germany"/>
    <s v="Hamburg"/>
    <s v="Hamburg"/>
    <s v="Hamburg"/>
    <s v="74896"/>
    <s v="+32-360341836"/>
    <x v="0"/>
    <d v="2023-07-06T00:00:00"/>
    <s v="OK"/>
    <s v="OK"/>
    <s v="OK"/>
    <s v="MATCH"/>
    <x v="1"/>
    <n v="0"/>
    <x v="20"/>
  </r>
  <r>
    <s v="PROP00355"/>
    <s v="FranceToulouse"/>
    <s v="France"/>
    <s v="Toulouse"/>
    <s v="Toulouse"/>
    <s v=""/>
    <s v="21133"/>
    <s v="+50-839475904"/>
    <x v="0"/>
    <d v="2023-07-07T00:00:00"/>
    <s v="MISSING"/>
    <s v="OK"/>
    <s v="OK"/>
    <s v="MATCH"/>
    <x v="0"/>
    <n v="1"/>
    <x v="20"/>
  </r>
  <r>
    <s v="PROP00356"/>
    <s v="USAHouston, USA"/>
    <s v="USA"/>
    <s v="Houston"/>
    <s v="Houston"/>
    <s v="USA"/>
    <s v="58580"/>
    <s v="+60-504486149"/>
    <x v="1"/>
    <d v="2025-05-08T00:00:00"/>
    <s v="OK"/>
    <s v="OK"/>
    <s v="OK"/>
    <s v="MATCH"/>
    <x v="1"/>
    <n v="0"/>
    <x v="27"/>
  </r>
  <r>
    <s v="PROP00357"/>
    <s v="Australia, Perth"/>
    <s v="Australia"/>
    <s v="Perth"/>
    <s v="Perth"/>
    <s v="Perth"/>
    <s v="54788"/>
    <s v="+36-723306187"/>
    <x v="1"/>
    <d v="2023-04-28T00:00:00"/>
    <s v="OK"/>
    <s v="OK"/>
    <s v="OK"/>
    <s v="MATCH"/>
    <x v="1"/>
    <n v="0"/>
    <x v="23"/>
  </r>
  <r>
    <s v="PROP00358"/>
    <s v="Lewis Passage 280, Houston"/>
    <s v="USA"/>
    <s v="Houston"/>
    <s v="Houston"/>
    <s v="Lewis Passage 280"/>
    <s v="15419"/>
    <s v="+56-432358396"/>
    <x v="1"/>
    <d v="2025-09-21T00:00:00"/>
    <s v="OK"/>
    <s v="OK"/>
    <s v="OK"/>
    <s v="MATCH"/>
    <x v="1"/>
    <n v="0"/>
    <x v="19"/>
  </r>
  <r>
    <s v="PROP00359"/>
    <s v="FranceLyonJordan Haven126"/>
    <s v="France"/>
    <s v="Lyon"/>
    <s v="Lyon"/>
    <s v="FranceLyonJordan Haven126"/>
    <s v="89396"/>
    <s v="+48-456026814"/>
    <x v="0"/>
    <d v="2023-02-22T00:00:00"/>
    <s v="OK"/>
    <s v="OK"/>
    <s v="OK"/>
    <s v="MATCH"/>
    <x v="1"/>
    <n v="0"/>
    <x v="3"/>
  </r>
  <r>
    <s v="PROP00360"/>
    <s v="Rose Inlet 229, Brazil, São Paulo"/>
    <s v="Brazil"/>
    <s v="São Paulo"/>
    <s v="São Paulo"/>
    <s v="Rose Inlet 229"/>
    <s v="6453"/>
    <s v="+49-226515580"/>
    <x v="1"/>
    <d v="2023-01-29T00:00:00"/>
    <s v="OK"/>
    <s v="OK"/>
    <s v="OK"/>
    <s v="MATCH"/>
    <x v="1"/>
    <n v="0"/>
    <x v="16"/>
  </r>
  <r>
    <s v="PROP00361"/>
    <s v="Japan, Osaka"/>
    <s v="Japan"/>
    <s v="Osaka"/>
    <s v="Osaka"/>
    <s v="Osaka"/>
    <s v="7681"/>
    <s v="+97-811455790"/>
    <x v="1"/>
    <d v="2023-05-15T00:00:00"/>
    <s v="OK"/>
    <s v="OK"/>
    <s v="OK"/>
    <s v="MATCH"/>
    <x v="1"/>
    <n v="0"/>
    <x v="24"/>
  </r>
  <r>
    <s v="PROP00362"/>
    <s v="Germany, Munich"/>
    <s v="Germany"/>
    <s v="Munich"/>
    <s v="Munich"/>
    <s v="Munich"/>
    <s v="18488"/>
    <s v="+86-705432664"/>
    <x v="0"/>
    <d v="2025-01-30T00:00:00"/>
    <s v="OK"/>
    <s v="OK"/>
    <s v="OK"/>
    <s v="MATCH"/>
    <x v="1"/>
    <n v="0"/>
    <x v="17"/>
  </r>
  <r>
    <s v="PROP00363"/>
    <s v="BrasíliaRoberts Crest18, Brazil"/>
    <s v="Brazil"/>
    <s v="Brasília"/>
    <s v="Brasília"/>
    <s v="BrasíliaRoberts Crest18"/>
    <s v="1514"/>
    <s v="+35-888099772"/>
    <x v="0"/>
    <d v="2025-10-24T00:00:00"/>
    <s v="OK"/>
    <s v="OK"/>
    <s v="OK"/>
    <s v="MATCH"/>
    <x v="1"/>
    <n v="0"/>
    <x v="8"/>
  </r>
  <r>
    <s v="PROP00364"/>
    <s v="Brazil, Brasília, Burgess Extensions 27"/>
    <s v="Brazil"/>
    <s v="Brasília"/>
    <s v="Brasília"/>
    <s v="Burgess Extensions 27"/>
    <s v="17433"/>
    <s v="+46-324127035"/>
    <x v="1"/>
    <d v="2023-05-06T00:00:00"/>
    <s v="OK"/>
    <s v="OK"/>
    <s v="OK"/>
    <s v="MATCH"/>
    <x v="1"/>
    <n v="0"/>
    <x v="24"/>
  </r>
  <r>
    <s v="PROP00365"/>
    <s v="Italy, Milan"/>
    <s v="Italy"/>
    <s v="Milan"/>
    <s v="Milan"/>
    <s v="Milan"/>
    <s v="66071"/>
    <s v="+43-838162581"/>
    <x v="0"/>
    <d v="2023-02-03T00:00:00"/>
    <s v="OK"/>
    <s v="OK"/>
    <s v="OK"/>
    <s v="MATCH"/>
    <x v="1"/>
    <n v="0"/>
    <x v="3"/>
  </r>
  <r>
    <s v="PROP00366"/>
    <s v="Jones Wall 178, Italy, Turin"/>
    <s v="Italy"/>
    <s v="Turin"/>
    <s v="Turin"/>
    <s v="Jones Wall 178"/>
    <s v="97761"/>
    <s v="+92-650896176"/>
    <x v="0"/>
    <d v="2025-08-22T00:00:00"/>
    <s v="OK"/>
    <s v="OK"/>
    <s v="OK"/>
    <s v="MATCH"/>
    <x v="1"/>
    <n v="0"/>
    <x v="30"/>
  </r>
  <r>
    <s v="PROP00367"/>
    <s v="Japan, Osaka"/>
    <s v="Japan"/>
    <s v="Osaka"/>
    <s v="Osaka"/>
    <s v="Osaka"/>
    <s v="10706"/>
    <s v="+45-571129094"/>
    <x v="0"/>
    <d v="2024-10-07T00:00:00"/>
    <s v="OK"/>
    <s v="OK"/>
    <s v="OK"/>
    <s v="MATCH"/>
    <x v="1"/>
    <n v="0"/>
    <x v="5"/>
  </r>
  <r>
    <s v="PROP00368"/>
    <s v="Germany, Hamburg, Johnston Ports 70"/>
    <s v="Germany"/>
    <s v="Hamburg"/>
    <s v="Hamburg"/>
    <s v="Johnston Ports 70"/>
    <s v="53509"/>
    <s v="+75-230199688"/>
    <x v="1"/>
    <d v="2024-12-10T00:00:00"/>
    <s v="OK"/>
    <s v="OK"/>
    <s v="OK"/>
    <s v="MATCH"/>
    <x v="1"/>
    <n v="0"/>
    <x v="22"/>
  </r>
  <r>
    <s v="PROP00369"/>
    <s v="Roberts Lodge 244, São Paulo"/>
    <s v="Brazil"/>
    <s v="São Paulo"/>
    <s v="São Paulo"/>
    <s v="Roberts Lodge 244"/>
    <s v="3234"/>
    <s v="+5-488928583"/>
    <x v="0"/>
    <d v="2023-06-10T00:00:00"/>
    <s v="OK"/>
    <s v="OK"/>
    <s v="OK"/>
    <s v="MATCH"/>
    <x v="1"/>
    <n v="0"/>
    <x v="4"/>
  </r>
  <r>
    <s v="PROP00370"/>
    <s v="HamburgJackson River146, Germany"/>
    <s v="Germany"/>
    <s v="Hamburg"/>
    <s v="Hamburg"/>
    <s v="HamburgJackson River146"/>
    <s v="60806"/>
    <s v="+16-711975490"/>
    <x v="1"/>
    <d v="2025-07-12T00:00:00"/>
    <s v="OK"/>
    <s v="OK"/>
    <s v="OK"/>
    <s v="MATCH"/>
    <x v="1"/>
    <n v="0"/>
    <x v="18"/>
  </r>
  <r>
    <s v="PROP00371"/>
    <s v="BilbaoDavis Vista1, Spain"/>
    <s v="Spain"/>
    <s v="Bilbao"/>
    <s v="Bilbao"/>
    <s v="BilbaoDavis Vista1"/>
    <s v="14376"/>
    <s v="+97-568356913"/>
    <x v="1"/>
    <d v="2025-03-09T00:00:00"/>
    <s v="OK"/>
    <s v="OK"/>
    <s v="OK"/>
    <s v="MATCH"/>
    <x v="1"/>
    <n v="0"/>
    <x v="15"/>
  </r>
  <r>
    <s v="PROP00372"/>
    <s v="BirminghamRyan Locks70, UK"/>
    <s v="UK"/>
    <s v="Birmingham"/>
    <s v="Birmingham"/>
    <s v="BirminghamRyan Locks70"/>
    <s v="69177"/>
    <s v="+55-549419018"/>
    <x v="1"/>
    <d v="2025-01-31T00:00:00"/>
    <s v="OK"/>
    <s v="OK"/>
    <s v="OK"/>
    <s v="MATCH"/>
    <x v="1"/>
    <n v="0"/>
    <x v="17"/>
  </r>
  <r>
    <s v="PROP00373"/>
    <s v="Randy Inlet110, Bilbao, Spain"/>
    <s v="Spain"/>
    <s v="Bilbao"/>
    <s v="Bilbao"/>
    <s v="Randy Inlet110"/>
    <s v="98255"/>
    <s v="+61-865729118"/>
    <x v="0"/>
    <d v="2024-03-07T00:00:00"/>
    <s v="OK"/>
    <s v="OK"/>
    <s v="OK"/>
    <s v="MATCH"/>
    <x v="1"/>
    <n v="0"/>
    <x v="32"/>
  </r>
  <r>
    <s v="PROP00374"/>
    <s v="Walker Tunnel 293, Seville"/>
    <s v="Spain"/>
    <s v="Seville"/>
    <s v="Seville"/>
    <s v="Walker Tunnel 293"/>
    <s v="22538"/>
    <s v="+9-322502842"/>
    <x v="1"/>
    <d v="2023-04-19T00:00:00"/>
    <s v="OK"/>
    <s v="OK"/>
    <s v="OK"/>
    <s v="MATCH"/>
    <x v="1"/>
    <n v="0"/>
    <x v="23"/>
  </r>
  <r>
    <s v="PROP00375"/>
    <s v="USA, Los Angeles"/>
    <s v="USA"/>
    <s v="Los Angeles"/>
    <s v="Los Angeles"/>
    <s v="Los Angeles"/>
    <s v="70048"/>
    <s v="+95-343670322"/>
    <x v="0"/>
    <d v="2025-03-17T00:00:00"/>
    <s v="OK"/>
    <s v="OK"/>
    <s v="OK"/>
    <s v="MATCH"/>
    <x v="1"/>
    <n v="0"/>
    <x v="15"/>
  </r>
  <r>
    <s v="PROP00376"/>
    <s v="France, Marseille, Rebecca Keys 118"/>
    <s v="France"/>
    <s v="Marseille"/>
    <s v="Marseille"/>
    <s v="Rebecca Keys 118"/>
    <s v="46520"/>
    <s v="+20-411040716"/>
    <x v="1"/>
    <d v="2025-04-22T00:00:00"/>
    <s v="OK"/>
    <s v="OK"/>
    <s v="OK"/>
    <s v="MATCH"/>
    <x v="1"/>
    <n v="0"/>
    <x v="6"/>
  </r>
  <r>
    <s v="PROP00377"/>
    <s v="USALos Angeles"/>
    <s v="USA"/>
    <s v="Los Angeles"/>
    <s v="Los Angeles"/>
    <s v=""/>
    <s v="34051"/>
    <s v="+90-229400704"/>
    <x v="0"/>
    <d v="2023-07-06T00:00:00"/>
    <s v="MISSING"/>
    <s v="OK"/>
    <s v="OK"/>
    <s v="MATCH"/>
    <x v="0"/>
    <n v="1"/>
    <x v="20"/>
  </r>
  <r>
    <s v="PROP00378"/>
    <s v="Glenn Drives245, Tokyo, Japan"/>
    <s v="Japan"/>
    <s v="Tokyo"/>
    <s v="Tokyo"/>
    <s v="Glenn Drives245"/>
    <s v="86419"/>
    <s v="+16-964482250"/>
    <x v="1"/>
    <d v="2025-01-16T00:00:00"/>
    <s v="OK"/>
    <s v="OK"/>
    <s v="OK"/>
    <s v="MATCH"/>
    <x v="1"/>
    <n v="0"/>
    <x v="17"/>
  </r>
  <r>
    <s v="PROP00379"/>
    <s v="Japan, Osaka, Gregory Trail 300"/>
    <s v="Japan"/>
    <s v="Osaka"/>
    <s v="Osaka"/>
    <s v="Gregory Trail 300"/>
    <s v="82807"/>
    <s v="+80-431993365"/>
    <x v="1"/>
    <d v="2023-01-24T00:00:00"/>
    <s v="OK"/>
    <s v="OK"/>
    <s v="OK"/>
    <s v="MATCH"/>
    <x v="1"/>
    <n v="0"/>
    <x v="16"/>
  </r>
  <r>
    <s v="PROP00380"/>
    <s v="Germany, Berlin"/>
    <s v="Germany"/>
    <s v="Berlin"/>
    <s v="Berlin"/>
    <s v="Berlin"/>
    <s v="76453"/>
    <s v="+36-871988861"/>
    <x v="0"/>
    <d v="2024-08-22T00:00:00"/>
    <s v="OK"/>
    <s v="OK"/>
    <s v="OK"/>
    <s v="MATCH"/>
    <x v="1"/>
    <n v="0"/>
    <x v="29"/>
  </r>
  <r>
    <s v="PROP00381"/>
    <s v="AustraliaPerthMaldonado Port82"/>
    <s v="Australia"/>
    <s v="Perth"/>
    <s v="Perth"/>
    <s v="AustraliaPerthMaldonado Port82"/>
    <s v="84779"/>
    <s v="+15-971471773"/>
    <x v="0"/>
    <d v="2025-11-11T00:00:00"/>
    <s v="OK"/>
    <s v="OK"/>
    <s v="OK"/>
    <s v="MATCH"/>
    <x v="1"/>
    <n v="0"/>
    <x v="14"/>
  </r>
  <r>
    <s v="PROP00382"/>
    <s v="Lin Road43, Frankfurt, Germany"/>
    <s v="Germany"/>
    <s v="Frankfurt"/>
    <s v="Frankfurt"/>
    <s v="Lin Road43"/>
    <s v="41937"/>
    <s v="+16-336591334"/>
    <x v="0"/>
    <d v="2025-10-08T00:00:00"/>
    <s v="OK"/>
    <s v="OK"/>
    <s v="OK"/>
    <s v="MATCH"/>
    <x v="1"/>
    <n v="0"/>
    <x v="8"/>
  </r>
  <r>
    <s v="PROP00383"/>
    <s v="Scott Mountains 218, Perth"/>
    <s v="Australia"/>
    <s v="Perth"/>
    <s v="Perth"/>
    <s v="Scott Mountains 218"/>
    <s v="58462"/>
    <s v="+34-143137890"/>
    <x v="0"/>
    <d v="2023-10-31T00:00:00"/>
    <s v="OK"/>
    <s v="OK"/>
    <s v="OK"/>
    <s v="MATCH"/>
    <x v="1"/>
    <n v="0"/>
    <x v="13"/>
  </r>
  <r>
    <s v="PROP00384"/>
    <s v="Los AngelesHogan Ramp170, USA"/>
    <s v="USA"/>
    <s v="Los Angeles"/>
    <s v="Los Angeles"/>
    <s v="Los AngelesHogan Ramp170"/>
    <s v="7863"/>
    <s v="+40-833911806"/>
    <x v="1"/>
    <d v="2025-02-04T00:00:00"/>
    <s v="OK"/>
    <s v="OK"/>
    <s v="OK"/>
    <s v="MATCH"/>
    <x v="1"/>
    <n v="0"/>
    <x v="31"/>
  </r>
  <r>
    <s v="PROP00385"/>
    <s v="France, Toulouse"/>
    <s v="France"/>
    <s v="Toulouse"/>
    <s v="Toulouse"/>
    <s v="Toulouse"/>
    <s v="61022"/>
    <s v="+91-608530182"/>
    <x v="1"/>
    <d v="2023-06-09T00:00:00"/>
    <s v="OK"/>
    <s v="OK"/>
    <s v="OK"/>
    <s v="MATCH"/>
    <x v="1"/>
    <n v="0"/>
    <x v="4"/>
  </r>
  <r>
    <s v="PROP00386"/>
    <s v="Johnson Land1, Marseille, France"/>
    <s v="France"/>
    <s v="Marseille"/>
    <s v="Marseille"/>
    <s v="Johnson Land1"/>
    <s v="38128"/>
    <s v="+4-983547164"/>
    <x v="0"/>
    <d v="2023-03-06T00:00:00"/>
    <s v="OK"/>
    <s v="OK"/>
    <s v="OK"/>
    <s v="MATCH"/>
    <x v="1"/>
    <n v="0"/>
    <x v="28"/>
  </r>
  <r>
    <s v="PROP00387"/>
    <s v="Japan, Tokyo"/>
    <s v="Japan"/>
    <s v="Tokyo"/>
    <s v="Tokyo"/>
    <s v="Tokyo"/>
    <s v="12336"/>
    <s v="+56-297647545"/>
    <x v="1"/>
    <d v="2023-04-28T00:00:00"/>
    <s v="OK"/>
    <s v="OK"/>
    <s v="OK"/>
    <s v="MATCH"/>
    <x v="1"/>
    <n v="0"/>
    <x v="23"/>
  </r>
  <r>
    <s v="PROP00388"/>
    <s v="Ford Plaza 288, Seville"/>
    <s v="Spain"/>
    <s v="Seville"/>
    <s v="Seville"/>
    <s v="Ford Plaza 288"/>
    <s v="97352"/>
    <s v="+30-277401410"/>
    <x v="0"/>
    <d v="2023-08-27T00:00:00"/>
    <s v="OK"/>
    <s v="OK"/>
    <s v="OK"/>
    <s v="MATCH"/>
    <x v="1"/>
    <n v="0"/>
    <x v="35"/>
  </r>
  <r>
    <s v="PROP00389"/>
    <s v="Shannon Valleys220, Berlin, Germany"/>
    <s v="Germany"/>
    <s v="Berlin"/>
    <s v="Berlin"/>
    <s v="Shannon Valleys220"/>
    <s v="75429"/>
    <s v="+45-703225074"/>
    <x v="1"/>
    <d v="2024-08-01T00:00:00"/>
    <s v="OK"/>
    <s v="OK"/>
    <s v="OK"/>
    <s v="MATCH"/>
    <x v="1"/>
    <n v="0"/>
    <x v="29"/>
  </r>
  <r>
    <s v="PROP00390"/>
    <s v="MelbourneMarc Mountains153, Australia"/>
    <s v="Australia"/>
    <s v="Melbourne"/>
    <s v="Melbourne"/>
    <s v="MelbourneMarc Mountains153"/>
    <s v="66216"/>
    <s v="+20-174104712"/>
    <x v="1"/>
    <d v="2024-05-11T00:00:00"/>
    <s v="OK"/>
    <s v="OK"/>
    <s v="OK"/>
    <s v="MATCH"/>
    <x v="1"/>
    <n v="0"/>
    <x v="12"/>
  </r>
  <r>
    <s v="PROP00391"/>
    <s v="GermanyHamburg, Germany"/>
    <s v="Germany"/>
    <s v="Hamburg"/>
    <s v="Hamburg"/>
    <s v="Germany"/>
    <s v="14067"/>
    <s v="+46-537543128"/>
    <x v="0"/>
    <d v="2025-07-25T00:00:00"/>
    <s v="OK"/>
    <s v="OK"/>
    <s v="OK"/>
    <s v="MATCH"/>
    <x v="1"/>
    <n v="0"/>
    <x v="18"/>
  </r>
  <r>
    <s v="PROP00392"/>
    <s v="JapanKyoto, Japan"/>
    <s v="Japan"/>
    <s v="Kyoto"/>
    <s v="Kyoto"/>
    <s v="Japan"/>
    <s v="66633"/>
    <s v="+42-525166160"/>
    <x v="0"/>
    <d v="2023-11-12T00:00:00"/>
    <s v="OK"/>
    <s v="OK"/>
    <s v="OK"/>
    <s v="MATCH"/>
    <x v="1"/>
    <n v="0"/>
    <x v="1"/>
  </r>
  <r>
    <s v="PROP00393"/>
    <s v="ItalyNaplesBenjamin Station30"/>
    <s v="Italy"/>
    <s v="Naples"/>
    <s v="Naples"/>
    <s v="ItalyNaplesBenjamin Station30"/>
    <s v="57878"/>
    <s v="+49-719967367"/>
    <x v="1"/>
    <d v="2024-07-18T00:00:00"/>
    <s v="OK"/>
    <s v="OK"/>
    <s v="OK"/>
    <s v="MATCH"/>
    <x v="1"/>
    <n v="0"/>
    <x v="0"/>
  </r>
  <r>
    <s v="PROP00394"/>
    <s v="Warren Ridge 49, Ottawa"/>
    <s v="Canada"/>
    <s v="Ottawa"/>
    <s v="Ottawa"/>
    <s v="Warren Ridge 49"/>
    <s v="21308"/>
    <s v="+18-754159419"/>
    <x v="1"/>
    <d v="2024-03-27T00:00:00"/>
    <s v="OK"/>
    <s v="OK"/>
    <s v="OK"/>
    <s v="MATCH"/>
    <x v="1"/>
    <n v="0"/>
    <x v="32"/>
  </r>
  <r>
    <s v="PROP00395"/>
    <s v="ChicagoWatson Haven5, USA"/>
    <s v="USA"/>
    <s v="Chicago"/>
    <s v="Chicago"/>
    <s v="ChicagoWatson Haven5"/>
    <s v="51280"/>
    <s v="+17-813612190"/>
    <x v="0"/>
    <d v="2023-07-19T00:00:00"/>
    <s v="OK"/>
    <s v="OK"/>
    <s v="OK"/>
    <s v="MATCH"/>
    <x v="1"/>
    <n v="0"/>
    <x v="20"/>
  </r>
  <r>
    <s v="PROP00396"/>
    <s v="SpainValencia, Spain"/>
    <s v="Spain"/>
    <s v="Valencia"/>
    <s v="Valencia"/>
    <s v="Spain"/>
    <s v="78867"/>
    <s v="+98-873956665"/>
    <x v="0"/>
    <d v="2025-07-03T00:00:00"/>
    <s v="OK"/>
    <s v="OK"/>
    <s v="OK"/>
    <s v="MATCH"/>
    <x v="1"/>
    <n v="0"/>
    <x v="18"/>
  </r>
  <r>
    <s v="PROP00397"/>
    <s v="Japan, Sapporo"/>
    <s v="Japan"/>
    <s v="Sapporo"/>
    <s v="Sapporo"/>
    <s v="Sapporo"/>
    <s v="44364"/>
    <s v="+51-385284157"/>
    <x v="0"/>
    <d v="2024-03-06T00:00:00"/>
    <s v="OK"/>
    <s v="OK"/>
    <s v="OK"/>
    <s v="MATCH"/>
    <x v="1"/>
    <n v="0"/>
    <x v="32"/>
  </r>
  <r>
    <s v="PROP00398"/>
    <s v="Sydney, Mark Point 13, Australia"/>
    <s v="Australia"/>
    <s v="Sydney"/>
    <s v="Sydney"/>
    <s v="Mark Point 13"/>
    <s v="89417"/>
    <s v="+5-975556114"/>
    <x v="0"/>
    <d v="2024-10-10T00:00:00"/>
    <s v="OK"/>
    <s v="OK"/>
    <s v="OK"/>
    <s v="MATCH"/>
    <x v="1"/>
    <n v="0"/>
    <x v="5"/>
  </r>
  <r>
    <s v="PROP00399"/>
    <s v="Spain, Barcelona"/>
    <s v="Spain"/>
    <s v="Barcelona"/>
    <s v="Barcelona"/>
    <s v="Barcelona"/>
    <s v="86558"/>
    <s v="+11-414993603"/>
    <x v="0"/>
    <d v="2025-01-18T00:00:00"/>
    <s v="OK"/>
    <s v="OK"/>
    <s v="OK"/>
    <s v="MATCH"/>
    <x v="1"/>
    <n v="0"/>
    <x v="17"/>
  </r>
  <r>
    <s v="PROP00400"/>
    <s v="Mathew Prairie281, London, UK"/>
    <s v="UK"/>
    <s v="London"/>
    <s v="London"/>
    <s v="Mathew Prairie281"/>
    <s v="87481"/>
    <s v="+29-494448329"/>
    <x v="1"/>
    <d v="2023-04-29T00:00:00"/>
    <s v="OK"/>
    <s v="OK"/>
    <s v="OK"/>
    <s v="MATCH"/>
    <x v="1"/>
    <n v="0"/>
    <x v="23"/>
  </r>
  <r>
    <s v="PROP00401"/>
    <s v="AustraliaPerth, Australia"/>
    <s v="Australia"/>
    <s v="Perth"/>
    <s v="Perth"/>
    <s v="Australia"/>
    <s v="86491"/>
    <s v="+90-432118309"/>
    <x v="1"/>
    <d v="2024-08-12T00:00:00"/>
    <s v="OK"/>
    <s v="OK"/>
    <s v="OK"/>
    <s v="MATCH"/>
    <x v="1"/>
    <n v="0"/>
    <x v="29"/>
  </r>
  <r>
    <s v="PROP00402"/>
    <s v="OsakaAnderson Station280, Japan"/>
    <s v="Japan"/>
    <s v="Osaka"/>
    <s v="Osaka"/>
    <s v="OsakaAnderson Station280"/>
    <s v="11605"/>
    <s v="+34-537504305"/>
    <x v="0"/>
    <d v="2023-09-25T00:00:00"/>
    <s v="OK"/>
    <s v="OK"/>
    <s v="OK"/>
    <s v="MATCH"/>
    <x v="1"/>
    <n v="0"/>
    <x v="21"/>
  </r>
  <r>
    <s v="PROP00403"/>
    <s v="GermanyBerlin"/>
    <s v="Germany"/>
    <s v="Berlin"/>
    <s v="Berlin"/>
    <s v=""/>
    <s v="43555"/>
    <s v="+3-857181709"/>
    <x v="1"/>
    <d v="2025-11-14T00:00:00"/>
    <s v="MISSING"/>
    <s v="OK"/>
    <s v="OK"/>
    <s v="MATCH"/>
    <x v="0"/>
    <n v="1"/>
    <x v="14"/>
  </r>
  <r>
    <s v="PROP00404"/>
    <s v="Elizabeth Village 28, Italy, Florence"/>
    <s v="Italy"/>
    <s v="Florence"/>
    <s v="Florence"/>
    <s v="Elizabeth Village 28"/>
    <s v="97333"/>
    <s v="+89-283167109"/>
    <x v="1"/>
    <d v="2024-01-08T00:00:00"/>
    <s v="OK"/>
    <s v="OK"/>
    <s v="OK"/>
    <s v="MATCH"/>
    <x v="1"/>
    <n v="0"/>
    <x v="34"/>
  </r>
  <r>
    <s v="PROP00405"/>
    <s v="CanadaOttawa, Canada"/>
    <s v="Canada"/>
    <s v="Ottawa"/>
    <s v="Ottawa"/>
    <s v="Canada"/>
    <s v="67149"/>
    <s v="+50-786311528"/>
    <x v="0"/>
    <d v="2025-11-17T00:00:00"/>
    <s v="OK"/>
    <s v="OK"/>
    <s v="OK"/>
    <s v="MATCH"/>
    <x v="1"/>
    <n v="0"/>
    <x v="14"/>
  </r>
  <r>
    <s v="PROP00406"/>
    <s v="Smith Inlet 217, UK, Liverpool"/>
    <s v="UK"/>
    <s v="Liverpool"/>
    <s v="Liverpool"/>
    <s v="Smith Inlet 217"/>
    <s v="24128"/>
    <s v="+37-788345347"/>
    <x v="0"/>
    <d v="2025-08-17T00:00:00"/>
    <s v="OK"/>
    <s v="OK"/>
    <s v="OK"/>
    <s v="MATCH"/>
    <x v="1"/>
    <n v="0"/>
    <x v="30"/>
  </r>
  <r>
    <s v="PROP00407"/>
    <s v="Adelaide, Matthew Trafficway 99, Australia"/>
    <s v="Australia"/>
    <s v="Adelaide"/>
    <s v="Adelaide"/>
    <s v="Matthew Trafficway 99"/>
    <s v="64237"/>
    <s v="+64-955163587"/>
    <x v="0"/>
    <d v="2025-08-13T00:00:00"/>
    <s v="OK"/>
    <s v="OK"/>
    <s v="OK"/>
    <s v="MATCH"/>
    <x v="1"/>
    <n v="0"/>
    <x v="30"/>
  </r>
  <r>
    <s v="PROP00408"/>
    <s v="AustraliaAdelaideJeremy Dam14"/>
    <s v="Australia"/>
    <s v="Adelaide"/>
    <s v="Adelaide"/>
    <s v="AustraliaAdelaideJeremy Dam14"/>
    <s v="20809"/>
    <s v="+36-842825305"/>
    <x v="1"/>
    <d v="2024-06-04T00:00:00"/>
    <s v="OK"/>
    <s v="OK"/>
    <s v="OK"/>
    <s v="MATCH"/>
    <x v="1"/>
    <n v="0"/>
    <x v="9"/>
  </r>
  <r>
    <s v="PROP00409"/>
    <s v="Kenneth Turnpike126, Florence, Italy"/>
    <s v="Italy"/>
    <s v="Florence"/>
    <s v="Florence"/>
    <s v="Kenneth Turnpike126"/>
    <s v="13757"/>
    <s v="+41-132112570"/>
    <x v="0"/>
    <d v="2024-02-22T00:00:00"/>
    <s v="OK"/>
    <s v="OK"/>
    <s v="OK"/>
    <s v="MATCH"/>
    <x v="1"/>
    <n v="0"/>
    <x v="10"/>
  </r>
  <r>
    <s v="PROP00410"/>
    <s v="GermanyFrankfurtEbony Wells233"/>
    <s v="Germany"/>
    <s v="Frankfurt"/>
    <s v="Frankfurt"/>
    <s v="GermanyFrankfurtEbony Wells233"/>
    <s v="81507"/>
    <s v="+24-444068690"/>
    <x v="1"/>
    <d v="2023-08-26T00:00:00"/>
    <s v="OK"/>
    <s v="OK"/>
    <s v="OK"/>
    <s v="MATCH"/>
    <x v="1"/>
    <n v="0"/>
    <x v="35"/>
  </r>
  <r>
    <s v="PROP00411"/>
    <s v="Brisbane, Carla Drives 6, Australia"/>
    <s v="Australia"/>
    <s v="Brisbane"/>
    <s v="Brisbane"/>
    <s v="Carla Drives 6"/>
    <s v="21767"/>
    <s v="+19-593541541"/>
    <x v="1"/>
    <d v="2025-06-17T00:00:00"/>
    <s v="OK"/>
    <s v="OK"/>
    <s v="OK"/>
    <s v="MATCH"/>
    <x v="1"/>
    <n v="0"/>
    <x v="11"/>
  </r>
  <r>
    <s v="PROP00412"/>
    <s v="Marie Trail289, Manchester, UK"/>
    <s v="UK"/>
    <s v="Manchester"/>
    <s v="Manchester"/>
    <s v="Marie Trail289"/>
    <s v="82386"/>
    <s v="+33-336117862"/>
    <x v="0"/>
    <d v="2023-11-16T00:00:00"/>
    <s v="OK"/>
    <s v="OK"/>
    <s v="OK"/>
    <s v="MATCH"/>
    <x v="1"/>
    <n v="0"/>
    <x v="1"/>
  </r>
  <r>
    <s v="PROP00413"/>
    <s v="Jennifer Cape130, Naples, Italy"/>
    <s v="Italy"/>
    <s v="Naples"/>
    <s v="Naples"/>
    <s v="Jennifer Cape130"/>
    <s v="54353"/>
    <s v="+46-241858619"/>
    <x v="1"/>
    <d v="2025-10-29T00:00:00"/>
    <s v="OK"/>
    <s v="OK"/>
    <s v="OK"/>
    <s v="MATCH"/>
    <x v="1"/>
    <n v="0"/>
    <x v="8"/>
  </r>
  <r>
    <s v="PROP00414"/>
    <s v="UKBirminghamRhodes Freeway23"/>
    <s v="UK"/>
    <s v="Birmingham"/>
    <s v="Birmingham"/>
    <s v="UKBirminghamRhodes Freeway23"/>
    <s v="58723"/>
    <s v="+39-617860465"/>
    <x v="0"/>
    <d v="2023-05-11T00:00:00"/>
    <s v="OK"/>
    <s v="OK"/>
    <s v="OK"/>
    <s v="MATCH"/>
    <x v="1"/>
    <n v="0"/>
    <x v="24"/>
  </r>
  <r>
    <s v="PROP00415"/>
    <s v="Goodwin Tunnel 111, Perth"/>
    <s v="Australia"/>
    <s v="Perth"/>
    <s v="Perth"/>
    <s v="Goodwin Tunnel 111"/>
    <s v="59342"/>
    <s v="+53-403224896"/>
    <x v="1"/>
    <d v="2025-03-13T00:00:00"/>
    <s v="OK"/>
    <s v="OK"/>
    <s v="OK"/>
    <s v="MATCH"/>
    <x v="1"/>
    <n v="0"/>
    <x v="15"/>
  </r>
  <r>
    <s v="PROP00416"/>
    <s v="Los Angeles, Amanda Inlet 240, USA"/>
    <s v="USA"/>
    <s v="Los Angeles"/>
    <s v="Los Angeles"/>
    <s v="Amanda Inlet 240"/>
    <s v="61975"/>
    <s v="+58-886810870"/>
    <x v="1"/>
    <d v="2022-12-15T00:00:00"/>
    <s v="OK"/>
    <s v="OK"/>
    <s v="OK"/>
    <s v="MATCH"/>
    <x v="1"/>
    <n v="0"/>
    <x v="7"/>
  </r>
  <r>
    <s v="PROP00417"/>
    <s v="Canada, Calgary, Micheal Ports 232"/>
    <s v="Canada"/>
    <s v="Calgary"/>
    <s v="Calgary"/>
    <s v="Micheal Ports 232"/>
    <s v="58250"/>
    <s v="+98-594910452"/>
    <x v="0"/>
    <d v="2025-09-07T00:00:00"/>
    <s v="OK"/>
    <s v="OK"/>
    <s v="OK"/>
    <s v="MATCH"/>
    <x v="1"/>
    <n v="0"/>
    <x v="19"/>
  </r>
  <r>
    <s v="PROP00418"/>
    <s v="FranceMarseille, France"/>
    <s v="France"/>
    <s v="Marseille"/>
    <s v="Marseille"/>
    <s v="France"/>
    <s v="50553"/>
    <s v="+68-301739796"/>
    <x v="1"/>
    <d v="2024-07-20T00:00:00"/>
    <s v="OK"/>
    <s v="OK"/>
    <s v="OK"/>
    <s v="MATCH"/>
    <x v="1"/>
    <n v="0"/>
    <x v="0"/>
  </r>
  <r>
    <s v="PROP00419"/>
    <s v="LondonBurch Viaduct255, UK"/>
    <s v="UK"/>
    <s v="London"/>
    <s v="London"/>
    <s v="LondonBurch Viaduct255"/>
    <s v="26675"/>
    <s v="+3-601870526"/>
    <x v="1"/>
    <d v="2023-02-22T00:00:00"/>
    <s v="OK"/>
    <s v="OK"/>
    <s v="OK"/>
    <s v="MATCH"/>
    <x v="1"/>
    <n v="0"/>
    <x v="3"/>
  </r>
  <r>
    <s v="PROP00420"/>
    <s v="Monique Center 124, Turin"/>
    <s v="Italy"/>
    <s v="Turin"/>
    <s v="Turin"/>
    <s v="Monique Center 124"/>
    <s v="84541"/>
    <s v="+79-560896724"/>
    <x v="1"/>
    <d v="2023-06-04T00:00:00"/>
    <s v="OK"/>
    <s v="OK"/>
    <s v="OK"/>
    <s v="MATCH"/>
    <x v="1"/>
    <n v="0"/>
    <x v="4"/>
  </r>
  <r>
    <s v="PROP00421"/>
    <s v="Italy, Rome, Sawyer Plaza 184"/>
    <s v="Italy"/>
    <s v="Rome"/>
    <s v="Rome"/>
    <s v="Sawyer Plaza 184"/>
    <s v="13947"/>
    <s v="+65-473106814"/>
    <x v="0"/>
    <d v="2025-06-04T00:00:00"/>
    <s v="OK"/>
    <s v="OK"/>
    <s v="OK"/>
    <s v="MATCH"/>
    <x v="1"/>
    <n v="0"/>
    <x v="11"/>
  </r>
  <r>
    <s v="PROP00422"/>
    <s v="Japan, Kyoto"/>
    <s v="Japan"/>
    <s v="Kyoto"/>
    <s v="Kyoto"/>
    <s v="Kyoto"/>
    <s v="21513"/>
    <s v="+12-867104217"/>
    <x v="0"/>
    <d v="2023-12-18T00:00:00"/>
    <s v="OK"/>
    <s v="OK"/>
    <s v="OK"/>
    <s v="MATCH"/>
    <x v="1"/>
    <n v="0"/>
    <x v="25"/>
  </r>
  <r>
    <s v="PROP00423"/>
    <s v="UK, London, Cole Passage 242"/>
    <s v="UK"/>
    <s v="London"/>
    <s v="London"/>
    <s v="Cole Passage 242"/>
    <s v="19814"/>
    <s v="+10-632252713"/>
    <x v="1"/>
    <d v="2024-06-26T00:00:00"/>
    <s v="OK"/>
    <s v="OK"/>
    <s v="OK"/>
    <s v="MATCH"/>
    <x v="1"/>
    <n v="0"/>
    <x v="9"/>
  </r>
  <r>
    <s v="PROP00424"/>
    <s v="France, Paris"/>
    <s v="France"/>
    <s v="Paris"/>
    <s v="Paris"/>
    <s v="Paris"/>
    <s v="59631"/>
    <s v="+30-715287884"/>
    <x v="1"/>
    <d v="2023-11-21T00:00:00"/>
    <s v="OK"/>
    <s v="OK"/>
    <s v="OK"/>
    <s v="MATCH"/>
    <x v="1"/>
    <n v="0"/>
    <x v="1"/>
  </r>
  <r>
    <s v="PROP00425"/>
    <s v="FranceLyon"/>
    <s v="France"/>
    <s v="Lyon"/>
    <s v="Lyon"/>
    <s v=""/>
    <s v="7481"/>
    <s v="+72-101402924"/>
    <x v="0"/>
    <d v="2024-03-11T00:00:00"/>
    <s v="MISSING"/>
    <s v="OK"/>
    <s v="OK"/>
    <s v="MATCH"/>
    <x v="0"/>
    <n v="1"/>
    <x v="32"/>
  </r>
  <r>
    <s v="PROP00426"/>
    <s v="Shaw Freeway 88, Spain, Seville"/>
    <s v="Spain"/>
    <s v="Seville"/>
    <s v="Seville"/>
    <s v="Shaw Freeway 88"/>
    <s v="51116"/>
    <s v="+25-252463908"/>
    <x v="0"/>
    <d v="2023-05-08T00:00:00"/>
    <s v="OK"/>
    <s v="OK"/>
    <s v="OK"/>
    <s v="MATCH"/>
    <x v="1"/>
    <n v="0"/>
    <x v="24"/>
  </r>
  <r>
    <s v="PROP00427"/>
    <s v="Brasília, Nicholas Burgs 214, Brazil"/>
    <s v="Brazil"/>
    <s v="Brasília"/>
    <s v="Brasília"/>
    <s v="Nicholas Burgs 214"/>
    <s v="42271"/>
    <s v="+98-190512043"/>
    <x v="0"/>
    <d v="2023-11-24T00:00:00"/>
    <s v="OK"/>
    <s v="OK"/>
    <s v="OK"/>
    <s v="MATCH"/>
    <x v="1"/>
    <n v="0"/>
    <x v="1"/>
  </r>
  <r>
    <s v="PROP00428"/>
    <s v="Mary Run 169, Bordeaux"/>
    <s v="France"/>
    <s v="Bordeaux"/>
    <s v="Bordeaux"/>
    <s v="Mary Run 169"/>
    <s v="44448"/>
    <s v="+14-408408813"/>
    <x v="1"/>
    <d v="2025-08-22T00:00:00"/>
    <s v="OK"/>
    <s v="OK"/>
    <s v="OK"/>
    <s v="MATCH"/>
    <x v="1"/>
    <n v="0"/>
    <x v="30"/>
  </r>
  <r>
    <s v="PROP00429"/>
    <s v="FranceMarseille"/>
    <s v="France"/>
    <s v="Marseille"/>
    <s v="Marseille"/>
    <s v=""/>
    <s v="62426"/>
    <s v="+30-233506416"/>
    <x v="0"/>
    <d v="2025-05-30T00:00:00"/>
    <s v="MISSING"/>
    <s v="OK"/>
    <s v="OK"/>
    <s v="MATCH"/>
    <x v="0"/>
    <n v="1"/>
    <x v="27"/>
  </r>
  <r>
    <s v="PROP00430"/>
    <s v="Berlin, Katherine Mountains 208, Germany"/>
    <s v="Germany"/>
    <s v="Berlin"/>
    <s v="Berlin"/>
    <s v="Katherine Mountains 208"/>
    <s v="59300"/>
    <s v="+57-231360946"/>
    <x v="0"/>
    <d v="2023-12-11T00:00:00"/>
    <s v="OK"/>
    <s v="OK"/>
    <s v="OK"/>
    <s v="MATCH"/>
    <x v="1"/>
    <n v="0"/>
    <x v="25"/>
  </r>
  <r>
    <s v="PROP00431"/>
    <s v="ItalyRome"/>
    <s v="Italy"/>
    <s v="Rome"/>
    <s v="Rome"/>
    <s v=""/>
    <s v="34045"/>
    <s v="+74-224464313"/>
    <x v="1"/>
    <d v="2023-03-04T00:00:00"/>
    <s v="MISSING"/>
    <s v="OK"/>
    <s v="OK"/>
    <s v="MATCH"/>
    <x v="0"/>
    <n v="1"/>
    <x v="28"/>
  </r>
  <r>
    <s v="PROP00432"/>
    <s v="Munich, Mary Plaza 227, Germany"/>
    <s v="Germany"/>
    <s v="Munich"/>
    <s v="Munich"/>
    <s v="Mary Plaza 227"/>
    <s v="95821"/>
    <s v="+12-313079520"/>
    <x v="1"/>
    <d v="2024-01-02T00:00:00"/>
    <s v="OK"/>
    <s v="OK"/>
    <s v="OK"/>
    <s v="MATCH"/>
    <x v="1"/>
    <n v="0"/>
    <x v="34"/>
  </r>
  <r>
    <s v="PROP00433"/>
    <s v="Rodriguez Heights 58, Berlin"/>
    <s v="Germany"/>
    <s v="Berlin"/>
    <s v="Berlin"/>
    <s v="Rodriguez Heights 58"/>
    <s v="31648"/>
    <s v="+40-885281469"/>
    <x v="1"/>
    <d v="2023-10-05T00:00:00"/>
    <s v="OK"/>
    <s v="OK"/>
    <s v="OK"/>
    <s v="MATCH"/>
    <x v="1"/>
    <n v="0"/>
    <x v="13"/>
  </r>
  <r>
    <s v="PROP00434"/>
    <s v="USA, Houston, Martinez Garden 131"/>
    <s v="USA"/>
    <s v="Houston"/>
    <s v="Houston"/>
    <s v="Martinez Garden 131"/>
    <s v="55528"/>
    <s v="+62-853313608"/>
    <x v="1"/>
    <d v="2024-01-18T00:00:00"/>
    <s v="OK"/>
    <s v="OK"/>
    <s v="OK"/>
    <s v="MATCH"/>
    <x v="1"/>
    <n v="0"/>
    <x v="34"/>
  </r>
  <r>
    <s v="PROP00435"/>
    <s v="USAPhoenix, USA"/>
    <s v="USA"/>
    <s v="Phoenix"/>
    <s v="Phoenix"/>
    <s v="USA"/>
    <s v="66014"/>
    <s v="+38-672393576"/>
    <x v="0"/>
    <d v="2024-03-05T00:00:00"/>
    <s v="OK"/>
    <s v="OK"/>
    <s v="OK"/>
    <s v="MATCH"/>
    <x v="1"/>
    <n v="0"/>
    <x v="32"/>
  </r>
  <r>
    <s v="PROP00436"/>
    <s v="FranceLyon"/>
    <s v="France"/>
    <s v="Lyon"/>
    <s v="Lyon"/>
    <s v=""/>
    <s v="32212"/>
    <s v="+45-554730929"/>
    <x v="1"/>
    <d v="2024-08-17T00:00:00"/>
    <s v="MISSING"/>
    <s v="OK"/>
    <s v="OK"/>
    <s v="MATCH"/>
    <x v="0"/>
    <n v="1"/>
    <x v="29"/>
  </r>
  <r>
    <s v="PROP00437"/>
    <s v="SpainSeville, Spain"/>
    <s v="Spain"/>
    <s v="Seville"/>
    <s v="Seville"/>
    <s v="Spain"/>
    <s v="81085"/>
    <s v="+23-238983003"/>
    <x v="1"/>
    <d v="2025-09-24T00:00:00"/>
    <s v="OK"/>
    <s v="OK"/>
    <s v="OK"/>
    <s v="MATCH"/>
    <x v="1"/>
    <n v="0"/>
    <x v="19"/>
  </r>
  <r>
    <s v="PROP00438"/>
    <s v="FranceToulouse, France"/>
    <s v="France"/>
    <s v="Toulouse"/>
    <s v="Toulouse"/>
    <s v="France"/>
    <s v="25052"/>
    <s v="+78-817396246"/>
    <x v="0"/>
    <d v="2024-08-17T00:00:00"/>
    <s v="OK"/>
    <s v="OK"/>
    <s v="OK"/>
    <s v="MATCH"/>
    <x v="1"/>
    <n v="0"/>
    <x v="29"/>
  </r>
  <r>
    <s v="PROP00439"/>
    <s v="USA, Phoenix, Alexandra Lake 91"/>
    <s v="USA"/>
    <s v="Phoenix"/>
    <s v="Phoenix"/>
    <s v="Alexandra Lake 91"/>
    <s v="9371"/>
    <s v="+71-392240399"/>
    <x v="0"/>
    <d v="2023-06-07T00:00:00"/>
    <s v="OK"/>
    <s v="OK"/>
    <s v="OK"/>
    <s v="MATCH"/>
    <x v="1"/>
    <n v="0"/>
    <x v="4"/>
  </r>
  <r>
    <s v="PROP00440"/>
    <s v="UKBirmingham"/>
    <s v="UK"/>
    <s v="Birmingham"/>
    <s v="Birmingham"/>
    <s v=""/>
    <s v="6207"/>
    <s v="+94-154736831"/>
    <x v="0"/>
    <d v="2025-01-18T00:00:00"/>
    <s v="MISSING"/>
    <s v="OK"/>
    <s v="OK"/>
    <s v="MATCH"/>
    <x v="0"/>
    <n v="1"/>
    <x v="17"/>
  </r>
  <r>
    <s v="PROP00441"/>
    <s v="Zavala Glen 265, Brasília"/>
    <s v="Brazil"/>
    <s v="Brasília"/>
    <s v="Brasília"/>
    <s v="Zavala Glen 265"/>
    <s v="98453"/>
    <s v="+43-223338221"/>
    <x v="0"/>
    <d v="2025-09-02T00:00:00"/>
    <s v="OK"/>
    <s v="OK"/>
    <s v="OK"/>
    <s v="MATCH"/>
    <x v="1"/>
    <n v="0"/>
    <x v="19"/>
  </r>
  <r>
    <s v="PROP00442"/>
    <s v="Michael Cliff204, Melbourne, Australia"/>
    <s v="Australia"/>
    <s v="Melbourne"/>
    <s v="Melbourne"/>
    <s v="Michael Cliff204"/>
    <s v="45694"/>
    <s v="+16-742135188"/>
    <x v="0"/>
    <d v="2024-12-19T00:00:00"/>
    <s v="OK"/>
    <s v="OK"/>
    <s v="OK"/>
    <s v="MATCH"/>
    <x v="1"/>
    <n v="0"/>
    <x v="22"/>
  </r>
  <r>
    <s v="PROP00443"/>
    <s v="Australia, Brisbane"/>
    <s v="Australia"/>
    <s v="Brisbane"/>
    <s v="Brisbane"/>
    <s v="Brisbane"/>
    <s v="14088"/>
    <s v="+54-127510368"/>
    <x v="1"/>
    <d v="2023-11-17T00:00:00"/>
    <s v="OK"/>
    <s v="OK"/>
    <s v="OK"/>
    <s v="MATCH"/>
    <x v="1"/>
    <n v="0"/>
    <x v="1"/>
  </r>
  <r>
    <s v="PROP00444"/>
    <s v="BrisbaneAnderson Knoll292, Australia"/>
    <s v="Australia"/>
    <s v="Brisbane"/>
    <s v="Brisbane"/>
    <s v="BrisbaneAnderson Knoll292"/>
    <s v="72068"/>
    <s v="+60-949162560"/>
    <x v="1"/>
    <d v="2023-02-12T00:00:00"/>
    <s v="OK"/>
    <s v="OK"/>
    <s v="OK"/>
    <s v="MATCH"/>
    <x v="1"/>
    <n v="0"/>
    <x v="3"/>
  </r>
  <r>
    <s v="PROP00445"/>
    <s v="Li Extensions 200, Milan"/>
    <s v="Italy"/>
    <s v="Milan"/>
    <s v="Milan"/>
    <s v="Li Extensions 200"/>
    <s v="90243"/>
    <s v="+66-171023407"/>
    <x v="1"/>
    <d v="2025-06-07T00:00:00"/>
    <s v="OK"/>
    <s v="OK"/>
    <s v="OK"/>
    <s v="MATCH"/>
    <x v="1"/>
    <n v="0"/>
    <x v="11"/>
  </r>
  <r>
    <s v="PROP00446"/>
    <s v="Pollard Neck214, Phoenix, USA"/>
    <s v="USA"/>
    <s v="Phoenix"/>
    <s v="Phoenix"/>
    <s v="Pollard Neck214"/>
    <s v="83303"/>
    <s v="+45-718680766"/>
    <x v="1"/>
    <d v="2025-04-14T00:00:00"/>
    <s v="OK"/>
    <s v="OK"/>
    <s v="OK"/>
    <s v="MATCH"/>
    <x v="1"/>
    <n v="0"/>
    <x v="6"/>
  </r>
  <r>
    <s v="PROP00447"/>
    <s v="Australia, Adelaide, Lisa Circles 122"/>
    <s v="Australia"/>
    <s v="Adelaide"/>
    <s v="Adelaide"/>
    <s v="Lisa Circles 122"/>
    <s v="94354"/>
    <s v="+94-458982105"/>
    <x v="1"/>
    <d v="2025-02-09T00:00:00"/>
    <s v="OK"/>
    <s v="OK"/>
    <s v="OK"/>
    <s v="MATCH"/>
    <x v="1"/>
    <n v="0"/>
    <x v="31"/>
  </r>
  <r>
    <s v="PROP00448"/>
    <s v="UKLondon, UK"/>
    <s v="UK"/>
    <s v="London"/>
    <s v="London"/>
    <s v="UK"/>
    <s v="6242"/>
    <s v="+26-410926680"/>
    <x v="0"/>
    <d v="2025-01-08T00:00:00"/>
    <s v="OK"/>
    <s v="OK"/>
    <s v="OK"/>
    <s v="MATCH"/>
    <x v="1"/>
    <n v="0"/>
    <x v="17"/>
  </r>
  <r>
    <s v="PROP00449"/>
    <s v="France, Toulouse"/>
    <s v="France"/>
    <s v="Toulouse"/>
    <s v="Toulouse"/>
    <s v="Toulouse"/>
    <s v="41143"/>
    <s v="+79-180455801"/>
    <x v="1"/>
    <d v="2025-05-25T00:00:00"/>
    <s v="OK"/>
    <s v="OK"/>
    <s v="OK"/>
    <s v="MATCH"/>
    <x v="1"/>
    <n v="0"/>
    <x v="27"/>
  </r>
  <r>
    <s v="PROP00450"/>
    <s v="ItalyTurin"/>
    <s v="Italy"/>
    <s v="Turin"/>
    <s v="Turin"/>
    <s v=""/>
    <s v="62550"/>
    <s v="+67-887717794"/>
    <x v="0"/>
    <d v="2023-08-13T00:00:00"/>
    <s v="MISSING"/>
    <s v="OK"/>
    <s v="OK"/>
    <s v="MATCH"/>
    <x v="0"/>
    <n v="1"/>
    <x v="35"/>
  </r>
  <r>
    <s v="PROP00451"/>
    <s v="Johnson Rue 284, France, Toulouse"/>
    <s v="France"/>
    <s v="Toulouse"/>
    <s v="Toulouse"/>
    <s v="Johnson Rue 284"/>
    <s v="25549"/>
    <s v="+23-704063687"/>
    <x v="0"/>
    <d v="2024-09-07T00:00:00"/>
    <s v="OK"/>
    <s v="OK"/>
    <s v="OK"/>
    <s v="MATCH"/>
    <x v="1"/>
    <n v="0"/>
    <x v="33"/>
  </r>
  <r>
    <s v="PROP00452"/>
    <s v="Canada, Ottawa, Kelly Tunnel 30"/>
    <s v="Canada"/>
    <s v="Ottawa"/>
    <s v="Ottawa"/>
    <s v="Kelly Tunnel 30"/>
    <s v="6766"/>
    <s v="+72-423719741"/>
    <x v="0"/>
    <d v="2022-12-06T00:00:00"/>
    <s v="OK"/>
    <s v="OK"/>
    <s v="OK"/>
    <s v="MATCH"/>
    <x v="1"/>
    <n v="0"/>
    <x v="7"/>
  </r>
  <r>
    <s v="PROP00453"/>
    <s v="CalgaryNelson Union220, Canada"/>
    <s v="Canada"/>
    <s v="Calgary"/>
    <s v="Calgary"/>
    <s v="CalgaryNelson Union220"/>
    <s v="48738"/>
    <s v="+38-952764932"/>
    <x v="1"/>
    <d v="2025-09-20T00:00:00"/>
    <s v="OK"/>
    <s v="OK"/>
    <s v="OK"/>
    <s v="MATCH"/>
    <x v="1"/>
    <n v="0"/>
    <x v="19"/>
  </r>
  <r>
    <s v="PROP00454"/>
    <s v="GermanyMunichPreston Summit83"/>
    <s v="Germany"/>
    <s v="Munich"/>
    <s v="Munich"/>
    <s v="GermanyMunichPreston Summit83"/>
    <s v="58138"/>
    <s v="+44-342255043"/>
    <x v="0"/>
    <d v="2024-02-29T00:00:00"/>
    <s v="OK"/>
    <s v="OK"/>
    <s v="OK"/>
    <s v="MATCH"/>
    <x v="1"/>
    <n v="0"/>
    <x v="10"/>
  </r>
  <r>
    <s v="PROP00455"/>
    <s v="VancouverMorgan Ferry167, Canada"/>
    <s v="Canada"/>
    <s v="Vancouver"/>
    <s v="Vancouver"/>
    <s v="VancouverMorgan Ferry167"/>
    <s v="65539"/>
    <s v="+42-509314769"/>
    <x v="1"/>
    <d v="2024-11-25T00:00:00"/>
    <s v="OK"/>
    <s v="OK"/>
    <s v="OK"/>
    <s v="MATCH"/>
    <x v="1"/>
    <n v="0"/>
    <x v="36"/>
  </r>
  <r>
    <s v="PROP00456"/>
    <s v="Richardson Union 93, Bordeaux"/>
    <s v="France"/>
    <s v="Bordeaux"/>
    <s v="Bordeaux"/>
    <s v="Richardson Union 93"/>
    <s v="68563"/>
    <s v="+98-974979313"/>
    <x v="0"/>
    <d v="2024-07-30T00:00:00"/>
    <s v="OK"/>
    <s v="OK"/>
    <s v="OK"/>
    <s v="MATCH"/>
    <x v="1"/>
    <n v="0"/>
    <x v="0"/>
  </r>
  <r>
    <s v="PROP00457"/>
    <s v="CanadaToronto"/>
    <s v="Canada"/>
    <s v="Toronto"/>
    <s v="Toronto"/>
    <s v=""/>
    <s v="56141"/>
    <s v="+87-757614648"/>
    <x v="0"/>
    <d v="2024-10-31T00:00:00"/>
    <s v="MISSING"/>
    <s v="OK"/>
    <s v="OK"/>
    <s v="MATCH"/>
    <x v="0"/>
    <n v="1"/>
    <x v="5"/>
  </r>
  <r>
    <s v="PROP00458"/>
    <s v="Valencia, Ryan View 53, Spain"/>
    <s v="Spain"/>
    <s v="Valencia"/>
    <s v="Valencia"/>
    <s v="Ryan View 53"/>
    <s v="24153"/>
    <s v="+29-322663813"/>
    <x v="0"/>
    <d v="2025-10-19T00:00:00"/>
    <s v="OK"/>
    <s v="OK"/>
    <s v="OK"/>
    <s v="MATCH"/>
    <x v="1"/>
    <n v="0"/>
    <x v="8"/>
  </r>
  <r>
    <s v="PROP00459"/>
    <s v="Nagoya, Morris Common 254, Japan"/>
    <s v="Japan"/>
    <s v="Nagoya"/>
    <s v="Nagoya"/>
    <s v="Morris Common 254"/>
    <s v="43482"/>
    <s v="+32-669145934"/>
    <x v="1"/>
    <d v="2023-01-17T00:00:00"/>
    <s v="OK"/>
    <s v="OK"/>
    <s v="OK"/>
    <s v="MATCH"/>
    <x v="1"/>
    <n v="0"/>
    <x v="16"/>
  </r>
  <r>
    <s v="PROP00460"/>
    <s v="Germany, Frankfurt, Parker Rapids 70"/>
    <s v="Germany"/>
    <s v="Frankfurt"/>
    <s v="Frankfurt"/>
    <s v="Parker Rapids 70"/>
    <s v="94566"/>
    <s v="+56-145125978"/>
    <x v="0"/>
    <d v="2023-01-10T00:00:00"/>
    <s v="OK"/>
    <s v="OK"/>
    <s v="OK"/>
    <s v="MATCH"/>
    <x v="1"/>
    <n v="0"/>
    <x v="16"/>
  </r>
  <r>
    <s v="PROP00461"/>
    <s v="Sapporo, Jackson Mills 199, Japan"/>
    <s v="Japan"/>
    <s v="Sapporo"/>
    <s v="Sapporo"/>
    <s v="Jackson Mills 199"/>
    <s v="46578"/>
    <s v="+34-558188661"/>
    <x v="1"/>
    <d v="2024-10-08T00:00:00"/>
    <s v="OK"/>
    <s v="OK"/>
    <s v="OK"/>
    <s v="MATCH"/>
    <x v="1"/>
    <n v="0"/>
    <x v="5"/>
  </r>
  <r>
    <s v="PROP00462"/>
    <s v="Williams Ways 19, Vancouver"/>
    <s v="Canada"/>
    <s v="Vancouver"/>
    <s v="Vancouver"/>
    <s v="Williams Ways 19"/>
    <s v="46711"/>
    <s v="+76-152137537"/>
    <x v="1"/>
    <d v="2025-07-11T00:00:00"/>
    <s v="OK"/>
    <s v="OK"/>
    <s v="OK"/>
    <s v="MATCH"/>
    <x v="1"/>
    <n v="0"/>
    <x v="18"/>
  </r>
  <r>
    <s v="PROP00463"/>
    <s v="FranceLyonHill Turnpike103"/>
    <s v="France"/>
    <s v="Lyon"/>
    <s v="Lyon"/>
    <s v="FranceLyonHill Turnpike103"/>
    <s v="8019"/>
    <s v="+85-919107862"/>
    <x v="0"/>
    <d v="2024-10-24T00:00:00"/>
    <s v="OK"/>
    <s v="OK"/>
    <s v="OK"/>
    <s v="MATCH"/>
    <x v="1"/>
    <n v="0"/>
    <x v="5"/>
  </r>
  <r>
    <s v="PROP00464"/>
    <s v="Japan, Kyoto"/>
    <s v="Japan"/>
    <s v="Kyoto"/>
    <s v="Kyoto"/>
    <s v="Kyoto"/>
    <s v="48120"/>
    <s v="+58-508362262"/>
    <x v="0"/>
    <d v="2025-03-14T00:00:00"/>
    <s v="OK"/>
    <s v="OK"/>
    <s v="OK"/>
    <s v="MATCH"/>
    <x v="1"/>
    <n v="0"/>
    <x v="15"/>
  </r>
  <r>
    <s v="PROP00465"/>
    <s v="SpainMadrid, Spain"/>
    <s v="Spain"/>
    <s v="Madrid"/>
    <s v="Madrid"/>
    <s v="Spain"/>
    <s v="80136"/>
    <s v="+46-735711475"/>
    <x v="1"/>
    <d v="2023-03-19T00:00:00"/>
    <s v="OK"/>
    <s v="OK"/>
    <s v="OK"/>
    <s v="MATCH"/>
    <x v="1"/>
    <n v="0"/>
    <x v="28"/>
  </r>
  <r>
    <s v="PROP00466"/>
    <s v="Johnson Cliff 203, Brazil, Rio de Janeiro"/>
    <s v="Brazil"/>
    <s v="Rio de Janeiro"/>
    <s v="Rio de Janeiro"/>
    <s v="Johnson Cliff 203"/>
    <s v="31433"/>
    <s v="+13-242170344"/>
    <x v="0"/>
    <d v="2024-07-27T00:00:00"/>
    <s v="OK"/>
    <s v="OK"/>
    <s v="OK"/>
    <s v="MATCH"/>
    <x v="1"/>
    <n v="0"/>
    <x v="0"/>
  </r>
  <r>
    <s v="PROP00467"/>
    <s v="Germany, Berlin, Cox Port 212"/>
    <s v="Germany"/>
    <s v="Berlin"/>
    <s v="Berlin"/>
    <s v="Cox Port 212"/>
    <s v="4745"/>
    <s v="+37-893485880"/>
    <x v="1"/>
    <d v="2025-10-31T00:00:00"/>
    <s v="OK"/>
    <s v="OK"/>
    <s v="OK"/>
    <s v="MATCH"/>
    <x v="1"/>
    <n v="0"/>
    <x v="8"/>
  </r>
  <r>
    <s v="PROP00468"/>
    <s v="FortalezaErika Land124, Brazil"/>
    <s v="Brazil"/>
    <s v="Fortaleza"/>
    <s v="Fortaleza"/>
    <s v="FortalezaErika Land124"/>
    <s v="49261"/>
    <s v="+5-419704757"/>
    <x v="1"/>
    <d v="2023-05-06T00:00:00"/>
    <s v="OK"/>
    <s v="OK"/>
    <s v="OK"/>
    <s v="MATCH"/>
    <x v="1"/>
    <n v="0"/>
    <x v="24"/>
  </r>
  <r>
    <s v="PROP00469"/>
    <s v="Spain, Madrid"/>
    <s v="Spain"/>
    <s v="Madrid"/>
    <s v="Madrid"/>
    <s v="Madrid"/>
    <s v="18548"/>
    <s v="+59-183526763"/>
    <x v="1"/>
    <d v="2022-12-30T00:00:00"/>
    <s v="OK"/>
    <s v="OK"/>
    <s v="OK"/>
    <s v="MATCH"/>
    <x v="1"/>
    <n v="0"/>
    <x v="7"/>
  </r>
  <r>
    <s v="PROP00470"/>
    <s v="FranceBordeaux"/>
    <s v="France"/>
    <s v="Bordeaux"/>
    <s v="Bordeaux"/>
    <s v=""/>
    <s v="37029"/>
    <s v="+74-321068602"/>
    <x v="1"/>
    <d v="2024-09-14T00:00:00"/>
    <s v="MISSING"/>
    <s v="OK"/>
    <s v="OK"/>
    <s v="MATCH"/>
    <x v="0"/>
    <n v="1"/>
    <x v="33"/>
  </r>
  <r>
    <s v="PROP00471"/>
    <s v="FranceToulouse"/>
    <s v="France"/>
    <s v="Toulouse"/>
    <s v="Toulouse"/>
    <s v=""/>
    <s v="96927"/>
    <s v="+63-136193132"/>
    <x v="1"/>
    <d v="2023-06-11T00:00:00"/>
    <s v="MISSING"/>
    <s v="OK"/>
    <s v="OK"/>
    <s v="MATCH"/>
    <x v="0"/>
    <n v="1"/>
    <x v="4"/>
  </r>
  <r>
    <s v="PROP00472"/>
    <s v="FortalezaVictor Loaf78, Brazil"/>
    <s v="Brazil"/>
    <s v="Fortaleza"/>
    <s v="Fortaleza"/>
    <s v="FortalezaVictor Loaf78"/>
    <s v="74120"/>
    <s v="+25-415340302"/>
    <x v="1"/>
    <d v="2023-10-09T00:00:00"/>
    <s v="OK"/>
    <s v="OK"/>
    <s v="OK"/>
    <s v="MATCH"/>
    <x v="1"/>
    <n v="0"/>
    <x v="13"/>
  </r>
  <r>
    <s v="PROP00473"/>
    <s v="Japan, Kyoto, Jose Green 128"/>
    <s v="Japan"/>
    <s v="Kyoto"/>
    <s v="Kyoto"/>
    <s v="Jose Green 128"/>
    <s v="92780"/>
    <s v="+78-107362328"/>
    <x v="1"/>
    <d v="2025-08-17T00:00:00"/>
    <s v="OK"/>
    <s v="OK"/>
    <s v="OK"/>
    <s v="MATCH"/>
    <x v="1"/>
    <n v="0"/>
    <x v="30"/>
  </r>
  <r>
    <s v="PROP00474"/>
    <s v="Lewis Ridge143, Montreal, Canada"/>
    <s v="Canada"/>
    <s v="Montreal"/>
    <s v="Montreal"/>
    <s v="Lewis Ridge143"/>
    <s v="37932"/>
    <s v="+79-556631781"/>
    <x v="1"/>
    <d v="2023-04-24T00:00:00"/>
    <s v="OK"/>
    <s v="OK"/>
    <s v="OK"/>
    <s v="MATCH"/>
    <x v="1"/>
    <n v="0"/>
    <x v="23"/>
  </r>
  <r>
    <s v="PROP00475"/>
    <s v="Spain, Barcelona, Gonzalez Dale 165"/>
    <s v="Spain"/>
    <s v="Barcelona"/>
    <s v="Barcelona"/>
    <s v="Gonzalez Dale 165"/>
    <s v="10207"/>
    <s v="+50-933953718"/>
    <x v="0"/>
    <d v="2022-12-14T00:00:00"/>
    <s v="OK"/>
    <s v="OK"/>
    <s v="OK"/>
    <s v="MATCH"/>
    <x v="1"/>
    <n v="0"/>
    <x v="7"/>
  </r>
  <r>
    <s v="PROP00476"/>
    <s v="Thompson Station 269, Brazil, São Paulo"/>
    <s v="Brazil"/>
    <s v="São Paulo"/>
    <s v="São Paulo"/>
    <s v="Thompson Station 269"/>
    <s v="58842"/>
    <s v="+31-135111330"/>
    <x v="1"/>
    <d v="2025-01-20T00:00:00"/>
    <s v="OK"/>
    <s v="OK"/>
    <s v="OK"/>
    <s v="MATCH"/>
    <x v="1"/>
    <n v="0"/>
    <x v="17"/>
  </r>
  <r>
    <s v="PROP00477"/>
    <s v="FlorenceLisa Vista146, Italy"/>
    <s v="Italy"/>
    <s v="Florence"/>
    <s v="Florence"/>
    <s v="FlorenceLisa Vista146"/>
    <s v="42390"/>
    <s v="+62-908839833"/>
    <x v="1"/>
    <d v="2024-12-20T00:00:00"/>
    <s v="OK"/>
    <s v="OK"/>
    <s v="OK"/>
    <s v="MATCH"/>
    <x v="1"/>
    <n v="0"/>
    <x v="22"/>
  </r>
  <r>
    <s v="PROP00478"/>
    <s v="MunichMckinney Plaza135, Germany"/>
    <s v="Germany"/>
    <s v="Munich"/>
    <s v="Munich"/>
    <s v="MunichMckinney Plaza135"/>
    <s v="71564"/>
    <s v="+3-611628103"/>
    <x v="0"/>
    <d v="2024-09-27T00:00:00"/>
    <s v="OK"/>
    <s v="OK"/>
    <s v="OK"/>
    <s v="MATCH"/>
    <x v="1"/>
    <n v="0"/>
    <x v="33"/>
  </r>
  <r>
    <s v="PROP00479"/>
    <s v="USANew York, USA"/>
    <s v="USA"/>
    <s v="New York"/>
    <s v="New York"/>
    <s v="USA"/>
    <s v="21145"/>
    <s v="+49-783942129"/>
    <x v="1"/>
    <d v="2023-09-20T00:00:00"/>
    <s v="OK"/>
    <s v="OK"/>
    <s v="OK"/>
    <s v="MATCH"/>
    <x v="1"/>
    <n v="0"/>
    <x v="21"/>
  </r>
  <r>
    <s v="PROP00480"/>
    <s v="LondonLaura Pass238, UK"/>
    <s v="UK"/>
    <s v="London"/>
    <s v="London"/>
    <s v="LondonLaura Pass238"/>
    <s v="29892"/>
    <s v="+22-656402692"/>
    <x v="0"/>
    <d v="2023-06-20T00:00:00"/>
    <s v="OK"/>
    <s v="OK"/>
    <s v="OK"/>
    <s v="MATCH"/>
    <x v="1"/>
    <n v="0"/>
    <x v="4"/>
  </r>
  <r>
    <s v="PROP00481"/>
    <s v="Tracie Turnpike298, Munich, Germany"/>
    <s v="Germany"/>
    <s v="Munich"/>
    <s v="Munich"/>
    <s v="Tracie Turnpike298"/>
    <s v="18703"/>
    <s v="+31-421010856"/>
    <x v="1"/>
    <d v="2025-11-02T00:00:00"/>
    <s v="OK"/>
    <s v="OK"/>
    <s v="OK"/>
    <s v="MATCH"/>
    <x v="1"/>
    <n v="0"/>
    <x v="14"/>
  </r>
  <r>
    <s v="PROP00482"/>
    <s v="FranceParisKristy Burg137"/>
    <s v="France"/>
    <s v="Paris"/>
    <s v="Paris"/>
    <s v="FranceParisKristy Burg137"/>
    <s v="47804"/>
    <s v="+31-368100660"/>
    <x v="1"/>
    <d v="2024-11-27T00:00:00"/>
    <s v="OK"/>
    <s v="OK"/>
    <s v="OK"/>
    <s v="MATCH"/>
    <x v="1"/>
    <n v="0"/>
    <x v="36"/>
  </r>
  <r>
    <s v="PROP00483"/>
    <s v="Hamburg, Mcdonald Plaza 82, Germany"/>
    <s v="Germany"/>
    <s v="Hamburg"/>
    <s v="Hamburg"/>
    <s v="Mcdonald Plaza 82"/>
    <s v="17510"/>
    <s v="+70-542057882"/>
    <x v="0"/>
    <d v="2023-11-16T00:00:00"/>
    <s v="OK"/>
    <s v="OK"/>
    <s v="OK"/>
    <s v="MATCH"/>
    <x v="1"/>
    <n v="0"/>
    <x v="1"/>
  </r>
  <r>
    <s v="PROP00484"/>
    <s v="UKBirminghamCameron Locks172"/>
    <s v="UK"/>
    <s v="Birmingham"/>
    <s v="Birmingham"/>
    <s v="UKBirminghamCameron Locks172"/>
    <s v="94470"/>
    <s v="+99-542938193"/>
    <x v="0"/>
    <d v="2023-09-10T00:00:00"/>
    <s v="OK"/>
    <s v="OK"/>
    <s v="OK"/>
    <s v="MATCH"/>
    <x v="1"/>
    <n v="0"/>
    <x v="21"/>
  </r>
  <r>
    <s v="PROP00485"/>
    <s v="LeedsFox Trafficway256, UK"/>
    <s v="UK"/>
    <s v="Leeds"/>
    <s v="Leeds"/>
    <s v="LeedsFox Trafficway256"/>
    <s v="54166"/>
    <s v="+20-793213048"/>
    <x v="1"/>
    <d v="2023-11-20T00:00:00"/>
    <s v="OK"/>
    <s v="OK"/>
    <s v="OK"/>
    <s v="MATCH"/>
    <x v="1"/>
    <n v="0"/>
    <x v="1"/>
  </r>
  <r>
    <s v="PROP00486"/>
    <s v="BrazilRio de JaneiroDavid Island268"/>
    <s v="Brazil"/>
    <s v="Rio de Janeiro"/>
    <s v="Rio de Janeiro"/>
    <s v="BrazilRio de JaneiroDavid Island268"/>
    <s v="84693"/>
    <s v="+57-413768767"/>
    <x v="0"/>
    <d v="2024-09-11T00:00:00"/>
    <s v="OK"/>
    <s v="OK"/>
    <s v="OK"/>
    <s v="MATCH"/>
    <x v="1"/>
    <n v="0"/>
    <x v="33"/>
  </r>
  <r>
    <s v="PROP00487"/>
    <s v="CanadaOttawa"/>
    <s v="Canada"/>
    <s v="Ottawa"/>
    <s v="Ottawa"/>
    <s v=""/>
    <s v="68312"/>
    <s v="+88-600277540"/>
    <x v="0"/>
    <d v="2023-10-11T00:00:00"/>
    <s v="MISSING"/>
    <s v="OK"/>
    <s v="OK"/>
    <s v="MATCH"/>
    <x v="0"/>
    <n v="1"/>
    <x v="13"/>
  </r>
  <r>
    <s v="PROP00488"/>
    <s v="JapanKyoto"/>
    <s v="Japan"/>
    <s v="Kyoto"/>
    <s v="Kyoto"/>
    <s v=""/>
    <s v="72761"/>
    <s v="+15-137098483"/>
    <x v="0"/>
    <d v="2025-10-13T00:00:00"/>
    <s v="MISSING"/>
    <s v="OK"/>
    <s v="OK"/>
    <s v="MATCH"/>
    <x v="0"/>
    <n v="1"/>
    <x v="8"/>
  </r>
  <r>
    <s v="PROP00489"/>
    <s v="Spain, Seville, Katrina Curve 179"/>
    <s v="Spain"/>
    <s v="Seville"/>
    <s v="Seville"/>
    <s v="Katrina Curve 179"/>
    <s v="57205"/>
    <s v="+56-258676327"/>
    <x v="1"/>
    <d v="2023-09-08T00:00:00"/>
    <s v="OK"/>
    <s v="OK"/>
    <s v="OK"/>
    <s v="MATCH"/>
    <x v="1"/>
    <n v="0"/>
    <x v="21"/>
  </r>
  <r>
    <s v="PROP00490"/>
    <s v="Marie Path 275, Florence"/>
    <s v="Italy"/>
    <s v="Florence"/>
    <s v="Florence"/>
    <s v="Marie Path 275"/>
    <s v="20557"/>
    <s v="+1-689826228"/>
    <x v="0"/>
    <d v="2022-11-30T00:00:00"/>
    <s v="OK"/>
    <s v="OK"/>
    <s v="OK"/>
    <s v="MATCH"/>
    <x v="1"/>
    <n v="0"/>
    <x v="26"/>
  </r>
  <r>
    <s v="PROP00491"/>
    <s v="Martin Islands 88, USA, Chicago"/>
    <s v="USA"/>
    <s v="Chicago"/>
    <s v="Chicago"/>
    <s v="Martin Islands 88"/>
    <s v="93474"/>
    <s v="+64-641427445"/>
    <x v="1"/>
    <d v="2025-10-24T00:00:00"/>
    <s v="OK"/>
    <s v="OK"/>
    <s v="OK"/>
    <s v="MATCH"/>
    <x v="1"/>
    <n v="0"/>
    <x v="8"/>
  </r>
  <r>
    <s v="PROP00492"/>
    <s v="Michael Path277, Munich, Germany"/>
    <s v="Germany"/>
    <s v="Munich"/>
    <s v="Munich"/>
    <s v="Michael Path277"/>
    <s v="37731"/>
    <s v="+79-245424115"/>
    <x v="1"/>
    <d v="2023-06-10T00:00:00"/>
    <s v="OK"/>
    <s v="OK"/>
    <s v="OK"/>
    <s v="MATCH"/>
    <x v="1"/>
    <n v="0"/>
    <x v="4"/>
  </r>
  <r>
    <s v="PROP00493"/>
    <s v="Japan, Sapporo, John Roads 93"/>
    <s v="Japan"/>
    <s v="Sapporo"/>
    <s v="Sapporo"/>
    <s v="John Roads 93"/>
    <s v="72700"/>
    <s v="+32-613617777"/>
    <x v="1"/>
    <d v="2024-10-22T00:00:00"/>
    <s v="OK"/>
    <s v="OK"/>
    <s v="OK"/>
    <s v="MATCH"/>
    <x v="1"/>
    <n v="0"/>
    <x v="5"/>
  </r>
  <r>
    <s v="PROP00494"/>
    <s v="GermanyHamburg"/>
    <s v="Germany"/>
    <s v="Hamburg"/>
    <s v="Hamburg"/>
    <s v=""/>
    <s v="81035"/>
    <s v="+74-973035711"/>
    <x v="1"/>
    <d v="2023-04-28T00:00:00"/>
    <s v="MISSING"/>
    <s v="OK"/>
    <s v="OK"/>
    <s v="MATCH"/>
    <x v="0"/>
    <n v="1"/>
    <x v="23"/>
  </r>
  <r>
    <s v="PROP00495"/>
    <s v="GermanyMunich"/>
    <s v="Germany"/>
    <s v="Munich"/>
    <s v="Munich"/>
    <s v=""/>
    <s v="78070"/>
    <s v="+11-581262173"/>
    <x v="0"/>
    <d v="2023-07-17T00:00:00"/>
    <s v="MISSING"/>
    <s v="OK"/>
    <s v="OK"/>
    <s v="MATCH"/>
    <x v="0"/>
    <n v="1"/>
    <x v="20"/>
  </r>
  <r>
    <s v="PROP00496"/>
    <s v="ItalyFlorence, Italy"/>
    <s v="Italy"/>
    <s v="Florence"/>
    <s v="Florence"/>
    <s v="Italy"/>
    <s v="94955"/>
    <s v="+61-452777680"/>
    <x v="0"/>
    <d v="2025-06-03T00:00:00"/>
    <s v="OK"/>
    <s v="OK"/>
    <s v="OK"/>
    <s v="MATCH"/>
    <x v="1"/>
    <n v="0"/>
    <x v="11"/>
  </r>
  <r>
    <s v="PROP00497"/>
    <s v="Kirby Port 64, Canada, Toronto"/>
    <s v="Canada"/>
    <s v="Toronto"/>
    <s v="Toronto"/>
    <s v="Kirby Port 64"/>
    <s v="5900"/>
    <s v="+71-713556722"/>
    <x v="1"/>
    <d v="2024-05-10T00:00:00"/>
    <s v="OK"/>
    <s v="OK"/>
    <s v="OK"/>
    <s v="MATCH"/>
    <x v="1"/>
    <n v="0"/>
    <x v="12"/>
  </r>
  <r>
    <s v="PROP00498"/>
    <s v="UKBirmingham, UK"/>
    <s v="UK"/>
    <s v="Birmingham"/>
    <s v="Birmingham"/>
    <s v="UK"/>
    <s v="76099"/>
    <s v="+81-776741061"/>
    <x v="0"/>
    <d v="2023-10-21T00:00:00"/>
    <s v="OK"/>
    <s v="OK"/>
    <s v="OK"/>
    <s v="MATCH"/>
    <x v="1"/>
    <n v="0"/>
    <x v="13"/>
  </r>
  <r>
    <s v="PROP00499"/>
    <s v="Curtis Trafficway 43, Phoenix"/>
    <s v="USA"/>
    <s v="Phoenix"/>
    <s v="Phoenix"/>
    <s v="Curtis Trafficway 43"/>
    <s v="75492"/>
    <s v="+91-483475848"/>
    <x v="0"/>
    <d v="2025-07-01T00:00:00"/>
    <s v="OK"/>
    <s v="OK"/>
    <s v="OK"/>
    <s v="MATCH"/>
    <x v="1"/>
    <n v="0"/>
    <x v="18"/>
  </r>
  <r>
    <s v="PROP00500"/>
    <s v="Montgomery Burgs146, Adelaide, Australia"/>
    <s v="Australia"/>
    <s v="Adelaide"/>
    <s v="Adelaide"/>
    <s v="Montgomery Burgs146"/>
    <s v="65779"/>
    <s v="+21-283047445"/>
    <x v="1"/>
    <d v="2024-11-29T00:00:00"/>
    <s v="OK"/>
    <s v="OK"/>
    <s v="OK"/>
    <s v="MATCH"/>
    <x v="1"/>
    <n v="0"/>
    <x v="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ROP00001"/>
    <s v="FranceToulouse"/>
    <x v="0"/>
    <s v="Toulouse"/>
    <s v="Toulouse"/>
    <s v=""/>
    <s v="32599"/>
    <s v="+17-315833500"/>
    <x v="0"/>
    <x v="0"/>
    <s v="MISSING"/>
    <s v="OK"/>
    <s v="OK"/>
    <s v="MATCH"/>
    <x v="0"/>
    <n v="1"/>
    <x v="0"/>
    <x v="0"/>
    <n v="1"/>
    <n v="1"/>
    <x v="0"/>
  </r>
  <r>
    <s v="PROP00002"/>
    <s v="Lyon, Donald Cove 35, France"/>
    <x v="0"/>
    <s v="Lyon"/>
    <s v="Lyon"/>
    <s v="Donald Cove 35"/>
    <s v="89197"/>
    <s v="+80-319837636"/>
    <x v="1"/>
    <x v="1"/>
    <s v="OK"/>
    <s v="OK"/>
    <s v="OK"/>
    <s v="MATCH"/>
    <x v="1"/>
    <n v="0"/>
    <x v="1"/>
    <x v="1"/>
    <n v="0"/>
    <n v="0"/>
    <x v="1"/>
  </r>
  <r>
    <s v="PROP00003"/>
    <s v="UKLeeds, UK"/>
    <x v="1"/>
    <s v="Leeds"/>
    <s v="Leeds"/>
    <s v="UK"/>
    <s v="4406"/>
    <s v="+9-597990383"/>
    <x v="1"/>
    <x v="2"/>
    <s v="OK"/>
    <s v="OK"/>
    <s v="OK"/>
    <s v="MATCH"/>
    <x v="1"/>
    <n v="0"/>
    <x v="1"/>
    <x v="1"/>
    <n v="0"/>
    <n v="0"/>
    <x v="1"/>
  </r>
  <r>
    <s v="PROP00004"/>
    <s v="ToulouseJeffery Parkways231, France"/>
    <x v="0"/>
    <s v="Toulouse"/>
    <s v="Toulouse"/>
    <s v="ToulouseJeffery Parkways231"/>
    <s v="79408"/>
    <s v="+41-562032557"/>
    <x v="1"/>
    <x v="3"/>
    <s v="OK"/>
    <s v="OK"/>
    <s v="OK"/>
    <s v="MATCH"/>
    <x v="1"/>
    <n v="0"/>
    <x v="2"/>
    <x v="2"/>
    <n v="0"/>
    <n v="0"/>
    <x v="1"/>
  </r>
  <r>
    <s v="PROP00005"/>
    <s v="AdelaideAnna Stravenue73, Australia"/>
    <x v="2"/>
    <s v="Adelaide"/>
    <s v="Adelaide"/>
    <s v="AdelaideAnna Stravenue73"/>
    <s v="85682"/>
    <s v="+58-662081724"/>
    <x v="0"/>
    <x v="4"/>
    <s v="OK"/>
    <s v="OK"/>
    <s v="OK"/>
    <s v="MATCH"/>
    <x v="1"/>
    <n v="0"/>
    <x v="3"/>
    <x v="3"/>
    <n v="0"/>
    <n v="0"/>
    <x v="1"/>
  </r>
  <r>
    <s v="PROP00006"/>
    <s v="USA, Phoenix"/>
    <x v="3"/>
    <s v="Phoenix"/>
    <s v="Phoenix"/>
    <s v="Phoenix"/>
    <s v="36964"/>
    <s v="+75-783458296"/>
    <x v="1"/>
    <x v="5"/>
    <s v="OK"/>
    <s v="OK"/>
    <s v="OK"/>
    <s v="MATCH"/>
    <x v="1"/>
    <n v="0"/>
    <x v="4"/>
    <x v="1"/>
    <n v="0"/>
    <n v="0"/>
    <x v="1"/>
  </r>
  <r>
    <s v="PROP00007"/>
    <s v="Katherine Estate 93, Germany, Cologne"/>
    <x v="4"/>
    <s v="Cologne"/>
    <s v="Cologne"/>
    <s v="Katherine Estate 93"/>
    <s v="92007"/>
    <s v="+24-457327975"/>
    <x v="0"/>
    <x v="6"/>
    <s v="OK"/>
    <s v="OK"/>
    <s v="OK"/>
    <s v="MATCH"/>
    <x v="1"/>
    <n v="0"/>
    <x v="1"/>
    <x v="0"/>
    <n v="0"/>
    <n v="0"/>
    <x v="1"/>
  </r>
  <r>
    <s v="PROP00008"/>
    <s v="Peterson Drives 204, Germany, Cologne"/>
    <x v="4"/>
    <s v="Cologne"/>
    <s v="Cologne"/>
    <s v="Peterson Drives 204"/>
    <s v="28722"/>
    <s v="+49-576610421"/>
    <x v="0"/>
    <x v="7"/>
    <s v="OK"/>
    <s v="OK"/>
    <s v="OK"/>
    <s v="MATCH"/>
    <x v="1"/>
    <n v="0"/>
    <x v="3"/>
    <x v="4"/>
    <n v="0"/>
    <n v="0"/>
    <x v="1"/>
  </r>
  <r>
    <s v="PROP00009"/>
    <s v="SpainBarcelona, Spain"/>
    <x v="5"/>
    <s v="Barcelona"/>
    <s v="Barcelona"/>
    <s v="Spain"/>
    <s v="13177"/>
    <s v="+34-805788258"/>
    <x v="1"/>
    <x v="8"/>
    <s v="OK"/>
    <s v="OK"/>
    <s v="OK"/>
    <s v="MATCH"/>
    <x v="1"/>
    <n v="0"/>
    <x v="5"/>
    <x v="4"/>
    <n v="0"/>
    <n v="0"/>
    <x v="1"/>
  </r>
  <r>
    <s v="PROP00010"/>
    <s v="Abbott Rapids 298, Brazil, Brasília"/>
    <x v="6"/>
    <s v="Brasília"/>
    <s v="Brasília"/>
    <s v="Abbott Rapids 298"/>
    <s v="35172"/>
    <s v="+74-707015923"/>
    <x v="0"/>
    <x v="9"/>
    <s v="OK"/>
    <s v="OK"/>
    <s v="OK"/>
    <s v="MATCH"/>
    <x v="1"/>
    <n v="0"/>
    <x v="6"/>
    <x v="2"/>
    <n v="0"/>
    <n v="0"/>
    <x v="1"/>
  </r>
  <r>
    <s v="PROP00011"/>
    <s v="Australia, Perth"/>
    <x v="2"/>
    <s v="Perth"/>
    <s v="Perth"/>
    <s v="Perth"/>
    <s v="16862"/>
    <s v="+19-563762604"/>
    <x v="0"/>
    <x v="10"/>
    <s v="OK"/>
    <s v="OK"/>
    <s v="OK"/>
    <s v="MATCH"/>
    <x v="1"/>
    <n v="0"/>
    <x v="7"/>
    <x v="4"/>
    <n v="0"/>
    <n v="0"/>
    <x v="1"/>
  </r>
  <r>
    <s v="PROP00012"/>
    <s v="CanadaOttawa"/>
    <x v="7"/>
    <s v="Ottawa"/>
    <s v="Ottawa"/>
    <s v=""/>
    <s v="82898"/>
    <s v="+76-641811982"/>
    <x v="0"/>
    <x v="11"/>
    <s v="MISSING"/>
    <s v="OK"/>
    <s v="OK"/>
    <s v="MATCH"/>
    <x v="0"/>
    <n v="1"/>
    <x v="8"/>
    <x v="3"/>
    <n v="1"/>
    <n v="1"/>
    <x v="0"/>
  </r>
  <r>
    <s v="PROP00013"/>
    <s v="USALos AngelesRay Squares47"/>
    <x v="3"/>
    <s v="Los Angeles"/>
    <s v="Los Angeles"/>
    <s v="USALos AngelesRay Squares47"/>
    <s v="9617"/>
    <s v="+28-603554893"/>
    <x v="0"/>
    <x v="12"/>
    <s v="OK"/>
    <s v="OK"/>
    <s v="OK"/>
    <s v="MATCH"/>
    <x v="1"/>
    <n v="0"/>
    <x v="9"/>
    <x v="4"/>
    <n v="0"/>
    <n v="0"/>
    <x v="1"/>
  </r>
  <r>
    <s v="PROP00014"/>
    <s v="Donna Trail 183, UK, Leeds"/>
    <x v="1"/>
    <s v="Leeds"/>
    <s v="Leeds"/>
    <s v="Donna Trail 183"/>
    <s v="38431"/>
    <s v="+43-971324654"/>
    <x v="1"/>
    <x v="13"/>
    <s v="OK"/>
    <s v="OK"/>
    <s v="OK"/>
    <s v="MATCH"/>
    <x v="1"/>
    <n v="0"/>
    <x v="10"/>
    <x v="2"/>
    <n v="0"/>
    <n v="0"/>
    <x v="1"/>
  </r>
  <r>
    <s v="PROP00015"/>
    <s v="ItalyRome"/>
    <x v="8"/>
    <s v="Rome"/>
    <s v="Rome"/>
    <s v=""/>
    <s v="13739"/>
    <s v="+85-846405798"/>
    <x v="1"/>
    <x v="14"/>
    <s v="MISSING"/>
    <s v="OK"/>
    <s v="OK"/>
    <s v="MATCH"/>
    <x v="0"/>
    <n v="1"/>
    <x v="10"/>
    <x v="1"/>
    <n v="1"/>
    <n v="1"/>
    <x v="0"/>
  </r>
  <r>
    <s v="PROP00016"/>
    <s v="BrazilSalvador, Brazil"/>
    <x v="6"/>
    <s v="Salvador"/>
    <s v="Salvador"/>
    <s v="Brazil"/>
    <s v="48320"/>
    <s v="+27-184834988"/>
    <x v="1"/>
    <x v="15"/>
    <s v="OK"/>
    <s v="OK"/>
    <s v="OK"/>
    <s v="MATCH"/>
    <x v="1"/>
    <n v="0"/>
    <x v="6"/>
    <x v="2"/>
    <n v="0"/>
    <n v="0"/>
    <x v="1"/>
  </r>
  <r>
    <s v="PROP00017"/>
    <s v="CanadaCalgary, Canada"/>
    <x v="7"/>
    <s v="Calgary"/>
    <s v="Calgary"/>
    <s v="Canada"/>
    <s v="88342"/>
    <s v="+28-803880368"/>
    <x v="0"/>
    <x v="16"/>
    <s v="OK"/>
    <s v="OK"/>
    <s v="OK"/>
    <s v="MATCH"/>
    <x v="1"/>
    <n v="0"/>
    <x v="0"/>
    <x v="3"/>
    <n v="0"/>
    <n v="0"/>
    <x v="1"/>
  </r>
  <r>
    <s v="PROP00018"/>
    <s v="UK, Birmingham"/>
    <x v="1"/>
    <s v="Birmingham"/>
    <s v="Birmingham"/>
    <s v="Birmingham"/>
    <s v="85440"/>
    <s v="+41-132506172"/>
    <x v="1"/>
    <x v="17"/>
    <s v="OK"/>
    <s v="OK"/>
    <s v="OK"/>
    <s v="MATCH"/>
    <x v="1"/>
    <n v="0"/>
    <x v="11"/>
    <x v="4"/>
    <n v="0"/>
    <n v="0"/>
    <x v="1"/>
  </r>
  <r>
    <s v="PROP00019"/>
    <s v="BrasíliaChelsea Extension100, Brazil"/>
    <x v="6"/>
    <s v="Brasília"/>
    <s v="Brasília"/>
    <s v="BrasíliaChelsea Extension100"/>
    <s v="70511"/>
    <s v="+67-358446679"/>
    <x v="0"/>
    <x v="18"/>
    <s v="OK"/>
    <s v="OK"/>
    <s v="OK"/>
    <s v="MATCH"/>
    <x v="1"/>
    <n v="0"/>
    <x v="12"/>
    <x v="3"/>
    <n v="0"/>
    <n v="0"/>
    <x v="1"/>
  </r>
  <r>
    <s v="PROP00020"/>
    <s v="Canada, Calgary, Frank Light 65"/>
    <x v="7"/>
    <s v="Calgary"/>
    <s v="Calgary"/>
    <s v="Frank Light 65"/>
    <s v="35883"/>
    <s v="+42-523118317"/>
    <x v="0"/>
    <x v="19"/>
    <s v="OK"/>
    <s v="OK"/>
    <s v="OK"/>
    <s v="MATCH"/>
    <x v="1"/>
    <n v="0"/>
    <x v="13"/>
    <x v="3"/>
    <n v="0"/>
    <n v="0"/>
    <x v="1"/>
  </r>
  <r>
    <s v="PROP00021"/>
    <s v="Chicago, Gabrielle Ville 211, USA"/>
    <x v="3"/>
    <s v="Chicago"/>
    <s v="Chicago"/>
    <s v="Gabrielle Ville 211"/>
    <s v="7832"/>
    <s v="+92-984554908"/>
    <x v="0"/>
    <x v="20"/>
    <s v="OK"/>
    <s v="OK"/>
    <s v="OK"/>
    <s v="MATCH"/>
    <x v="1"/>
    <n v="0"/>
    <x v="5"/>
    <x v="2"/>
    <n v="0"/>
    <n v="0"/>
    <x v="1"/>
  </r>
  <r>
    <s v="PROP00022"/>
    <s v="GermanyMunichLydia Valley281"/>
    <x v="4"/>
    <s v="Munich"/>
    <s v="Munich"/>
    <s v="GermanyMunichLydia Valley281"/>
    <s v="41848"/>
    <s v="+48-719462908"/>
    <x v="0"/>
    <x v="21"/>
    <s v="OK"/>
    <s v="OK"/>
    <s v="OK"/>
    <s v="MATCH"/>
    <x v="1"/>
    <n v="0"/>
    <x v="14"/>
    <x v="2"/>
    <n v="0"/>
    <n v="0"/>
    <x v="1"/>
  </r>
  <r>
    <s v="PROP00023"/>
    <s v="GermanyCologne"/>
    <x v="4"/>
    <s v="Cologne"/>
    <s v="Cologne"/>
    <s v=""/>
    <s v="74842"/>
    <s v="+65-946225910"/>
    <x v="0"/>
    <x v="22"/>
    <s v="MISSING"/>
    <s v="OK"/>
    <s v="OK"/>
    <s v="MATCH"/>
    <x v="0"/>
    <n v="1"/>
    <x v="15"/>
    <x v="0"/>
    <n v="1"/>
    <n v="1"/>
    <x v="0"/>
  </r>
  <r>
    <s v="PROP00024"/>
    <s v="ItalyFlorenceLewis Parks198"/>
    <x v="8"/>
    <s v="Florence"/>
    <s v="Florence"/>
    <s v="ItalyFlorenceLewis Parks198"/>
    <s v="52357"/>
    <s v="+69-262946533"/>
    <x v="1"/>
    <x v="23"/>
    <s v="OK"/>
    <s v="OK"/>
    <s v="OK"/>
    <s v="MATCH"/>
    <x v="1"/>
    <n v="0"/>
    <x v="16"/>
    <x v="1"/>
    <n v="0"/>
    <n v="0"/>
    <x v="1"/>
  </r>
  <r>
    <s v="PROP00025"/>
    <s v="Thomas Dam 63, France, Marseille"/>
    <x v="0"/>
    <s v="Marseille"/>
    <s v="Marseille"/>
    <s v="Thomas Dam 63"/>
    <s v="32826"/>
    <s v="+87-969160078"/>
    <x v="0"/>
    <x v="24"/>
    <s v="OK"/>
    <s v="OK"/>
    <s v="OK"/>
    <s v="MATCH"/>
    <x v="1"/>
    <n v="0"/>
    <x v="17"/>
    <x v="2"/>
    <n v="0"/>
    <n v="0"/>
    <x v="1"/>
  </r>
  <r>
    <s v="PROP00026"/>
    <s v="Burgess Meadow 171, Australia, Melbourne"/>
    <x v="2"/>
    <s v="Melbourne"/>
    <s v="Melbourne"/>
    <s v="Burgess Meadow 171"/>
    <s v="76985"/>
    <s v="+91-598066265"/>
    <x v="1"/>
    <x v="25"/>
    <s v="OK"/>
    <s v="OK"/>
    <s v="OK"/>
    <s v="MATCH"/>
    <x v="1"/>
    <n v="0"/>
    <x v="9"/>
    <x v="0"/>
    <n v="0"/>
    <n v="0"/>
    <x v="1"/>
  </r>
  <r>
    <s v="PROP00027"/>
    <s v="SydneyCox Dam230, Australia"/>
    <x v="2"/>
    <s v="Sydney"/>
    <s v="Sydney"/>
    <s v="SydneyCox Dam230"/>
    <s v="67285"/>
    <s v="+26-438045007"/>
    <x v="0"/>
    <x v="26"/>
    <s v="OK"/>
    <s v="OK"/>
    <s v="OK"/>
    <s v="MATCH"/>
    <x v="1"/>
    <n v="0"/>
    <x v="10"/>
    <x v="4"/>
    <n v="0"/>
    <n v="0"/>
    <x v="1"/>
  </r>
  <r>
    <s v="PROP00028"/>
    <s v="LeedsDavis Causeway293, UK"/>
    <x v="1"/>
    <s v="Leeds"/>
    <s v="Leeds"/>
    <s v="LeedsDavis Causeway293"/>
    <s v="14872"/>
    <s v="+52-806505381"/>
    <x v="1"/>
    <x v="27"/>
    <s v="OK"/>
    <s v="OK"/>
    <s v="OK"/>
    <s v="MATCH"/>
    <x v="1"/>
    <n v="0"/>
    <x v="18"/>
    <x v="4"/>
    <n v="0"/>
    <n v="0"/>
    <x v="1"/>
  </r>
  <r>
    <s v="PROP00029"/>
    <s v="Courtney Turnpike165, Bordeaux, France"/>
    <x v="0"/>
    <s v="Bordeaux"/>
    <s v="Bordeaux"/>
    <s v="Courtney Turnpike165"/>
    <s v="89693"/>
    <s v="+61-184724290"/>
    <x v="0"/>
    <x v="28"/>
    <s v="OK"/>
    <s v="OK"/>
    <s v="OK"/>
    <s v="MATCH"/>
    <x v="1"/>
    <n v="0"/>
    <x v="6"/>
    <x v="3"/>
    <n v="0"/>
    <n v="0"/>
    <x v="1"/>
  </r>
  <r>
    <s v="PROP00030"/>
    <s v="Germany, Cologne"/>
    <x v="4"/>
    <s v="Cologne"/>
    <s v="Cologne"/>
    <s v="Cologne"/>
    <s v="50520"/>
    <s v="+84-507576334"/>
    <x v="1"/>
    <x v="29"/>
    <s v="OK"/>
    <s v="OK"/>
    <s v="OK"/>
    <s v="MATCH"/>
    <x v="1"/>
    <n v="0"/>
    <x v="19"/>
    <x v="2"/>
    <n v="0"/>
    <n v="0"/>
    <x v="1"/>
  </r>
  <r>
    <s v="PROP00031"/>
    <s v="Canada, Ottawa"/>
    <x v="7"/>
    <s v="Ottawa"/>
    <s v="Ottawa"/>
    <s v="Ottawa"/>
    <s v="2005"/>
    <s v="+13-132980297"/>
    <x v="1"/>
    <x v="30"/>
    <s v="OK"/>
    <s v="OK"/>
    <s v="OK"/>
    <s v="MATCH"/>
    <x v="1"/>
    <n v="0"/>
    <x v="13"/>
    <x v="3"/>
    <n v="0"/>
    <n v="0"/>
    <x v="1"/>
  </r>
  <r>
    <s v="PROP00032"/>
    <s v="UKBirmingham, UK"/>
    <x v="1"/>
    <s v="Birmingham"/>
    <s v="Birmingham"/>
    <s v="UK"/>
    <s v="98920"/>
    <s v="+36-618266385"/>
    <x v="0"/>
    <x v="31"/>
    <s v="OK"/>
    <s v="OK"/>
    <s v="OK"/>
    <s v="MATCH"/>
    <x v="1"/>
    <n v="0"/>
    <x v="13"/>
    <x v="0"/>
    <n v="0"/>
    <n v="0"/>
    <x v="1"/>
  </r>
  <r>
    <s v="PROP00033"/>
    <s v="MunichMack Junctions229, Germany"/>
    <x v="4"/>
    <s v="Munich"/>
    <s v="Munich"/>
    <s v="MunichMack Junctions229"/>
    <s v="15122"/>
    <s v="+35-763070022"/>
    <x v="0"/>
    <x v="32"/>
    <s v="OK"/>
    <s v="OK"/>
    <s v="OK"/>
    <s v="MATCH"/>
    <x v="1"/>
    <n v="0"/>
    <x v="20"/>
    <x v="3"/>
    <n v="0"/>
    <n v="0"/>
    <x v="1"/>
  </r>
  <r>
    <s v="PROP00034"/>
    <s v="Graham Motorway 9, Rio de Janeiro"/>
    <x v="6"/>
    <s v="Rio de Janeiro"/>
    <s v="Rio de Janeiro"/>
    <s v="Graham Motorway 9"/>
    <s v="926"/>
    <s v="+5-377335239"/>
    <x v="0"/>
    <x v="33"/>
    <s v="OK"/>
    <s v="OK"/>
    <s v="OK"/>
    <s v="MATCH"/>
    <x v="1"/>
    <n v="0"/>
    <x v="17"/>
    <x v="4"/>
    <n v="0"/>
    <n v="0"/>
    <x v="1"/>
  </r>
  <r>
    <s v="PROP00035"/>
    <s v="UK, Manchester, Stanton Track 112"/>
    <x v="1"/>
    <s v="Manchester"/>
    <s v="Manchester"/>
    <s v="Stanton Track 112"/>
    <s v="23917"/>
    <s v="+82-366448994"/>
    <x v="0"/>
    <x v="34"/>
    <s v="OK"/>
    <s v="OK"/>
    <s v="OK"/>
    <s v="MATCH"/>
    <x v="1"/>
    <n v="0"/>
    <x v="21"/>
    <x v="4"/>
    <n v="0"/>
    <n v="0"/>
    <x v="1"/>
  </r>
  <r>
    <s v="PROP00036"/>
    <s v="Australia, Brisbane, Monica Hills 117"/>
    <x v="2"/>
    <s v="Brisbane"/>
    <s v="Brisbane"/>
    <s v="Monica Hills 117"/>
    <s v="84249"/>
    <s v="+8-137243090"/>
    <x v="0"/>
    <x v="35"/>
    <s v="OK"/>
    <s v="OK"/>
    <s v="OK"/>
    <s v="MATCH"/>
    <x v="1"/>
    <n v="0"/>
    <x v="13"/>
    <x v="3"/>
    <n v="0"/>
    <n v="0"/>
    <x v="1"/>
  </r>
  <r>
    <s v="PROP00037"/>
    <s v="France, Paris, Eric Track 273"/>
    <x v="0"/>
    <s v="Paris"/>
    <s v="Paris"/>
    <s v="Eric Track 273"/>
    <s v="21675"/>
    <s v="+7-834425624"/>
    <x v="1"/>
    <x v="36"/>
    <s v="OK"/>
    <s v="OK"/>
    <s v="OK"/>
    <s v="MATCH"/>
    <x v="1"/>
    <n v="0"/>
    <x v="22"/>
    <x v="1"/>
    <n v="0"/>
    <n v="0"/>
    <x v="1"/>
  </r>
  <r>
    <s v="PROP00038"/>
    <s v="SydneyCarol Overpass103, Australia"/>
    <x v="2"/>
    <s v="Sydney"/>
    <s v="Sydney"/>
    <s v="SydneyCarol Overpass103"/>
    <s v="3053"/>
    <s v="+54-303640140"/>
    <x v="1"/>
    <x v="37"/>
    <s v="OK"/>
    <s v="OK"/>
    <s v="OK"/>
    <s v="MATCH"/>
    <x v="1"/>
    <n v="0"/>
    <x v="8"/>
    <x v="4"/>
    <n v="0"/>
    <n v="0"/>
    <x v="1"/>
  </r>
  <r>
    <s v="PROP00039"/>
    <s v="SapporoSarah Wells54, Japan"/>
    <x v="9"/>
    <s v="Sapporo"/>
    <s v="Sapporo"/>
    <s v="SapporoSarah Wells54"/>
    <s v="40807"/>
    <s v="+15-618313077"/>
    <x v="1"/>
    <x v="38"/>
    <s v="OK"/>
    <s v="OK"/>
    <s v="OK"/>
    <s v="MATCH"/>
    <x v="1"/>
    <n v="0"/>
    <x v="10"/>
    <x v="0"/>
    <n v="0"/>
    <n v="0"/>
    <x v="1"/>
  </r>
  <r>
    <s v="PROP00040"/>
    <s v="Brian Wells1, Cologne, Germany"/>
    <x v="4"/>
    <s v="Cologne"/>
    <s v="Cologne"/>
    <s v="Brian Wells1"/>
    <s v="74865"/>
    <s v="+88-717877765"/>
    <x v="0"/>
    <x v="39"/>
    <s v="OK"/>
    <s v="OK"/>
    <s v="OK"/>
    <s v="MATCH"/>
    <x v="1"/>
    <n v="0"/>
    <x v="0"/>
    <x v="3"/>
    <n v="0"/>
    <n v="0"/>
    <x v="1"/>
  </r>
  <r>
    <s v="PROP00041"/>
    <s v="Christopher Oval 268, Germany, Hamburg"/>
    <x v="4"/>
    <s v="Hamburg"/>
    <s v="Hamburg"/>
    <s v="Christopher Oval 268"/>
    <s v="9572"/>
    <s v="+41-674271263"/>
    <x v="1"/>
    <x v="40"/>
    <s v="OK"/>
    <s v="OK"/>
    <s v="OK"/>
    <s v="MATCH"/>
    <x v="1"/>
    <n v="0"/>
    <x v="23"/>
    <x v="2"/>
    <n v="0"/>
    <n v="0"/>
    <x v="1"/>
  </r>
  <r>
    <s v="PROP00042"/>
    <s v="FranceToulouse, France"/>
    <x v="0"/>
    <s v="Toulouse"/>
    <s v="Toulouse"/>
    <s v="France"/>
    <s v="72564"/>
    <s v="+11-495234164"/>
    <x v="1"/>
    <x v="41"/>
    <s v="OK"/>
    <s v="OK"/>
    <s v="OK"/>
    <s v="MATCH"/>
    <x v="1"/>
    <n v="0"/>
    <x v="24"/>
    <x v="2"/>
    <n v="0"/>
    <n v="0"/>
    <x v="1"/>
  </r>
  <r>
    <s v="PROP00043"/>
    <s v="Joseph Well 117, Salvador"/>
    <x v="6"/>
    <s v="Salvador"/>
    <s v="Salvador"/>
    <s v="Joseph Well 117"/>
    <s v="80008"/>
    <s v="+97-188042154"/>
    <x v="1"/>
    <x v="42"/>
    <s v="OK"/>
    <s v="OK"/>
    <s v="OK"/>
    <s v="MATCH"/>
    <x v="1"/>
    <n v="0"/>
    <x v="9"/>
    <x v="2"/>
    <n v="0"/>
    <n v="0"/>
    <x v="1"/>
  </r>
  <r>
    <s v="PROP00044"/>
    <s v="Brandt Plains 73, Japan, Osaka"/>
    <x v="9"/>
    <s v="Osaka"/>
    <s v="Osaka"/>
    <s v="Brandt Plains 73"/>
    <s v="99495"/>
    <s v="+56-127164941"/>
    <x v="0"/>
    <x v="43"/>
    <s v="OK"/>
    <s v="OK"/>
    <s v="OK"/>
    <s v="MATCH"/>
    <x v="1"/>
    <n v="0"/>
    <x v="15"/>
    <x v="1"/>
    <n v="0"/>
    <n v="0"/>
    <x v="1"/>
  </r>
  <r>
    <s v="PROP00045"/>
    <s v="JapanOsaka"/>
    <x v="9"/>
    <s v="Osaka"/>
    <s v="Osaka"/>
    <s v=""/>
    <s v="88540"/>
    <s v="+56-410716797"/>
    <x v="1"/>
    <x v="44"/>
    <s v="MISSING"/>
    <s v="OK"/>
    <s v="OK"/>
    <s v="MATCH"/>
    <x v="0"/>
    <n v="1"/>
    <x v="1"/>
    <x v="3"/>
    <n v="1"/>
    <n v="1"/>
    <x v="0"/>
  </r>
  <r>
    <s v="PROP00046"/>
    <s v="AustraliaAdelaideKim Path237"/>
    <x v="2"/>
    <s v="Adelaide"/>
    <s v="Adelaide"/>
    <s v="AustraliaAdelaideKim Path237"/>
    <s v="59678"/>
    <s v="+95-122092046"/>
    <x v="0"/>
    <x v="45"/>
    <s v="OK"/>
    <s v="OK"/>
    <s v="OK"/>
    <s v="MATCH"/>
    <x v="1"/>
    <n v="0"/>
    <x v="6"/>
    <x v="4"/>
    <n v="0"/>
    <n v="0"/>
    <x v="1"/>
  </r>
  <r>
    <s v="PROP00047"/>
    <s v="John Circles101, Turin, Italy"/>
    <x v="8"/>
    <s v="Turin"/>
    <s v="Turin"/>
    <s v="John Circles101"/>
    <s v="44814"/>
    <s v="+19-387273819"/>
    <x v="1"/>
    <x v="46"/>
    <s v="OK"/>
    <s v="OK"/>
    <s v="OK"/>
    <s v="MATCH"/>
    <x v="1"/>
    <n v="0"/>
    <x v="25"/>
    <x v="3"/>
    <n v="0"/>
    <n v="0"/>
    <x v="1"/>
  </r>
  <r>
    <s v="PROP00048"/>
    <s v="Brianna Forks 9, Brazil, Brasília"/>
    <x v="6"/>
    <s v="Brasília"/>
    <s v="Brasília"/>
    <s v="Brianna Forks 9"/>
    <s v="77629"/>
    <s v="+62-899523499"/>
    <x v="1"/>
    <x v="47"/>
    <s v="OK"/>
    <s v="OK"/>
    <s v="OK"/>
    <s v="MATCH"/>
    <x v="1"/>
    <n v="0"/>
    <x v="26"/>
    <x v="3"/>
    <n v="0"/>
    <n v="0"/>
    <x v="1"/>
  </r>
  <r>
    <s v="PROP00049"/>
    <s v="Japan, Osaka, Adrian Station 145"/>
    <x v="9"/>
    <s v="Osaka"/>
    <s v="Osaka"/>
    <s v="Adrian Station 145"/>
    <s v="83220"/>
    <s v="+67-672353502"/>
    <x v="0"/>
    <x v="48"/>
    <s v="OK"/>
    <s v="OK"/>
    <s v="OK"/>
    <s v="MATCH"/>
    <x v="1"/>
    <n v="0"/>
    <x v="27"/>
    <x v="2"/>
    <n v="0"/>
    <n v="0"/>
    <x v="1"/>
  </r>
  <r>
    <s v="PROP00050"/>
    <s v="Jeremy Bypass 39, Australia, Sydney"/>
    <x v="2"/>
    <s v="Sydney"/>
    <s v="Sydney"/>
    <s v="Jeremy Bypass 39"/>
    <s v="43810"/>
    <s v="+88-308900942"/>
    <x v="1"/>
    <x v="49"/>
    <s v="OK"/>
    <s v="OK"/>
    <s v="OK"/>
    <s v="MATCH"/>
    <x v="1"/>
    <n v="0"/>
    <x v="8"/>
    <x v="2"/>
    <n v="0"/>
    <n v="0"/>
    <x v="1"/>
  </r>
  <r>
    <s v="PROP00051"/>
    <s v="GermanyCologneWillie Harbors52"/>
    <x v="4"/>
    <s v="Cologne"/>
    <s v="Cologne"/>
    <s v="GermanyCologneWillie Harbors52"/>
    <s v="88185"/>
    <s v="+80-988550237"/>
    <x v="1"/>
    <x v="50"/>
    <s v="OK"/>
    <s v="OK"/>
    <s v="OK"/>
    <s v="MATCH"/>
    <x v="1"/>
    <n v="0"/>
    <x v="28"/>
    <x v="0"/>
    <n v="0"/>
    <n v="0"/>
    <x v="1"/>
  </r>
  <r>
    <s v="PROP00052"/>
    <s v="ItalyRome, Italy"/>
    <x v="8"/>
    <s v="Rome"/>
    <s v="Rome"/>
    <s v="Italy"/>
    <s v="95312"/>
    <s v="+15-682304192"/>
    <x v="0"/>
    <x v="51"/>
    <s v="OK"/>
    <s v="OK"/>
    <s v="OK"/>
    <s v="MATCH"/>
    <x v="1"/>
    <n v="0"/>
    <x v="12"/>
    <x v="2"/>
    <n v="0"/>
    <n v="0"/>
    <x v="1"/>
  </r>
  <r>
    <s v="PROP00053"/>
    <s v="Brazil, Salvador, Sanchez Mountains 24"/>
    <x v="6"/>
    <s v="Salvador"/>
    <s v="Salvador"/>
    <s v="Sanchez Mountains 24"/>
    <s v="53855"/>
    <s v="+73-780711687"/>
    <x v="1"/>
    <x v="52"/>
    <s v="OK"/>
    <s v="OK"/>
    <s v="OK"/>
    <s v="MATCH"/>
    <x v="1"/>
    <n v="0"/>
    <x v="1"/>
    <x v="0"/>
    <n v="0"/>
    <n v="0"/>
    <x v="1"/>
  </r>
  <r>
    <s v="PROP00054"/>
    <s v="SpainMadrid"/>
    <x v="5"/>
    <s v="Madrid"/>
    <s v="Madrid"/>
    <s v=""/>
    <s v="56999"/>
    <s v="+59-479803995"/>
    <x v="0"/>
    <x v="53"/>
    <s v="MISSING"/>
    <s v="OK"/>
    <s v="OK"/>
    <s v="MATCH"/>
    <x v="0"/>
    <n v="1"/>
    <x v="17"/>
    <x v="2"/>
    <n v="1"/>
    <n v="1"/>
    <x v="0"/>
  </r>
  <r>
    <s v="PROP00055"/>
    <s v="Henderson Mountain 121, USA, Los Angeles"/>
    <x v="3"/>
    <s v="Los Angeles"/>
    <s v="Los Angeles"/>
    <s v="Henderson Mountain 121"/>
    <s v="96062"/>
    <s v="+34-334321119"/>
    <x v="0"/>
    <x v="54"/>
    <s v="OK"/>
    <s v="OK"/>
    <s v="OK"/>
    <s v="MATCH"/>
    <x v="1"/>
    <n v="0"/>
    <x v="11"/>
    <x v="0"/>
    <n v="0"/>
    <n v="0"/>
    <x v="1"/>
  </r>
  <r>
    <s v="PROP00056"/>
    <s v="Emily Rue 280, Liverpool"/>
    <x v="1"/>
    <s v="Liverpool"/>
    <s v="Liverpool"/>
    <s v="Emily Rue 280"/>
    <s v="13400"/>
    <s v="+9-449353772"/>
    <x v="1"/>
    <x v="55"/>
    <s v="OK"/>
    <s v="OK"/>
    <s v="OK"/>
    <s v="MATCH"/>
    <x v="1"/>
    <n v="0"/>
    <x v="24"/>
    <x v="0"/>
    <n v="0"/>
    <n v="0"/>
    <x v="1"/>
  </r>
  <r>
    <s v="PROP00057"/>
    <s v="Italy, Naples, Richard Junction 168"/>
    <x v="8"/>
    <s v="Naples"/>
    <s v="Naples"/>
    <s v="Richard Junction 168"/>
    <s v="14823"/>
    <s v="+19-149280558"/>
    <x v="0"/>
    <x v="56"/>
    <s v="OK"/>
    <s v="OK"/>
    <s v="OK"/>
    <s v="MATCH"/>
    <x v="1"/>
    <n v="0"/>
    <x v="29"/>
    <x v="3"/>
    <n v="0"/>
    <n v="0"/>
    <x v="1"/>
  </r>
  <r>
    <s v="PROP00058"/>
    <s v="James Plain175, Munich, Germany"/>
    <x v="4"/>
    <s v="Munich"/>
    <s v="Munich"/>
    <s v="James Plain175"/>
    <s v="59301"/>
    <s v="+36-371993988"/>
    <x v="0"/>
    <x v="57"/>
    <s v="OK"/>
    <s v="OK"/>
    <s v="OK"/>
    <s v="MATCH"/>
    <x v="1"/>
    <n v="0"/>
    <x v="0"/>
    <x v="3"/>
    <n v="0"/>
    <n v="0"/>
    <x v="1"/>
  </r>
  <r>
    <s v="PROP00059"/>
    <s v="LondonRobert Harbors170, UK"/>
    <x v="1"/>
    <s v="London"/>
    <s v="London"/>
    <s v="LondonRobert Harbors170"/>
    <s v="61138"/>
    <s v="+83-257012393"/>
    <x v="1"/>
    <x v="58"/>
    <s v="OK"/>
    <s v="OK"/>
    <s v="OK"/>
    <s v="MATCH"/>
    <x v="1"/>
    <n v="0"/>
    <x v="23"/>
    <x v="4"/>
    <n v="0"/>
    <n v="0"/>
    <x v="1"/>
  </r>
  <r>
    <s v="PROP00060"/>
    <s v="Brisbane, Nancy Club 162, Australia"/>
    <x v="2"/>
    <s v="Brisbane"/>
    <s v="Brisbane"/>
    <s v="Nancy Club 162"/>
    <s v="58583"/>
    <s v="+62-461988150"/>
    <x v="0"/>
    <x v="59"/>
    <s v="OK"/>
    <s v="OK"/>
    <s v="OK"/>
    <s v="MATCH"/>
    <x v="1"/>
    <n v="0"/>
    <x v="21"/>
    <x v="3"/>
    <n v="0"/>
    <n v="0"/>
    <x v="1"/>
  </r>
  <r>
    <s v="PROP00061"/>
    <s v="Italy, Milan"/>
    <x v="8"/>
    <s v="Milan"/>
    <s v="Milan"/>
    <s v="Milan"/>
    <s v="2435"/>
    <s v="+56-645238025"/>
    <x v="0"/>
    <x v="60"/>
    <s v="OK"/>
    <s v="OK"/>
    <s v="OK"/>
    <s v="MATCH"/>
    <x v="1"/>
    <n v="0"/>
    <x v="18"/>
    <x v="4"/>
    <n v="0"/>
    <n v="0"/>
    <x v="1"/>
  </r>
  <r>
    <s v="PROP00062"/>
    <s v="SpainSeville"/>
    <x v="5"/>
    <s v="Seville"/>
    <s v="Seville"/>
    <s v=""/>
    <s v="31483"/>
    <s v="+15-775114197"/>
    <x v="0"/>
    <x v="61"/>
    <s v="MISSING"/>
    <s v="OK"/>
    <s v="OK"/>
    <s v="MATCH"/>
    <x v="0"/>
    <n v="1"/>
    <x v="13"/>
    <x v="3"/>
    <n v="1"/>
    <n v="1"/>
    <x v="0"/>
  </r>
  <r>
    <s v="PROP00063"/>
    <s v="BrazilRio de JaneiroRichard Orchard104"/>
    <x v="6"/>
    <s v="Rio de Janeiro"/>
    <s v="Rio de Janeiro"/>
    <s v="BrazilRio de JaneiroRichard Orchard104"/>
    <s v="28517"/>
    <s v="+26-116958637"/>
    <x v="1"/>
    <x v="62"/>
    <s v="OK"/>
    <s v="OK"/>
    <s v="OK"/>
    <s v="MATCH"/>
    <x v="1"/>
    <n v="0"/>
    <x v="17"/>
    <x v="1"/>
    <n v="0"/>
    <n v="0"/>
    <x v="1"/>
  </r>
  <r>
    <s v="PROP00064"/>
    <s v="Barrera Expressway 8, Italy, Florence"/>
    <x v="8"/>
    <s v="Florence"/>
    <s v="Florence"/>
    <s v="Barrera Expressway 8"/>
    <s v="50173"/>
    <s v="+19-823637428"/>
    <x v="1"/>
    <x v="63"/>
    <s v="OK"/>
    <s v="OK"/>
    <s v="OK"/>
    <s v="MATCH"/>
    <x v="1"/>
    <n v="0"/>
    <x v="6"/>
    <x v="0"/>
    <n v="0"/>
    <n v="0"/>
    <x v="1"/>
  </r>
  <r>
    <s v="PROP00065"/>
    <s v="Tricia Greens 134, UK, Liverpool"/>
    <x v="1"/>
    <s v="Liverpool"/>
    <s v="Liverpool"/>
    <s v="Tricia Greens 134"/>
    <s v="60139"/>
    <s v="+40-714942290"/>
    <x v="1"/>
    <x v="64"/>
    <s v="OK"/>
    <s v="OK"/>
    <s v="OK"/>
    <s v="MATCH"/>
    <x v="1"/>
    <n v="0"/>
    <x v="16"/>
    <x v="2"/>
    <n v="0"/>
    <n v="0"/>
    <x v="1"/>
  </r>
  <r>
    <s v="PROP00066"/>
    <s v="USAChicagoHenderson Street66"/>
    <x v="3"/>
    <s v="Chicago"/>
    <s v="Chicago"/>
    <s v="USAChicagoHenderson Street66"/>
    <s v="73346"/>
    <s v="+51-930349048"/>
    <x v="0"/>
    <x v="65"/>
    <s v="OK"/>
    <s v="OK"/>
    <s v="OK"/>
    <s v="MATCH"/>
    <x v="1"/>
    <n v="0"/>
    <x v="30"/>
    <x v="1"/>
    <n v="0"/>
    <n v="0"/>
    <x v="1"/>
  </r>
  <r>
    <s v="PROP00067"/>
    <s v="ItalyRome"/>
    <x v="8"/>
    <s v="Rome"/>
    <s v="Rome"/>
    <s v=""/>
    <s v="29035"/>
    <s v="+2-179667335"/>
    <x v="0"/>
    <x v="66"/>
    <s v="MISSING"/>
    <s v="OK"/>
    <s v="OK"/>
    <s v="MATCH"/>
    <x v="0"/>
    <n v="1"/>
    <x v="23"/>
    <x v="3"/>
    <n v="1"/>
    <n v="1"/>
    <x v="0"/>
  </r>
  <r>
    <s v="PROP00068"/>
    <s v="Beth Plains244, Kyoto, Japan"/>
    <x v="9"/>
    <s v="Kyoto"/>
    <s v="Kyoto"/>
    <s v="Beth Plains244"/>
    <s v="8490"/>
    <s v="+76-822620464"/>
    <x v="0"/>
    <x v="6"/>
    <s v="OK"/>
    <s v="OK"/>
    <s v="OK"/>
    <s v="MATCH"/>
    <x v="1"/>
    <n v="0"/>
    <x v="1"/>
    <x v="0"/>
    <n v="0"/>
    <n v="0"/>
    <x v="1"/>
  </r>
  <r>
    <s v="PROP00069"/>
    <s v="JapanKyoto"/>
    <x v="9"/>
    <s v="Kyoto"/>
    <s v="Kyoto"/>
    <s v=""/>
    <s v="62994"/>
    <s v="+10-284307187"/>
    <x v="0"/>
    <x v="67"/>
    <s v="MISSING"/>
    <s v="OK"/>
    <s v="OK"/>
    <s v="MATCH"/>
    <x v="0"/>
    <n v="1"/>
    <x v="31"/>
    <x v="3"/>
    <n v="1"/>
    <n v="1"/>
    <x v="0"/>
  </r>
  <r>
    <s v="PROP00070"/>
    <s v="Brian Pass 14, Canada, Montreal"/>
    <x v="7"/>
    <s v="Montreal"/>
    <s v="Montreal"/>
    <s v="Brian Pass 14"/>
    <s v="11001"/>
    <s v="+45-470241496"/>
    <x v="0"/>
    <x v="68"/>
    <s v="OK"/>
    <s v="OK"/>
    <s v="OK"/>
    <s v="MATCH"/>
    <x v="1"/>
    <n v="0"/>
    <x v="32"/>
    <x v="2"/>
    <n v="0"/>
    <n v="0"/>
    <x v="1"/>
  </r>
  <r>
    <s v="PROP00071"/>
    <s v="AustraliaSydney"/>
    <x v="2"/>
    <s v="Sydney"/>
    <s v="Sydney"/>
    <s v=""/>
    <s v="89002"/>
    <s v="+54-855570893"/>
    <x v="0"/>
    <x v="69"/>
    <s v="MISSING"/>
    <s v="OK"/>
    <s v="OK"/>
    <s v="MATCH"/>
    <x v="0"/>
    <n v="1"/>
    <x v="5"/>
    <x v="0"/>
    <n v="1"/>
    <n v="1"/>
    <x v="0"/>
  </r>
  <r>
    <s v="PROP00072"/>
    <s v="MunichRichard Port188, Germany"/>
    <x v="4"/>
    <s v="Munich"/>
    <s v="Munich"/>
    <s v="MunichRichard Port188"/>
    <s v="32772"/>
    <s v="+74-771894322"/>
    <x v="0"/>
    <x v="70"/>
    <s v="OK"/>
    <s v="OK"/>
    <s v="OK"/>
    <s v="MATCH"/>
    <x v="1"/>
    <n v="0"/>
    <x v="30"/>
    <x v="3"/>
    <n v="0"/>
    <n v="0"/>
    <x v="1"/>
  </r>
  <r>
    <s v="PROP00073"/>
    <s v="Cologne, Christine Manor 113, Germany"/>
    <x v="4"/>
    <s v="Cologne"/>
    <s v="Cologne"/>
    <s v="Christine Manor 113"/>
    <s v="86664"/>
    <s v="+9-738348476"/>
    <x v="0"/>
    <x v="71"/>
    <s v="OK"/>
    <s v="OK"/>
    <s v="OK"/>
    <s v="MATCH"/>
    <x v="1"/>
    <n v="0"/>
    <x v="7"/>
    <x v="2"/>
    <n v="0"/>
    <n v="0"/>
    <x v="1"/>
  </r>
  <r>
    <s v="PROP00074"/>
    <s v="Los Angeles, Donovan Ford 265, USA"/>
    <x v="3"/>
    <s v="Los Angeles"/>
    <s v="Los Angeles"/>
    <s v="Donovan Ford 265"/>
    <s v="88283"/>
    <s v="+57-284587208"/>
    <x v="0"/>
    <x v="72"/>
    <s v="OK"/>
    <s v="OK"/>
    <s v="OK"/>
    <s v="MATCH"/>
    <x v="1"/>
    <n v="0"/>
    <x v="9"/>
    <x v="3"/>
    <n v="0"/>
    <n v="0"/>
    <x v="1"/>
  </r>
  <r>
    <s v="PROP00075"/>
    <s v="Allen Locks 62, Rome"/>
    <x v="8"/>
    <s v="Rome"/>
    <s v="Rome"/>
    <s v="Allen Locks 62"/>
    <s v="17655"/>
    <s v="+54-983740017"/>
    <x v="0"/>
    <x v="73"/>
    <s v="OK"/>
    <s v="OK"/>
    <s v="OK"/>
    <s v="MATCH"/>
    <x v="1"/>
    <n v="0"/>
    <x v="5"/>
    <x v="1"/>
    <n v="0"/>
    <n v="0"/>
    <x v="1"/>
  </r>
  <r>
    <s v="PROP00076"/>
    <s v="Bryant Terrace182, Munich, Germany"/>
    <x v="4"/>
    <s v="Munich"/>
    <s v="Munich"/>
    <s v="Bryant Terrace182"/>
    <s v="10009"/>
    <s v="+90-195206528"/>
    <x v="1"/>
    <x v="74"/>
    <s v="OK"/>
    <s v="OK"/>
    <s v="OK"/>
    <s v="MATCH"/>
    <x v="1"/>
    <n v="0"/>
    <x v="29"/>
    <x v="3"/>
    <n v="0"/>
    <n v="0"/>
    <x v="1"/>
  </r>
  <r>
    <s v="PROP00077"/>
    <s v="Canada, Calgary, Stephen Port 133"/>
    <x v="7"/>
    <s v="Calgary"/>
    <s v="Calgary"/>
    <s v="Stephen Port 133"/>
    <s v="13605"/>
    <s v="+94-149826730"/>
    <x v="1"/>
    <x v="75"/>
    <s v="OK"/>
    <s v="OK"/>
    <s v="OK"/>
    <s v="MATCH"/>
    <x v="1"/>
    <n v="0"/>
    <x v="20"/>
    <x v="0"/>
    <n v="0"/>
    <n v="0"/>
    <x v="1"/>
  </r>
  <r>
    <s v="PROP00078"/>
    <s v="Spain, Barcelona"/>
    <x v="5"/>
    <s v="Barcelona"/>
    <s v="Barcelona"/>
    <s v="Barcelona"/>
    <s v="35261"/>
    <s v="+46-812005552"/>
    <x v="0"/>
    <x v="76"/>
    <s v="OK"/>
    <s v="OK"/>
    <s v="OK"/>
    <s v="MATCH"/>
    <x v="1"/>
    <n v="0"/>
    <x v="0"/>
    <x v="3"/>
    <n v="0"/>
    <n v="0"/>
    <x v="1"/>
  </r>
  <r>
    <s v="PROP00079"/>
    <s v="Sarah Cliff288, Houston, USA"/>
    <x v="3"/>
    <s v="Houston"/>
    <s v="Houston"/>
    <s v="Sarah Cliff288"/>
    <s v="32519"/>
    <s v="+80-204097491"/>
    <x v="0"/>
    <x v="77"/>
    <s v="OK"/>
    <s v="OK"/>
    <s v="OK"/>
    <s v="MATCH"/>
    <x v="1"/>
    <n v="0"/>
    <x v="15"/>
    <x v="0"/>
    <n v="0"/>
    <n v="0"/>
    <x v="1"/>
  </r>
  <r>
    <s v="PROP00080"/>
    <s v="FranceBordeaux, France"/>
    <x v="0"/>
    <s v="Bordeaux"/>
    <s v="Bordeaux"/>
    <s v="France"/>
    <s v="71701"/>
    <s v="+71-821851087"/>
    <x v="0"/>
    <x v="78"/>
    <s v="OK"/>
    <s v="OK"/>
    <s v="OK"/>
    <s v="MATCH"/>
    <x v="1"/>
    <n v="0"/>
    <x v="3"/>
    <x v="3"/>
    <n v="0"/>
    <n v="0"/>
    <x v="1"/>
  </r>
  <r>
    <s v="PROP00081"/>
    <s v="Spain, Valencia"/>
    <x v="5"/>
    <s v="Valencia"/>
    <s v="Valencia"/>
    <s v="Valencia"/>
    <s v="86218"/>
    <s v="+90-281357532"/>
    <x v="1"/>
    <x v="79"/>
    <s v="OK"/>
    <s v="OK"/>
    <s v="OK"/>
    <s v="MATCH"/>
    <x v="1"/>
    <n v="0"/>
    <x v="32"/>
    <x v="1"/>
    <n v="0"/>
    <n v="0"/>
    <x v="1"/>
  </r>
  <r>
    <s v="PROP00082"/>
    <s v="Brazil, São Paulo"/>
    <x v="6"/>
    <s v="São Paulo"/>
    <s v="São Paulo"/>
    <s v="São Paulo"/>
    <s v="39741"/>
    <s v="+61-406195764"/>
    <x v="0"/>
    <x v="80"/>
    <s v="OK"/>
    <s v="OK"/>
    <s v="OK"/>
    <s v="MATCH"/>
    <x v="1"/>
    <n v="0"/>
    <x v="8"/>
    <x v="4"/>
    <n v="0"/>
    <n v="0"/>
    <x v="1"/>
  </r>
  <r>
    <s v="PROP00083"/>
    <s v="Brazil, São Paulo"/>
    <x v="6"/>
    <s v="São Paulo"/>
    <s v="São Paulo"/>
    <s v="São Paulo"/>
    <s v="35165"/>
    <s v="+43-610390467"/>
    <x v="1"/>
    <x v="81"/>
    <s v="OK"/>
    <s v="OK"/>
    <s v="OK"/>
    <s v="MATCH"/>
    <x v="1"/>
    <n v="0"/>
    <x v="27"/>
    <x v="4"/>
    <n v="0"/>
    <n v="0"/>
    <x v="1"/>
  </r>
  <r>
    <s v="PROP00084"/>
    <s v="USALos AngelesPamela Summit57"/>
    <x v="3"/>
    <s v="Los Angeles"/>
    <s v="Los Angeles"/>
    <s v="USALos AngelesPamela Summit57"/>
    <s v="73013"/>
    <s v="+53-349046412"/>
    <x v="1"/>
    <x v="82"/>
    <s v="OK"/>
    <s v="OK"/>
    <s v="OK"/>
    <s v="MATCH"/>
    <x v="1"/>
    <n v="0"/>
    <x v="15"/>
    <x v="0"/>
    <n v="0"/>
    <n v="0"/>
    <x v="1"/>
  </r>
  <r>
    <s v="PROP00085"/>
    <s v="France, Toulouse, Joseph Rapids 253"/>
    <x v="0"/>
    <s v="Toulouse"/>
    <s v="Toulouse"/>
    <s v="Joseph Rapids 253"/>
    <s v="28108"/>
    <s v="+71-437953376"/>
    <x v="1"/>
    <x v="83"/>
    <s v="OK"/>
    <s v="OK"/>
    <s v="OK"/>
    <s v="MATCH"/>
    <x v="1"/>
    <n v="0"/>
    <x v="22"/>
    <x v="3"/>
    <n v="0"/>
    <n v="0"/>
    <x v="1"/>
  </r>
  <r>
    <s v="PROP00086"/>
    <s v="Harris Roads19, Tokyo, Japan"/>
    <x v="9"/>
    <s v="Tokyo"/>
    <s v="Tokyo"/>
    <s v="Harris Roads19"/>
    <s v="35101"/>
    <s v="+43-753816494"/>
    <x v="0"/>
    <x v="58"/>
    <s v="OK"/>
    <s v="OK"/>
    <s v="OK"/>
    <s v="MATCH"/>
    <x v="1"/>
    <n v="0"/>
    <x v="23"/>
    <x v="0"/>
    <n v="0"/>
    <n v="0"/>
    <x v="1"/>
  </r>
  <r>
    <s v="PROP00087"/>
    <s v="Australia, Sydney, King Vista 190"/>
    <x v="2"/>
    <s v="Sydney"/>
    <s v="Sydney"/>
    <s v="King Vista 190"/>
    <s v="7159"/>
    <s v="+2-642643520"/>
    <x v="1"/>
    <x v="84"/>
    <s v="OK"/>
    <s v="OK"/>
    <s v="OK"/>
    <s v="MATCH"/>
    <x v="1"/>
    <n v="0"/>
    <x v="27"/>
    <x v="4"/>
    <n v="0"/>
    <n v="0"/>
    <x v="1"/>
  </r>
  <r>
    <s v="PROP00088"/>
    <s v="Germany, Munich"/>
    <x v="4"/>
    <s v="Munich"/>
    <s v="Munich"/>
    <s v="Munich"/>
    <s v="36766"/>
    <s v="+44-875991961"/>
    <x v="1"/>
    <x v="85"/>
    <s v="OK"/>
    <s v="OK"/>
    <s v="OK"/>
    <s v="MATCH"/>
    <x v="1"/>
    <n v="0"/>
    <x v="33"/>
    <x v="4"/>
    <n v="0"/>
    <n v="0"/>
    <x v="1"/>
  </r>
  <r>
    <s v="PROP00089"/>
    <s v="Japan, Kyoto"/>
    <x v="9"/>
    <s v="Kyoto"/>
    <s v="Kyoto"/>
    <s v="Kyoto"/>
    <s v="17647"/>
    <s v="+30-729230982"/>
    <x v="0"/>
    <x v="86"/>
    <s v="OK"/>
    <s v="OK"/>
    <s v="OK"/>
    <s v="MATCH"/>
    <x v="1"/>
    <n v="0"/>
    <x v="29"/>
    <x v="0"/>
    <n v="0"/>
    <n v="0"/>
    <x v="1"/>
  </r>
  <r>
    <s v="PROP00090"/>
    <s v="CalgaryMartin Mills172, Canada"/>
    <x v="7"/>
    <s v="Calgary"/>
    <s v="Calgary"/>
    <s v="CalgaryMartin Mills172"/>
    <s v="72810"/>
    <s v="+22-949812813"/>
    <x v="0"/>
    <x v="87"/>
    <s v="OK"/>
    <s v="OK"/>
    <s v="OK"/>
    <s v="MATCH"/>
    <x v="1"/>
    <n v="0"/>
    <x v="33"/>
    <x v="0"/>
    <n v="0"/>
    <n v="0"/>
    <x v="1"/>
  </r>
  <r>
    <s v="PROP00091"/>
    <s v="Hoffman Creek 251, Rio de Janeiro"/>
    <x v="6"/>
    <s v="Rio de Janeiro"/>
    <s v="Rio de Janeiro"/>
    <s v="Hoffman Creek 251"/>
    <s v="10363"/>
    <s v="+74-933316969"/>
    <x v="1"/>
    <x v="58"/>
    <s v="OK"/>
    <s v="OK"/>
    <s v="OK"/>
    <s v="MATCH"/>
    <x v="1"/>
    <n v="0"/>
    <x v="23"/>
    <x v="3"/>
    <n v="0"/>
    <n v="0"/>
    <x v="1"/>
  </r>
  <r>
    <s v="PROP00092"/>
    <s v="FranceMarseille"/>
    <x v="0"/>
    <s v="Marseille"/>
    <s v="Marseille"/>
    <s v=""/>
    <s v="48894"/>
    <s v="+39-668783916"/>
    <x v="0"/>
    <x v="88"/>
    <s v="MISSING"/>
    <s v="OK"/>
    <s v="OK"/>
    <s v="MATCH"/>
    <x v="0"/>
    <n v="1"/>
    <x v="23"/>
    <x v="2"/>
    <n v="1"/>
    <n v="1"/>
    <x v="0"/>
  </r>
  <r>
    <s v="PROP00093"/>
    <s v="Russell Canyon13, Leeds, UK"/>
    <x v="1"/>
    <s v="Leeds"/>
    <s v="Leeds"/>
    <s v="Russell Canyon13"/>
    <s v="40905"/>
    <s v="+99-544053943"/>
    <x v="0"/>
    <x v="89"/>
    <s v="OK"/>
    <s v="OK"/>
    <s v="OK"/>
    <s v="MATCH"/>
    <x v="1"/>
    <n v="0"/>
    <x v="19"/>
    <x v="1"/>
    <n v="0"/>
    <n v="0"/>
    <x v="1"/>
  </r>
  <r>
    <s v="PROP00094"/>
    <s v="BrazilBrasília, Brazil"/>
    <x v="6"/>
    <s v="Brasília"/>
    <s v="Brasília"/>
    <s v="Brazil"/>
    <s v="5730"/>
    <s v="+91-128006433"/>
    <x v="1"/>
    <x v="90"/>
    <s v="OK"/>
    <s v="OK"/>
    <s v="OK"/>
    <s v="MATCH"/>
    <x v="1"/>
    <n v="0"/>
    <x v="16"/>
    <x v="2"/>
    <n v="0"/>
    <n v="0"/>
    <x v="1"/>
  </r>
  <r>
    <s v="PROP00095"/>
    <s v="CanadaMontreal"/>
    <x v="7"/>
    <s v="Montreal"/>
    <s v="Montreal"/>
    <s v=""/>
    <s v="87917"/>
    <s v="+50-444364960"/>
    <x v="1"/>
    <x v="91"/>
    <s v="MISSING"/>
    <s v="OK"/>
    <s v="OK"/>
    <s v="MATCH"/>
    <x v="0"/>
    <n v="1"/>
    <x v="34"/>
    <x v="4"/>
    <n v="1"/>
    <n v="1"/>
    <x v="0"/>
  </r>
  <r>
    <s v="PROP00096"/>
    <s v="FranceLyonMichael Points219"/>
    <x v="0"/>
    <s v="Lyon"/>
    <s v="Lyon"/>
    <s v="FranceLyonMichael Points219"/>
    <s v="53765"/>
    <s v="+82-254422976"/>
    <x v="1"/>
    <x v="92"/>
    <s v="OK"/>
    <s v="OK"/>
    <s v="OK"/>
    <s v="MATCH"/>
    <x v="1"/>
    <n v="0"/>
    <x v="0"/>
    <x v="1"/>
    <n v="0"/>
    <n v="0"/>
    <x v="1"/>
  </r>
  <r>
    <s v="PROP00097"/>
    <s v="France, Paris"/>
    <x v="0"/>
    <s v="Paris"/>
    <s v="Paris"/>
    <s v="Paris"/>
    <s v="21800"/>
    <s v="+78-268374543"/>
    <x v="1"/>
    <x v="93"/>
    <s v="OK"/>
    <s v="OK"/>
    <s v="OK"/>
    <s v="MATCH"/>
    <x v="1"/>
    <n v="0"/>
    <x v="23"/>
    <x v="3"/>
    <n v="0"/>
    <n v="0"/>
    <x v="1"/>
  </r>
  <r>
    <s v="PROP00098"/>
    <s v="Nicole Burg 111, UK, Birmingham"/>
    <x v="1"/>
    <s v="Birmingham"/>
    <s v="Birmingham"/>
    <s v="Nicole Burg 111"/>
    <s v="24010"/>
    <s v="+66-401294716"/>
    <x v="0"/>
    <x v="94"/>
    <s v="OK"/>
    <s v="OK"/>
    <s v="OK"/>
    <s v="MATCH"/>
    <x v="1"/>
    <n v="0"/>
    <x v="16"/>
    <x v="0"/>
    <n v="0"/>
    <n v="0"/>
    <x v="1"/>
  </r>
  <r>
    <s v="PROP00099"/>
    <s v="Rio de JaneiroPatton Loop78, Brazil"/>
    <x v="6"/>
    <s v="Rio de Janeiro"/>
    <s v="Rio de Janeiro"/>
    <s v="Rio de JaneiroPatton Loop78"/>
    <s v="88307"/>
    <s v="+68-104681050"/>
    <x v="0"/>
    <x v="95"/>
    <s v="OK"/>
    <s v="OK"/>
    <s v="OK"/>
    <s v="MATCH"/>
    <x v="1"/>
    <n v="0"/>
    <x v="9"/>
    <x v="4"/>
    <n v="0"/>
    <n v="0"/>
    <x v="1"/>
  </r>
  <r>
    <s v="PROP00100"/>
    <s v="CanadaOttawa, Canada"/>
    <x v="7"/>
    <s v="Ottawa"/>
    <s v="Ottawa"/>
    <s v="Canada"/>
    <s v="92418"/>
    <s v="+72-516046588"/>
    <x v="0"/>
    <x v="96"/>
    <s v="OK"/>
    <s v="OK"/>
    <s v="OK"/>
    <s v="MATCH"/>
    <x v="1"/>
    <n v="0"/>
    <x v="30"/>
    <x v="3"/>
    <n v="0"/>
    <n v="0"/>
    <x v="1"/>
  </r>
  <r>
    <s v="PROP00101"/>
    <s v="Patrick Camp 280, Toronto"/>
    <x v="7"/>
    <s v="Toronto"/>
    <s v="Toronto"/>
    <s v="Patrick Camp 280"/>
    <s v="62195"/>
    <s v="+40-108692375"/>
    <x v="1"/>
    <x v="97"/>
    <s v="OK"/>
    <s v="OK"/>
    <s v="OK"/>
    <s v="MATCH"/>
    <x v="1"/>
    <n v="0"/>
    <x v="13"/>
    <x v="2"/>
    <n v="0"/>
    <n v="0"/>
    <x v="1"/>
  </r>
  <r>
    <s v="PROP00102"/>
    <s v="ItalyRome, Italy"/>
    <x v="8"/>
    <s v="Rome"/>
    <s v="Rome"/>
    <s v="Italy"/>
    <s v="46331"/>
    <s v="+90-670947397"/>
    <x v="0"/>
    <x v="98"/>
    <s v="OK"/>
    <s v="OK"/>
    <s v="OK"/>
    <s v="MATCH"/>
    <x v="1"/>
    <n v="0"/>
    <x v="21"/>
    <x v="1"/>
    <n v="0"/>
    <n v="0"/>
    <x v="1"/>
  </r>
  <r>
    <s v="PROP00103"/>
    <s v="Canada, Montreal, Hoover Well 14"/>
    <x v="7"/>
    <s v="Montreal"/>
    <s v="Montreal"/>
    <s v="Hoover Well 14"/>
    <s v="30332"/>
    <s v="+2-716543748"/>
    <x v="0"/>
    <x v="99"/>
    <s v="OK"/>
    <s v="OK"/>
    <s v="OK"/>
    <s v="MATCH"/>
    <x v="1"/>
    <n v="0"/>
    <x v="5"/>
    <x v="3"/>
    <n v="0"/>
    <n v="0"/>
    <x v="1"/>
  </r>
  <r>
    <s v="PROP00104"/>
    <s v="Andrew Fields 41, Cologne"/>
    <x v="4"/>
    <s v="Cologne"/>
    <s v="Cologne"/>
    <s v="Andrew Fields 41"/>
    <s v="52728"/>
    <s v="+77-915809959"/>
    <x v="0"/>
    <x v="100"/>
    <s v="OK"/>
    <s v="OK"/>
    <s v="OK"/>
    <s v="MATCH"/>
    <x v="1"/>
    <n v="0"/>
    <x v="27"/>
    <x v="2"/>
    <n v="0"/>
    <n v="0"/>
    <x v="1"/>
  </r>
  <r>
    <s v="PROP00105"/>
    <s v="Ramirez Cliff214, Turin, Italy"/>
    <x v="8"/>
    <s v="Turin"/>
    <s v="Turin"/>
    <s v="Ramirez Cliff214"/>
    <s v="37086"/>
    <s v="+58-128327145"/>
    <x v="1"/>
    <x v="101"/>
    <s v="OK"/>
    <s v="OK"/>
    <s v="OK"/>
    <s v="MATCH"/>
    <x v="1"/>
    <n v="0"/>
    <x v="27"/>
    <x v="1"/>
    <n v="0"/>
    <n v="0"/>
    <x v="1"/>
  </r>
  <r>
    <s v="PROP00106"/>
    <s v="CanadaToronto, Canada"/>
    <x v="7"/>
    <s v="Toronto"/>
    <s v="Toronto"/>
    <s v="Canada"/>
    <s v="89566"/>
    <s v="+52-781682173"/>
    <x v="0"/>
    <x v="102"/>
    <s v="OK"/>
    <s v="OK"/>
    <s v="OK"/>
    <s v="MATCH"/>
    <x v="1"/>
    <n v="0"/>
    <x v="25"/>
    <x v="0"/>
    <n v="0"/>
    <n v="0"/>
    <x v="1"/>
  </r>
  <r>
    <s v="PROP00107"/>
    <s v="Australia, Melbourne, Crosby Crescent 19"/>
    <x v="2"/>
    <s v="Melbourne"/>
    <s v="Melbourne"/>
    <s v="Crosby Crescent 19"/>
    <s v="34738"/>
    <s v="+30-986705709"/>
    <x v="1"/>
    <x v="103"/>
    <s v="OK"/>
    <s v="OK"/>
    <s v="OK"/>
    <s v="MATCH"/>
    <x v="1"/>
    <n v="0"/>
    <x v="24"/>
    <x v="1"/>
    <n v="0"/>
    <n v="0"/>
    <x v="1"/>
  </r>
  <r>
    <s v="PROP00108"/>
    <s v="AustraliaPerth"/>
    <x v="2"/>
    <s v="Perth"/>
    <s v="Perth"/>
    <s v=""/>
    <s v="5515"/>
    <s v="+46-712608587"/>
    <x v="0"/>
    <x v="104"/>
    <s v="MISSING"/>
    <s v="OK"/>
    <s v="OK"/>
    <s v="MATCH"/>
    <x v="0"/>
    <n v="1"/>
    <x v="20"/>
    <x v="0"/>
    <n v="1"/>
    <n v="1"/>
    <x v="0"/>
  </r>
  <r>
    <s v="PROP00109"/>
    <s v="JapanNagoya, Japan"/>
    <x v="9"/>
    <s v="Nagoya"/>
    <s v="Nagoya"/>
    <s v="Japan"/>
    <s v="95992"/>
    <s v="+24-699093788"/>
    <x v="1"/>
    <x v="105"/>
    <s v="OK"/>
    <s v="OK"/>
    <s v="OK"/>
    <s v="MATCH"/>
    <x v="1"/>
    <n v="0"/>
    <x v="12"/>
    <x v="4"/>
    <n v="0"/>
    <n v="0"/>
    <x v="1"/>
  </r>
  <r>
    <s v="PROP00110"/>
    <s v="Graham Pass109, Hamburg, Germany"/>
    <x v="4"/>
    <s v="Hamburg"/>
    <s v="Hamburg"/>
    <s v="Graham Pass109"/>
    <s v="15658"/>
    <s v="+31-951115542"/>
    <x v="1"/>
    <x v="106"/>
    <s v="OK"/>
    <s v="OK"/>
    <s v="OK"/>
    <s v="MATCH"/>
    <x v="1"/>
    <n v="0"/>
    <x v="8"/>
    <x v="3"/>
    <n v="0"/>
    <n v="0"/>
    <x v="1"/>
  </r>
  <r>
    <s v="PROP00111"/>
    <s v="UKLondon, UK"/>
    <x v="1"/>
    <s v="London"/>
    <s v="London"/>
    <s v="UK"/>
    <s v="33887"/>
    <s v="+95-539878666"/>
    <x v="0"/>
    <x v="107"/>
    <s v="OK"/>
    <s v="OK"/>
    <s v="OK"/>
    <s v="MATCH"/>
    <x v="1"/>
    <n v="0"/>
    <x v="21"/>
    <x v="3"/>
    <n v="0"/>
    <n v="0"/>
    <x v="1"/>
  </r>
  <r>
    <s v="PROP00112"/>
    <s v="NagoyaJeanne Alley61, Japan"/>
    <x v="9"/>
    <s v="Nagoya"/>
    <s v="Nagoya"/>
    <s v="NagoyaJeanne Alley61"/>
    <s v="68647"/>
    <s v="+36-803661906"/>
    <x v="0"/>
    <x v="108"/>
    <s v="OK"/>
    <s v="OK"/>
    <s v="OK"/>
    <s v="MATCH"/>
    <x v="1"/>
    <n v="0"/>
    <x v="17"/>
    <x v="4"/>
    <n v="0"/>
    <n v="0"/>
    <x v="1"/>
  </r>
  <r>
    <s v="PROP00113"/>
    <s v="FranceToulouse, France"/>
    <x v="0"/>
    <s v="Toulouse"/>
    <s v="Toulouse"/>
    <s v="France"/>
    <s v="87563"/>
    <s v="+6-196700498"/>
    <x v="0"/>
    <x v="109"/>
    <s v="OK"/>
    <s v="OK"/>
    <s v="OK"/>
    <s v="MATCH"/>
    <x v="1"/>
    <n v="0"/>
    <x v="27"/>
    <x v="2"/>
    <n v="0"/>
    <n v="0"/>
    <x v="1"/>
  </r>
  <r>
    <s v="PROP00114"/>
    <s v="Hanson Shore 281, Rome"/>
    <x v="8"/>
    <s v="Rome"/>
    <s v="Rome"/>
    <s v="Hanson Shore 281"/>
    <s v="16835"/>
    <s v="+81-745948280"/>
    <x v="1"/>
    <x v="110"/>
    <s v="OK"/>
    <s v="OK"/>
    <s v="OK"/>
    <s v="MATCH"/>
    <x v="1"/>
    <n v="0"/>
    <x v="8"/>
    <x v="0"/>
    <n v="0"/>
    <n v="0"/>
    <x v="1"/>
  </r>
  <r>
    <s v="PROP00115"/>
    <s v="JapanKyotoHunter Shores166"/>
    <x v="9"/>
    <s v="Kyoto"/>
    <s v="Kyoto"/>
    <s v="JapanKyotoHunter Shores166"/>
    <s v="54029"/>
    <s v="+80-858743865"/>
    <x v="0"/>
    <x v="111"/>
    <s v="OK"/>
    <s v="OK"/>
    <s v="OK"/>
    <s v="MATCH"/>
    <x v="1"/>
    <n v="0"/>
    <x v="28"/>
    <x v="0"/>
    <n v="0"/>
    <n v="0"/>
    <x v="1"/>
  </r>
  <r>
    <s v="PROP00116"/>
    <s v="Spain, Seville, Powell Hill 285"/>
    <x v="5"/>
    <s v="Seville"/>
    <s v="Seville"/>
    <s v="Powell Hill 285"/>
    <s v="73168"/>
    <s v="+85-635524815"/>
    <x v="0"/>
    <x v="112"/>
    <s v="OK"/>
    <s v="OK"/>
    <s v="OK"/>
    <s v="MATCH"/>
    <x v="1"/>
    <n v="0"/>
    <x v="7"/>
    <x v="4"/>
    <n v="0"/>
    <n v="0"/>
    <x v="1"/>
  </r>
  <r>
    <s v="PROP00117"/>
    <s v="USAPhoenix, USA"/>
    <x v="3"/>
    <s v="Phoenix"/>
    <s v="Phoenix"/>
    <s v="USA"/>
    <s v="50196"/>
    <s v="+15-826883571"/>
    <x v="1"/>
    <x v="113"/>
    <s v="OK"/>
    <s v="OK"/>
    <s v="OK"/>
    <s v="MATCH"/>
    <x v="1"/>
    <n v="0"/>
    <x v="2"/>
    <x v="4"/>
    <n v="0"/>
    <n v="0"/>
    <x v="1"/>
  </r>
  <r>
    <s v="PROP00118"/>
    <s v="FrankfurtChristina Hollow154, Germany"/>
    <x v="4"/>
    <s v="Frankfurt"/>
    <s v="Frankfurt"/>
    <s v="FrankfurtChristina Hollow154"/>
    <s v="53726"/>
    <s v="+48-456049222"/>
    <x v="1"/>
    <x v="114"/>
    <s v="OK"/>
    <s v="OK"/>
    <s v="OK"/>
    <s v="MATCH"/>
    <x v="1"/>
    <n v="0"/>
    <x v="25"/>
    <x v="4"/>
    <n v="0"/>
    <n v="0"/>
    <x v="1"/>
  </r>
  <r>
    <s v="PROP00119"/>
    <s v="Los AngelesKevin Fords89, USA"/>
    <x v="3"/>
    <s v="Los Angeles"/>
    <s v="Los Angeles"/>
    <s v="Los AngelesKevin Fords89"/>
    <s v="56847"/>
    <s v="+21-647847567"/>
    <x v="1"/>
    <x v="115"/>
    <s v="OK"/>
    <s v="OK"/>
    <s v="OK"/>
    <s v="MATCH"/>
    <x v="1"/>
    <n v="0"/>
    <x v="27"/>
    <x v="1"/>
    <n v="0"/>
    <n v="0"/>
    <x v="1"/>
  </r>
  <r>
    <s v="PROP00120"/>
    <s v="Italy, Turin"/>
    <x v="8"/>
    <s v="Turin"/>
    <s v="Turin"/>
    <s v="Turin"/>
    <s v="89056"/>
    <s v="+2-128497429"/>
    <x v="1"/>
    <x v="116"/>
    <s v="OK"/>
    <s v="OK"/>
    <s v="OK"/>
    <s v="MATCH"/>
    <x v="1"/>
    <n v="0"/>
    <x v="29"/>
    <x v="4"/>
    <n v="0"/>
    <n v="0"/>
    <x v="1"/>
  </r>
  <r>
    <s v="PROP00121"/>
    <s v="UK, Birmingham, William Underpass 179"/>
    <x v="1"/>
    <s v="Birmingham"/>
    <s v="Birmingham"/>
    <s v="William Underpass 179"/>
    <s v="96964"/>
    <s v="+43-487423151"/>
    <x v="1"/>
    <x v="117"/>
    <s v="OK"/>
    <s v="OK"/>
    <s v="OK"/>
    <s v="MATCH"/>
    <x v="1"/>
    <n v="0"/>
    <x v="20"/>
    <x v="4"/>
    <n v="0"/>
    <n v="0"/>
    <x v="1"/>
  </r>
  <r>
    <s v="PROP00122"/>
    <s v="AdelaideDonna Haven193, Australia"/>
    <x v="2"/>
    <s v="Adelaide"/>
    <s v="Adelaide"/>
    <s v="AdelaideDonna Haven193"/>
    <s v="68062"/>
    <s v="+90-826650780"/>
    <x v="0"/>
    <x v="118"/>
    <s v="OK"/>
    <s v="OK"/>
    <s v="OK"/>
    <s v="MATCH"/>
    <x v="1"/>
    <n v="0"/>
    <x v="32"/>
    <x v="2"/>
    <n v="0"/>
    <n v="0"/>
    <x v="1"/>
  </r>
  <r>
    <s v="PROP00123"/>
    <s v="CanadaToronto"/>
    <x v="7"/>
    <s v="Toronto"/>
    <s v="Toronto"/>
    <s v=""/>
    <s v="31285"/>
    <s v="+19-116255518"/>
    <x v="0"/>
    <x v="119"/>
    <s v="MISSING"/>
    <s v="OK"/>
    <s v="OK"/>
    <s v="MATCH"/>
    <x v="0"/>
    <n v="1"/>
    <x v="8"/>
    <x v="3"/>
    <n v="1"/>
    <n v="1"/>
    <x v="0"/>
  </r>
  <r>
    <s v="PROP00124"/>
    <s v="CanadaCalgaryWalker Flat187"/>
    <x v="7"/>
    <s v="Calgary"/>
    <s v="Calgary"/>
    <s v="CanadaCalgaryWalker Flat187"/>
    <s v="19814"/>
    <s v="+58-446650963"/>
    <x v="1"/>
    <x v="120"/>
    <s v="OK"/>
    <s v="OK"/>
    <s v="OK"/>
    <s v="MATCH"/>
    <x v="1"/>
    <n v="0"/>
    <x v="22"/>
    <x v="3"/>
    <n v="0"/>
    <n v="0"/>
    <x v="1"/>
  </r>
  <r>
    <s v="PROP00125"/>
    <s v="Brandon Mountains103, Frankfurt, Germany"/>
    <x v="4"/>
    <s v="Frankfurt"/>
    <s v="Frankfurt"/>
    <s v="Brandon Mountains103"/>
    <s v="80621"/>
    <s v="+69-873739504"/>
    <x v="1"/>
    <x v="121"/>
    <s v="OK"/>
    <s v="OK"/>
    <s v="OK"/>
    <s v="MATCH"/>
    <x v="1"/>
    <n v="0"/>
    <x v="13"/>
    <x v="0"/>
    <n v="0"/>
    <n v="0"/>
    <x v="1"/>
  </r>
  <r>
    <s v="PROP00126"/>
    <s v="Germany, Cologne"/>
    <x v="4"/>
    <s v="Cologne"/>
    <s v="Cologne"/>
    <s v="Cologne"/>
    <s v="75955"/>
    <s v="+5-889502567"/>
    <x v="0"/>
    <x v="122"/>
    <s v="OK"/>
    <s v="OK"/>
    <s v="OK"/>
    <s v="MATCH"/>
    <x v="1"/>
    <n v="0"/>
    <x v="35"/>
    <x v="4"/>
    <n v="0"/>
    <n v="0"/>
    <x v="1"/>
  </r>
  <r>
    <s v="PROP00127"/>
    <s v="Jennifer Lights 173, Spain, Madrid"/>
    <x v="5"/>
    <s v="Madrid"/>
    <s v="Madrid"/>
    <s v="Jennifer Lights 173"/>
    <s v="65300"/>
    <s v="+89-498991772"/>
    <x v="0"/>
    <x v="123"/>
    <s v="OK"/>
    <s v="OK"/>
    <s v="OK"/>
    <s v="MATCH"/>
    <x v="1"/>
    <n v="0"/>
    <x v="28"/>
    <x v="4"/>
    <n v="0"/>
    <n v="0"/>
    <x v="1"/>
  </r>
  <r>
    <s v="PROP00128"/>
    <s v="Madrid, Sanchez Shoal 29, Spain"/>
    <x v="5"/>
    <s v="Madrid"/>
    <s v="Madrid"/>
    <s v="Sanchez Shoal 29"/>
    <s v="90629"/>
    <s v="+80-703163769"/>
    <x v="1"/>
    <x v="124"/>
    <s v="OK"/>
    <s v="OK"/>
    <s v="OK"/>
    <s v="MATCH"/>
    <x v="1"/>
    <n v="0"/>
    <x v="1"/>
    <x v="1"/>
    <n v="0"/>
    <n v="0"/>
    <x v="1"/>
  </r>
  <r>
    <s v="PROP00129"/>
    <s v="Patricia Wall 102, Canada, Calgary"/>
    <x v="7"/>
    <s v="Calgary"/>
    <s v="Calgary"/>
    <s v="Patricia Wall 102"/>
    <s v="14471"/>
    <s v="+80-517588526"/>
    <x v="1"/>
    <x v="125"/>
    <s v="OK"/>
    <s v="OK"/>
    <s v="OK"/>
    <s v="MATCH"/>
    <x v="1"/>
    <n v="0"/>
    <x v="14"/>
    <x v="2"/>
    <n v="0"/>
    <n v="0"/>
    <x v="1"/>
  </r>
  <r>
    <s v="PROP00130"/>
    <s v="MilanRobinson Unions166, Italy"/>
    <x v="8"/>
    <s v="Milan"/>
    <s v="Milan"/>
    <s v="MilanRobinson Unions166"/>
    <s v="91715"/>
    <s v="+85-187213398"/>
    <x v="0"/>
    <x v="126"/>
    <s v="OK"/>
    <s v="OK"/>
    <s v="OK"/>
    <s v="MATCH"/>
    <x v="1"/>
    <n v="0"/>
    <x v="2"/>
    <x v="3"/>
    <n v="0"/>
    <n v="0"/>
    <x v="1"/>
  </r>
  <r>
    <s v="PROP00131"/>
    <s v="Williams Gateway29, Naples, Italy"/>
    <x v="8"/>
    <s v="Naples"/>
    <s v="Naples"/>
    <s v="Williams Gateway29"/>
    <s v="16407"/>
    <s v="+23-121419408"/>
    <x v="0"/>
    <x v="46"/>
    <s v="OK"/>
    <s v="OK"/>
    <s v="OK"/>
    <s v="MATCH"/>
    <x v="1"/>
    <n v="0"/>
    <x v="25"/>
    <x v="2"/>
    <n v="0"/>
    <n v="0"/>
    <x v="1"/>
  </r>
  <r>
    <s v="PROP00132"/>
    <s v="USAChicagoAnderson Mountain52"/>
    <x v="3"/>
    <s v="Chicago"/>
    <s v="Chicago"/>
    <s v="USAChicagoAnderson Mountain52"/>
    <s v="88001"/>
    <s v="+23-132311626"/>
    <x v="0"/>
    <x v="127"/>
    <s v="OK"/>
    <s v="OK"/>
    <s v="OK"/>
    <s v="MATCH"/>
    <x v="1"/>
    <n v="0"/>
    <x v="2"/>
    <x v="3"/>
    <n v="0"/>
    <n v="0"/>
    <x v="1"/>
  </r>
  <r>
    <s v="PROP00133"/>
    <s v="USAHoustonDodson Mills228"/>
    <x v="3"/>
    <s v="Houston"/>
    <s v="Houston"/>
    <s v="USAHoustonDodson Mills228"/>
    <s v="80802"/>
    <s v="+47-191495881"/>
    <x v="1"/>
    <x v="128"/>
    <s v="OK"/>
    <s v="OK"/>
    <s v="OK"/>
    <s v="MATCH"/>
    <x v="1"/>
    <n v="0"/>
    <x v="30"/>
    <x v="3"/>
    <n v="0"/>
    <n v="0"/>
    <x v="1"/>
  </r>
  <r>
    <s v="PROP00134"/>
    <s v="Canada, Ottawa"/>
    <x v="7"/>
    <s v="Ottawa"/>
    <s v="Ottawa"/>
    <s v="Ottawa"/>
    <s v="58947"/>
    <s v="+5-516397814"/>
    <x v="1"/>
    <x v="129"/>
    <s v="OK"/>
    <s v="OK"/>
    <s v="OK"/>
    <s v="MATCH"/>
    <x v="1"/>
    <n v="0"/>
    <x v="19"/>
    <x v="4"/>
    <n v="0"/>
    <n v="0"/>
    <x v="1"/>
  </r>
  <r>
    <s v="PROP00135"/>
    <s v="Spain, Seville, Julia Mountains 298"/>
    <x v="5"/>
    <s v="Seville"/>
    <s v="Seville"/>
    <s v="Julia Mountains 298"/>
    <s v="59492"/>
    <s v="+14-942083879"/>
    <x v="0"/>
    <x v="130"/>
    <s v="OK"/>
    <s v="OK"/>
    <s v="OK"/>
    <s v="MATCH"/>
    <x v="1"/>
    <n v="0"/>
    <x v="31"/>
    <x v="0"/>
    <n v="0"/>
    <n v="0"/>
    <x v="1"/>
  </r>
  <r>
    <s v="PROP00136"/>
    <s v="SpainMadridWalton Ville241"/>
    <x v="5"/>
    <s v="Madrid"/>
    <s v="Madrid"/>
    <s v="SpainMadridWalton Ville241"/>
    <s v="84080"/>
    <s v="+83-852326601"/>
    <x v="0"/>
    <x v="131"/>
    <s v="OK"/>
    <s v="OK"/>
    <s v="OK"/>
    <s v="MATCH"/>
    <x v="1"/>
    <n v="0"/>
    <x v="32"/>
    <x v="3"/>
    <n v="0"/>
    <n v="0"/>
    <x v="1"/>
  </r>
  <r>
    <s v="PROP00137"/>
    <s v="Spain, Bilbao, Cannon Pike 266"/>
    <x v="5"/>
    <s v="Bilbao"/>
    <s v="Bilbao"/>
    <s v="Cannon Pike 266"/>
    <s v="64018"/>
    <s v="+73-366323179"/>
    <x v="0"/>
    <x v="132"/>
    <s v="OK"/>
    <s v="OK"/>
    <s v="OK"/>
    <s v="MATCH"/>
    <x v="1"/>
    <n v="0"/>
    <x v="16"/>
    <x v="3"/>
    <n v="0"/>
    <n v="0"/>
    <x v="1"/>
  </r>
  <r>
    <s v="PROP00138"/>
    <s v="FranceLyon, France"/>
    <x v="0"/>
    <s v="Lyon"/>
    <s v="Lyon"/>
    <s v="France"/>
    <s v="94026"/>
    <s v="+68-508787981"/>
    <x v="0"/>
    <x v="133"/>
    <s v="OK"/>
    <s v="OK"/>
    <s v="OK"/>
    <s v="MATCH"/>
    <x v="1"/>
    <n v="0"/>
    <x v="22"/>
    <x v="3"/>
    <n v="0"/>
    <n v="0"/>
    <x v="1"/>
  </r>
  <r>
    <s v="PROP00139"/>
    <s v="Young Isle 76, Naples"/>
    <x v="8"/>
    <s v="Naples"/>
    <s v="Naples"/>
    <s v="Young Isle 76"/>
    <s v="42405"/>
    <s v="+79-834932727"/>
    <x v="1"/>
    <x v="134"/>
    <s v="OK"/>
    <s v="OK"/>
    <s v="OK"/>
    <s v="MATCH"/>
    <x v="1"/>
    <n v="0"/>
    <x v="13"/>
    <x v="0"/>
    <n v="0"/>
    <n v="0"/>
    <x v="1"/>
  </r>
  <r>
    <s v="PROP00140"/>
    <s v="Brazil, Salvador"/>
    <x v="6"/>
    <s v="Salvador"/>
    <s v="Salvador"/>
    <s v="Salvador"/>
    <s v="50706"/>
    <s v="+67-482257059"/>
    <x v="0"/>
    <x v="135"/>
    <s v="OK"/>
    <s v="OK"/>
    <s v="OK"/>
    <s v="MATCH"/>
    <x v="1"/>
    <n v="0"/>
    <x v="33"/>
    <x v="4"/>
    <n v="0"/>
    <n v="0"/>
    <x v="1"/>
  </r>
  <r>
    <s v="PROP00141"/>
    <s v="Jasmine Circles 123, Brazil, Rio de Janeiro"/>
    <x v="6"/>
    <s v="Rio de Janeiro"/>
    <s v="Rio de Janeiro"/>
    <s v="Jasmine Circles 123"/>
    <s v="54878"/>
    <s v="+16-934525024"/>
    <x v="1"/>
    <x v="136"/>
    <s v="OK"/>
    <s v="OK"/>
    <s v="OK"/>
    <s v="MATCH"/>
    <x v="1"/>
    <n v="0"/>
    <x v="1"/>
    <x v="2"/>
    <n v="0"/>
    <n v="0"/>
    <x v="1"/>
  </r>
  <r>
    <s v="PROP00142"/>
    <s v="AustraliaMelbourneRivera Mountain270"/>
    <x v="2"/>
    <s v="Melbourne"/>
    <s v="Melbourne"/>
    <s v="AustraliaMelbourneRivera Mountain270"/>
    <s v="54997"/>
    <s v="+17-645793987"/>
    <x v="1"/>
    <x v="137"/>
    <s v="OK"/>
    <s v="OK"/>
    <s v="OK"/>
    <s v="MATCH"/>
    <x v="1"/>
    <n v="0"/>
    <x v="9"/>
    <x v="4"/>
    <n v="0"/>
    <n v="0"/>
    <x v="1"/>
  </r>
  <r>
    <s v="PROP00143"/>
    <s v="Jamie Manor 135, UK, Liverpool"/>
    <x v="1"/>
    <s v="Liverpool"/>
    <s v="Liverpool"/>
    <s v="Jamie Manor 135"/>
    <s v="51550"/>
    <s v="+83-108169633"/>
    <x v="0"/>
    <x v="138"/>
    <s v="OK"/>
    <s v="OK"/>
    <s v="OK"/>
    <s v="MATCH"/>
    <x v="1"/>
    <n v="0"/>
    <x v="34"/>
    <x v="3"/>
    <n v="0"/>
    <n v="0"/>
    <x v="1"/>
  </r>
  <r>
    <s v="PROP00144"/>
    <s v="USANew York, USA"/>
    <x v="3"/>
    <s v="New York"/>
    <s v="New York"/>
    <s v="USA"/>
    <s v="75957"/>
    <s v="+37-200858169"/>
    <x v="0"/>
    <x v="139"/>
    <s v="OK"/>
    <s v="OK"/>
    <s v="OK"/>
    <s v="MATCH"/>
    <x v="1"/>
    <n v="0"/>
    <x v="28"/>
    <x v="3"/>
    <n v="0"/>
    <n v="0"/>
    <x v="1"/>
  </r>
  <r>
    <s v="PROP00145"/>
    <s v="Woods Knoll 289, Manchester"/>
    <x v="1"/>
    <s v="Manchester"/>
    <s v="Manchester"/>
    <s v="Woods Knoll 289"/>
    <s v="39640"/>
    <s v="+37-332793491"/>
    <x v="0"/>
    <x v="140"/>
    <s v="OK"/>
    <s v="OK"/>
    <s v="OK"/>
    <s v="MATCH"/>
    <x v="1"/>
    <n v="0"/>
    <x v="8"/>
    <x v="4"/>
    <n v="0"/>
    <n v="0"/>
    <x v="1"/>
  </r>
  <r>
    <s v="PROP00146"/>
    <s v="Brazil, Fortaleza, Castaneda Village 261"/>
    <x v="6"/>
    <s v="Fortaleza"/>
    <s v="Fortaleza"/>
    <s v="Castaneda Village 261"/>
    <s v="55422"/>
    <s v="+28-587754655"/>
    <x v="1"/>
    <x v="141"/>
    <s v="OK"/>
    <s v="OK"/>
    <s v="OK"/>
    <s v="MATCH"/>
    <x v="1"/>
    <n v="0"/>
    <x v="0"/>
    <x v="2"/>
    <n v="0"/>
    <n v="0"/>
    <x v="1"/>
  </r>
  <r>
    <s v="PROP00147"/>
    <s v="Tracy Groves 81, Australia, Sydney"/>
    <x v="2"/>
    <s v="Sydney"/>
    <s v="Sydney"/>
    <s v="Tracy Groves 81"/>
    <s v="57626"/>
    <s v="+37-502213749"/>
    <x v="0"/>
    <x v="142"/>
    <s v="OK"/>
    <s v="OK"/>
    <s v="OK"/>
    <s v="MATCH"/>
    <x v="1"/>
    <n v="0"/>
    <x v="12"/>
    <x v="3"/>
    <n v="0"/>
    <n v="0"/>
    <x v="1"/>
  </r>
  <r>
    <s v="PROP00148"/>
    <s v="JapanTokyoJohnson Junction110"/>
    <x v="9"/>
    <s v="Tokyo"/>
    <s v="Tokyo"/>
    <s v="JapanTokyoJohnson Junction110"/>
    <s v="88171"/>
    <s v="+33-581304057"/>
    <x v="1"/>
    <x v="49"/>
    <s v="OK"/>
    <s v="OK"/>
    <s v="OK"/>
    <s v="MATCH"/>
    <x v="1"/>
    <n v="0"/>
    <x v="8"/>
    <x v="3"/>
    <n v="0"/>
    <n v="0"/>
    <x v="1"/>
  </r>
  <r>
    <s v="PROP00149"/>
    <s v="Ramsey Ville 254, Manchester"/>
    <x v="1"/>
    <s v="Manchester"/>
    <s v="Manchester"/>
    <s v="Ramsey Ville 254"/>
    <s v="61762"/>
    <s v="+23-163122183"/>
    <x v="1"/>
    <x v="143"/>
    <s v="OK"/>
    <s v="OK"/>
    <s v="OK"/>
    <s v="MATCH"/>
    <x v="1"/>
    <n v="0"/>
    <x v="21"/>
    <x v="4"/>
    <n v="0"/>
    <n v="0"/>
    <x v="1"/>
  </r>
  <r>
    <s v="PROP00150"/>
    <s v="FranceBordeaux, France"/>
    <x v="0"/>
    <s v="Bordeaux"/>
    <s v="Bordeaux"/>
    <s v="France"/>
    <s v="4035"/>
    <s v="+79-707354583"/>
    <x v="0"/>
    <x v="144"/>
    <s v="OK"/>
    <s v="OK"/>
    <s v="OK"/>
    <s v="MATCH"/>
    <x v="1"/>
    <n v="0"/>
    <x v="32"/>
    <x v="4"/>
    <n v="0"/>
    <n v="0"/>
    <x v="1"/>
  </r>
  <r>
    <s v="PROP00151"/>
    <s v="UKLondon, UK"/>
    <x v="1"/>
    <s v="London"/>
    <s v="London"/>
    <s v="UK"/>
    <s v="4053"/>
    <s v="+95-108286733"/>
    <x v="1"/>
    <x v="134"/>
    <s v="OK"/>
    <s v="OK"/>
    <s v="OK"/>
    <s v="MATCH"/>
    <x v="1"/>
    <n v="0"/>
    <x v="13"/>
    <x v="0"/>
    <n v="0"/>
    <n v="0"/>
    <x v="1"/>
  </r>
  <r>
    <s v="PROP00152"/>
    <s v="AustraliaAdelaide, Australia"/>
    <x v="2"/>
    <s v="Adelaide"/>
    <s v="Adelaide"/>
    <s v="Australia"/>
    <s v="61016"/>
    <s v="+90-374333719"/>
    <x v="1"/>
    <x v="48"/>
    <s v="OK"/>
    <s v="OK"/>
    <s v="OK"/>
    <s v="MATCH"/>
    <x v="1"/>
    <n v="0"/>
    <x v="27"/>
    <x v="3"/>
    <n v="0"/>
    <n v="0"/>
    <x v="1"/>
  </r>
  <r>
    <s v="PROP00153"/>
    <s v="Brent Light290, Sapporo, Japan"/>
    <x v="9"/>
    <s v="Sapporo"/>
    <s v="Sapporo"/>
    <s v="Brent Light290"/>
    <s v="43407"/>
    <s v="+10-754763110"/>
    <x v="0"/>
    <x v="145"/>
    <s v="OK"/>
    <s v="OK"/>
    <s v="OK"/>
    <s v="MATCH"/>
    <x v="1"/>
    <n v="0"/>
    <x v="32"/>
    <x v="1"/>
    <n v="0"/>
    <n v="0"/>
    <x v="1"/>
  </r>
  <r>
    <s v="PROP00154"/>
    <s v="Canada, Montreal"/>
    <x v="7"/>
    <s v="Montreal"/>
    <s v="Montreal"/>
    <s v="Montreal"/>
    <s v="50193"/>
    <s v="+36-440407257"/>
    <x v="0"/>
    <x v="146"/>
    <s v="OK"/>
    <s v="OK"/>
    <s v="OK"/>
    <s v="MATCH"/>
    <x v="1"/>
    <n v="0"/>
    <x v="15"/>
    <x v="1"/>
    <n v="0"/>
    <n v="0"/>
    <x v="1"/>
  </r>
  <r>
    <s v="PROP00155"/>
    <s v="Vancouver, Walton Village 45, Canada"/>
    <x v="7"/>
    <s v="Vancouver"/>
    <s v="Vancouver"/>
    <s v="Walton Village 45"/>
    <s v="55756"/>
    <s v="+5-827536535"/>
    <x v="1"/>
    <x v="147"/>
    <s v="OK"/>
    <s v="OK"/>
    <s v="OK"/>
    <s v="MATCH"/>
    <x v="1"/>
    <n v="0"/>
    <x v="24"/>
    <x v="3"/>
    <n v="0"/>
    <n v="0"/>
    <x v="1"/>
  </r>
  <r>
    <s v="PROP00156"/>
    <s v="Conley Mountains 230, Canada, Vancouver"/>
    <x v="7"/>
    <s v="Vancouver"/>
    <s v="Vancouver"/>
    <s v="Conley Mountains 230"/>
    <s v="3041"/>
    <s v="+43-884502073"/>
    <x v="0"/>
    <x v="148"/>
    <s v="OK"/>
    <s v="OK"/>
    <s v="OK"/>
    <s v="MATCH"/>
    <x v="1"/>
    <n v="0"/>
    <x v="10"/>
    <x v="2"/>
    <n v="0"/>
    <n v="0"/>
    <x v="1"/>
  </r>
  <r>
    <s v="PROP00157"/>
    <s v="GermanyFrankfurtZoe Keys48"/>
    <x v="4"/>
    <s v="Frankfurt"/>
    <s v="Frankfurt"/>
    <s v="GermanyFrankfurtZoe Keys48"/>
    <s v="29890"/>
    <s v="+47-300275203"/>
    <x v="1"/>
    <x v="122"/>
    <s v="OK"/>
    <s v="OK"/>
    <s v="OK"/>
    <s v="MATCH"/>
    <x v="1"/>
    <n v="0"/>
    <x v="35"/>
    <x v="0"/>
    <n v="0"/>
    <n v="0"/>
    <x v="1"/>
  </r>
  <r>
    <s v="PROP00158"/>
    <s v="GermanyMunichKimberly Run59"/>
    <x v="4"/>
    <s v="Munich"/>
    <s v="Munich"/>
    <s v="GermanyMunichKimberly Run59"/>
    <s v="5777"/>
    <s v="+13-757468846"/>
    <x v="0"/>
    <x v="149"/>
    <s v="OK"/>
    <s v="OK"/>
    <s v="OK"/>
    <s v="MATCH"/>
    <x v="1"/>
    <n v="0"/>
    <x v="34"/>
    <x v="1"/>
    <n v="0"/>
    <n v="0"/>
    <x v="1"/>
  </r>
  <r>
    <s v="PROP00159"/>
    <s v="Stefanie Flats 67, Paris"/>
    <x v="0"/>
    <s v="Paris"/>
    <s v="Paris"/>
    <s v="Stefanie Flats 67"/>
    <s v="3172"/>
    <s v="+55-574095858"/>
    <x v="1"/>
    <x v="150"/>
    <s v="OK"/>
    <s v="OK"/>
    <s v="OK"/>
    <s v="MATCH"/>
    <x v="1"/>
    <n v="0"/>
    <x v="12"/>
    <x v="1"/>
    <n v="0"/>
    <n v="0"/>
    <x v="1"/>
  </r>
  <r>
    <s v="PROP00160"/>
    <s v="USA, Phoenix"/>
    <x v="3"/>
    <s v="Phoenix"/>
    <s v="Phoenix"/>
    <s v="Phoenix"/>
    <s v="88248"/>
    <s v="+69-151093772"/>
    <x v="0"/>
    <x v="151"/>
    <s v="OK"/>
    <s v="OK"/>
    <s v="OK"/>
    <s v="MATCH"/>
    <x v="1"/>
    <n v="0"/>
    <x v="12"/>
    <x v="4"/>
    <n v="0"/>
    <n v="0"/>
    <x v="1"/>
  </r>
  <r>
    <s v="PROP00161"/>
    <s v="JapanTokyo"/>
    <x v="9"/>
    <s v="Tokyo"/>
    <s v="Tokyo"/>
    <s v=""/>
    <s v="61453"/>
    <s v="+5-298206860"/>
    <x v="0"/>
    <x v="152"/>
    <s v="MISSING"/>
    <s v="OK"/>
    <s v="OK"/>
    <s v="MATCH"/>
    <x v="0"/>
    <n v="1"/>
    <x v="21"/>
    <x v="1"/>
    <n v="1"/>
    <n v="1"/>
    <x v="0"/>
  </r>
  <r>
    <s v="PROP00162"/>
    <s v="Wang Expressway 245, Manchester"/>
    <x v="1"/>
    <s v="Manchester"/>
    <s v="Manchester"/>
    <s v="Wang Expressway 245"/>
    <s v="79916"/>
    <s v="+91-113005321"/>
    <x v="1"/>
    <x v="153"/>
    <s v="OK"/>
    <s v="OK"/>
    <s v="OK"/>
    <s v="MATCH"/>
    <x v="1"/>
    <n v="0"/>
    <x v="1"/>
    <x v="4"/>
    <n v="0"/>
    <n v="0"/>
    <x v="1"/>
  </r>
  <r>
    <s v="PROP00163"/>
    <s v="Valencia, Kimberly Estates 253, Spain"/>
    <x v="5"/>
    <s v="Valencia"/>
    <s v="Valencia"/>
    <s v="Kimberly Estates 253"/>
    <s v="41269"/>
    <s v="+8-707427867"/>
    <x v="1"/>
    <x v="154"/>
    <s v="OK"/>
    <s v="OK"/>
    <s v="OK"/>
    <s v="MATCH"/>
    <x v="1"/>
    <n v="0"/>
    <x v="5"/>
    <x v="3"/>
    <n v="0"/>
    <n v="0"/>
    <x v="1"/>
  </r>
  <r>
    <s v="PROP00164"/>
    <s v="Japan, Osaka"/>
    <x v="9"/>
    <s v="Osaka"/>
    <s v="Osaka"/>
    <s v="Osaka"/>
    <s v="75971"/>
    <s v="+34-967616944"/>
    <x v="0"/>
    <x v="155"/>
    <s v="OK"/>
    <s v="OK"/>
    <s v="OK"/>
    <s v="MATCH"/>
    <x v="1"/>
    <n v="0"/>
    <x v="34"/>
    <x v="1"/>
    <n v="0"/>
    <n v="0"/>
    <x v="1"/>
  </r>
  <r>
    <s v="PROP00165"/>
    <s v="Sanders Stravenue 68, Milan"/>
    <x v="8"/>
    <s v="Milan"/>
    <s v="Milan"/>
    <s v="Sanders Stravenue 68"/>
    <s v="26496"/>
    <s v="+61-194615280"/>
    <x v="0"/>
    <x v="54"/>
    <s v="OK"/>
    <s v="OK"/>
    <s v="OK"/>
    <s v="MATCH"/>
    <x v="1"/>
    <n v="0"/>
    <x v="11"/>
    <x v="3"/>
    <n v="0"/>
    <n v="0"/>
    <x v="1"/>
  </r>
  <r>
    <s v="PROP00166"/>
    <s v="CanadaVancouver"/>
    <x v="7"/>
    <s v="Vancouver"/>
    <s v="Vancouver"/>
    <s v=""/>
    <s v="82714"/>
    <s v="+19-180045678"/>
    <x v="0"/>
    <x v="156"/>
    <s v="MISSING"/>
    <s v="OK"/>
    <s v="OK"/>
    <s v="MATCH"/>
    <x v="0"/>
    <n v="1"/>
    <x v="25"/>
    <x v="2"/>
    <n v="1"/>
    <n v="1"/>
    <x v="0"/>
  </r>
  <r>
    <s v="PROP00167"/>
    <s v="ItalyMilan"/>
    <x v="8"/>
    <s v="Milan"/>
    <s v="Milan"/>
    <s v=""/>
    <s v="40030"/>
    <s v="+95-885665642"/>
    <x v="1"/>
    <x v="157"/>
    <s v="MISSING"/>
    <s v="OK"/>
    <s v="OK"/>
    <s v="MATCH"/>
    <x v="0"/>
    <n v="1"/>
    <x v="20"/>
    <x v="1"/>
    <n v="1"/>
    <n v="1"/>
    <x v="0"/>
  </r>
  <r>
    <s v="PROP00168"/>
    <s v="BerlinLaura Port45, Germany"/>
    <x v="4"/>
    <s v="Berlin"/>
    <s v="Berlin"/>
    <s v="BerlinLaura Port45"/>
    <s v="5884"/>
    <s v="+54-199128355"/>
    <x v="1"/>
    <x v="158"/>
    <s v="OK"/>
    <s v="OK"/>
    <s v="OK"/>
    <s v="MATCH"/>
    <x v="1"/>
    <n v="0"/>
    <x v="11"/>
    <x v="1"/>
    <n v="0"/>
    <n v="0"/>
    <x v="1"/>
  </r>
  <r>
    <s v="PROP00169"/>
    <s v="Canada, Calgary, Patel Shore 168"/>
    <x v="7"/>
    <s v="Calgary"/>
    <s v="Calgary"/>
    <s v="Patel Shore 168"/>
    <s v="49072"/>
    <s v="+66-969287118"/>
    <x v="0"/>
    <x v="159"/>
    <s v="OK"/>
    <s v="OK"/>
    <s v="OK"/>
    <s v="MATCH"/>
    <x v="1"/>
    <n v="0"/>
    <x v="0"/>
    <x v="0"/>
    <n v="0"/>
    <n v="0"/>
    <x v="1"/>
  </r>
  <r>
    <s v="PROP00170"/>
    <s v="Australia, Adelaide, William Junctions 150"/>
    <x v="2"/>
    <s v="Adelaide"/>
    <s v="Adelaide"/>
    <s v="William Junctions 150"/>
    <s v="2159"/>
    <s v="+99-643719850"/>
    <x v="1"/>
    <x v="160"/>
    <s v="OK"/>
    <s v="OK"/>
    <s v="OK"/>
    <s v="MATCH"/>
    <x v="1"/>
    <n v="0"/>
    <x v="15"/>
    <x v="4"/>
    <n v="0"/>
    <n v="0"/>
    <x v="1"/>
  </r>
  <r>
    <s v="PROP00171"/>
    <s v="Short Coves178, Birmingham, UK"/>
    <x v="1"/>
    <s v="Birmingham"/>
    <s v="Birmingham"/>
    <s v="Short Coves178"/>
    <s v="57323"/>
    <s v="+1-345382503"/>
    <x v="0"/>
    <x v="161"/>
    <s v="OK"/>
    <s v="OK"/>
    <s v="OK"/>
    <s v="MATCH"/>
    <x v="1"/>
    <n v="0"/>
    <x v="20"/>
    <x v="4"/>
    <n v="0"/>
    <n v="0"/>
    <x v="1"/>
  </r>
  <r>
    <s v="PROP00172"/>
    <s v="Canada, Montreal"/>
    <x v="7"/>
    <s v="Montreal"/>
    <s v="Montreal"/>
    <s v="Montreal"/>
    <s v="60759"/>
    <s v="+4-820520242"/>
    <x v="1"/>
    <x v="162"/>
    <s v="OK"/>
    <s v="OK"/>
    <s v="OK"/>
    <s v="MATCH"/>
    <x v="1"/>
    <n v="0"/>
    <x v="27"/>
    <x v="3"/>
    <n v="0"/>
    <n v="0"/>
    <x v="1"/>
  </r>
  <r>
    <s v="PROP00173"/>
    <s v="UK, Liverpool"/>
    <x v="1"/>
    <s v="Liverpool"/>
    <s v="Liverpool"/>
    <s v="Liverpool"/>
    <s v="68887"/>
    <s v="+31-644502432"/>
    <x v="0"/>
    <x v="163"/>
    <s v="OK"/>
    <s v="OK"/>
    <s v="OK"/>
    <s v="MATCH"/>
    <x v="1"/>
    <n v="0"/>
    <x v="17"/>
    <x v="4"/>
    <n v="0"/>
    <n v="0"/>
    <x v="1"/>
  </r>
  <r>
    <s v="PROP00174"/>
    <s v="Australia, Perth, Gilbert Plain 107"/>
    <x v="2"/>
    <s v="Perth"/>
    <s v="Perth"/>
    <s v="Gilbert Plain 107"/>
    <s v="63873"/>
    <s v="+81-936361720"/>
    <x v="1"/>
    <x v="164"/>
    <s v="OK"/>
    <s v="OK"/>
    <s v="OK"/>
    <s v="MATCH"/>
    <x v="1"/>
    <n v="0"/>
    <x v="10"/>
    <x v="3"/>
    <n v="0"/>
    <n v="0"/>
    <x v="1"/>
  </r>
  <r>
    <s v="PROP00175"/>
    <s v="Cologne, Graham Street 185, Germany"/>
    <x v="4"/>
    <s v="Cologne"/>
    <s v="Cologne"/>
    <s v="Graham Street 185"/>
    <s v="78157"/>
    <s v="+95-450424454"/>
    <x v="1"/>
    <x v="165"/>
    <s v="OK"/>
    <s v="OK"/>
    <s v="OK"/>
    <s v="MATCH"/>
    <x v="1"/>
    <n v="0"/>
    <x v="0"/>
    <x v="3"/>
    <n v="0"/>
    <n v="0"/>
    <x v="1"/>
  </r>
  <r>
    <s v="PROP00176"/>
    <s v="USALos Angeles"/>
    <x v="3"/>
    <s v="Los Angeles"/>
    <s v="Los Angeles"/>
    <s v=""/>
    <s v="11860"/>
    <s v="+49-167302363"/>
    <x v="0"/>
    <x v="166"/>
    <s v="MISSING"/>
    <s v="OK"/>
    <s v="OK"/>
    <s v="MATCH"/>
    <x v="0"/>
    <n v="1"/>
    <x v="35"/>
    <x v="3"/>
    <n v="1"/>
    <n v="1"/>
    <x v="0"/>
  </r>
  <r>
    <s v="PROP00177"/>
    <s v="Germany, Munich"/>
    <x v="4"/>
    <s v="Munich"/>
    <s v="Munich"/>
    <s v="Munich"/>
    <s v="98867"/>
    <s v="+92-610541957"/>
    <x v="1"/>
    <x v="167"/>
    <s v="OK"/>
    <s v="OK"/>
    <s v="OK"/>
    <s v="MATCH"/>
    <x v="1"/>
    <n v="0"/>
    <x v="13"/>
    <x v="2"/>
    <n v="0"/>
    <n v="0"/>
    <x v="1"/>
  </r>
  <r>
    <s v="PROP00178"/>
    <s v="GermanyHamburg"/>
    <x v="4"/>
    <s v="Hamburg"/>
    <s v="Hamburg"/>
    <s v=""/>
    <s v="50175"/>
    <s v="+86-831939515"/>
    <x v="1"/>
    <x v="168"/>
    <s v="MISSING"/>
    <s v="OK"/>
    <s v="OK"/>
    <s v="MATCH"/>
    <x v="0"/>
    <n v="1"/>
    <x v="4"/>
    <x v="1"/>
    <n v="1"/>
    <n v="1"/>
    <x v="0"/>
  </r>
  <r>
    <s v="PROP00179"/>
    <s v="France, Bordeaux, Johnson Vista 118"/>
    <x v="0"/>
    <s v="Bordeaux"/>
    <s v="Bordeaux"/>
    <s v="Johnson Vista 118"/>
    <s v="43101"/>
    <s v="+17-728970616"/>
    <x v="0"/>
    <x v="169"/>
    <s v="OK"/>
    <s v="OK"/>
    <s v="OK"/>
    <s v="MATCH"/>
    <x v="1"/>
    <n v="0"/>
    <x v="7"/>
    <x v="1"/>
    <n v="0"/>
    <n v="0"/>
    <x v="1"/>
  </r>
  <r>
    <s v="PROP00180"/>
    <s v="JapanKyoto, Japan"/>
    <x v="9"/>
    <s v="Kyoto"/>
    <s v="Kyoto"/>
    <s v="Japan"/>
    <s v="34363"/>
    <s v="+18-263433455"/>
    <x v="1"/>
    <x v="170"/>
    <s v="OK"/>
    <s v="OK"/>
    <s v="OK"/>
    <s v="MATCH"/>
    <x v="1"/>
    <n v="0"/>
    <x v="29"/>
    <x v="1"/>
    <n v="0"/>
    <n v="0"/>
    <x v="1"/>
  </r>
  <r>
    <s v="PROP00181"/>
    <s v="SpainMadridRamirez Ranch192"/>
    <x v="5"/>
    <s v="Madrid"/>
    <s v="Madrid"/>
    <s v="SpainMadridRamirez Ranch192"/>
    <s v="92406"/>
    <s v="+18-241015632"/>
    <x v="1"/>
    <x v="171"/>
    <s v="OK"/>
    <s v="OK"/>
    <s v="OK"/>
    <s v="MATCH"/>
    <x v="1"/>
    <n v="0"/>
    <x v="7"/>
    <x v="1"/>
    <n v="0"/>
    <n v="0"/>
    <x v="1"/>
  </r>
  <r>
    <s v="PROP00182"/>
    <s v="Japan, Osaka"/>
    <x v="9"/>
    <s v="Osaka"/>
    <s v="Osaka"/>
    <s v="Osaka"/>
    <s v="25543"/>
    <s v="+31-196850352"/>
    <x v="0"/>
    <x v="172"/>
    <s v="OK"/>
    <s v="OK"/>
    <s v="OK"/>
    <s v="MATCH"/>
    <x v="1"/>
    <n v="0"/>
    <x v="33"/>
    <x v="4"/>
    <n v="0"/>
    <n v="0"/>
    <x v="1"/>
  </r>
  <r>
    <s v="PROP00183"/>
    <s v="John Lodge 110, Vancouver"/>
    <x v="7"/>
    <s v="Vancouver"/>
    <s v="Vancouver"/>
    <s v="John Lodge 110"/>
    <s v="64539"/>
    <s v="+89-589979888"/>
    <x v="1"/>
    <x v="173"/>
    <s v="OK"/>
    <s v="OK"/>
    <s v="OK"/>
    <s v="MATCH"/>
    <x v="1"/>
    <n v="0"/>
    <x v="19"/>
    <x v="0"/>
    <n v="0"/>
    <n v="0"/>
    <x v="1"/>
  </r>
  <r>
    <s v="PROP00184"/>
    <s v="Hannah Rue110, Birmingham, UK"/>
    <x v="1"/>
    <s v="Birmingham"/>
    <s v="Birmingham"/>
    <s v="Hannah Rue110"/>
    <s v="93803"/>
    <s v="+3-365822217"/>
    <x v="1"/>
    <x v="36"/>
    <s v="OK"/>
    <s v="OK"/>
    <s v="OK"/>
    <s v="MATCH"/>
    <x v="1"/>
    <n v="0"/>
    <x v="22"/>
    <x v="4"/>
    <n v="0"/>
    <n v="0"/>
    <x v="1"/>
  </r>
  <r>
    <s v="PROP00185"/>
    <s v="SpainBarcelona, Spain"/>
    <x v="5"/>
    <s v="Barcelona"/>
    <s v="Barcelona"/>
    <s v="Spain"/>
    <s v="12697"/>
    <s v="+57-430667492"/>
    <x v="1"/>
    <x v="174"/>
    <s v="OK"/>
    <s v="OK"/>
    <s v="OK"/>
    <s v="MATCH"/>
    <x v="1"/>
    <n v="0"/>
    <x v="30"/>
    <x v="1"/>
    <n v="0"/>
    <n v="0"/>
    <x v="1"/>
  </r>
  <r>
    <s v="PROP00186"/>
    <s v="Canada, Montreal, Walker Square 151"/>
    <x v="7"/>
    <s v="Montreal"/>
    <s v="Montreal"/>
    <s v="Walker Square 151"/>
    <s v="32391"/>
    <s v="+38-343085791"/>
    <x v="0"/>
    <x v="175"/>
    <s v="OK"/>
    <s v="OK"/>
    <s v="OK"/>
    <s v="MATCH"/>
    <x v="1"/>
    <n v="0"/>
    <x v="11"/>
    <x v="2"/>
    <n v="0"/>
    <n v="0"/>
    <x v="1"/>
  </r>
  <r>
    <s v="PROP00187"/>
    <s v="USA, Phoenix"/>
    <x v="3"/>
    <s v="Phoenix"/>
    <s v="Phoenix"/>
    <s v="Phoenix"/>
    <s v="62532"/>
    <s v="+95-831665040"/>
    <x v="0"/>
    <x v="176"/>
    <s v="OK"/>
    <s v="OK"/>
    <s v="OK"/>
    <s v="MATCH"/>
    <x v="1"/>
    <n v="0"/>
    <x v="29"/>
    <x v="4"/>
    <n v="0"/>
    <n v="0"/>
    <x v="1"/>
  </r>
  <r>
    <s v="PROP00188"/>
    <s v="CanadaMontrealColeman Summit191"/>
    <x v="7"/>
    <s v="Montreal"/>
    <s v="Montreal"/>
    <s v="CanadaMontrealColeman Summit191"/>
    <s v="72641"/>
    <s v="+87-952931366"/>
    <x v="1"/>
    <x v="141"/>
    <s v="OK"/>
    <s v="OK"/>
    <s v="OK"/>
    <s v="MATCH"/>
    <x v="1"/>
    <n v="0"/>
    <x v="0"/>
    <x v="4"/>
    <n v="0"/>
    <n v="0"/>
    <x v="1"/>
  </r>
  <r>
    <s v="PROP00189"/>
    <s v="Bell Motorway300, Fortaleza, Brazil"/>
    <x v="6"/>
    <s v="Fortaleza"/>
    <s v="Fortaleza"/>
    <s v="Bell Motorway300"/>
    <s v="36010"/>
    <s v="+51-768033605"/>
    <x v="1"/>
    <x v="177"/>
    <s v="OK"/>
    <s v="OK"/>
    <s v="OK"/>
    <s v="MATCH"/>
    <x v="1"/>
    <n v="0"/>
    <x v="21"/>
    <x v="2"/>
    <n v="0"/>
    <n v="0"/>
    <x v="1"/>
  </r>
  <r>
    <s v="PROP00190"/>
    <s v="SpainMadrid"/>
    <x v="5"/>
    <s v="Madrid"/>
    <s v="Madrid"/>
    <s v=""/>
    <s v="95041"/>
    <s v="+78-983917789"/>
    <x v="1"/>
    <x v="173"/>
    <s v="MISSING"/>
    <s v="OK"/>
    <s v="OK"/>
    <s v="MATCH"/>
    <x v="0"/>
    <n v="1"/>
    <x v="19"/>
    <x v="1"/>
    <n v="1"/>
    <n v="1"/>
    <x v="0"/>
  </r>
  <r>
    <s v="PROP00191"/>
    <s v="Leslie Summit 92, Germany, Frankfurt"/>
    <x v="4"/>
    <s v="Frankfurt"/>
    <s v="Frankfurt"/>
    <s v="Leslie Summit 92"/>
    <s v="70737"/>
    <s v="+75-307546814"/>
    <x v="1"/>
    <x v="178"/>
    <s v="OK"/>
    <s v="OK"/>
    <s v="OK"/>
    <s v="MATCH"/>
    <x v="1"/>
    <n v="0"/>
    <x v="19"/>
    <x v="1"/>
    <n v="0"/>
    <n v="0"/>
    <x v="1"/>
  </r>
  <r>
    <s v="PROP00192"/>
    <s v="James Streets 111, USA, Chicago"/>
    <x v="3"/>
    <s v="Chicago"/>
    <s v="Chicago"/>
    <s v="James Streets 111"/>
    <s v="63965"/>
    <s v="+11-333534504"/>
    <x v="0"/>
    <x v="84"/>
    <s v="OK"/>
    <s v="OK"/>
    <s v="OK"/>
    <s v="MATCH"/>
    <x v="1"/>
    <n v="0"/>
    <x v="27"/>
    <x v="1"/>
    <n v="0"/>
    <n v="0"/>
    <x v="1"/>
  </r>
  <r>
    <s v="PROP00193"/>
    <s v="Liverpool, Hardy Trace 182, UK"/>
    <x v="1"/>
    <s v="Liverpool"/>
    <s v="Liverpool"/>
    <s v="Hardy Trace 182"/>
    <s v="69266"/>
    <s v="+30-508591017"/>
    <x v="1"/>
    <x v="179"/>
    <s v="OK"/>
    <s v="OK"/>
    <s v="OK"/>
    <s v="MATCH"/>
    <x v="1"/>
    <n v="0"/>
    <x v="36"/>
    <x v="1"/>
    <n v="0"/>
    <n v="0"/>
    <x v="1"/>
  </r>
  <r>
    <s v="PROP00194"/>
    <s v="USAChicago"/>
    <x v="3"/>
    <s v="Chicago"/>
    <s v="Chicago"/>
    <s v=""/>
    <s v="25944"/>
    <s v="+10-315980498"/>
    <x v="1"/>
    <x v="180"/>
    <s v="MISSING"/>
    <s v="OK"/>
    <s v="OK"/>
    <s v="MATCH"/>
    <x v="0"/>
    <n v="1"/>
    <x v="2"/>
    <x v="2"/>
    <n v="1"/>
    <n v="1"/>
    <x v="0"/>
  </r>
  <r>
    <s v="PROP00195"/>
    <s v="Perez Fall 169, Sapporo"/>
    <x v="9"/>
    <s v="Sapporo"/>
    <s v="Sapporo"/>
    <s v="Perez Fall 169"/>
    <s v="40119"/>
    <s v="+54-402449788"/>
    <x v="1"/>
    <x v="40"/>
    <s v="OK"/>
    <s v="OK"/>
    <s v="OK"/>
    <s v="MATCH"/>
    <x v="1"/>
    <n v="0"/>
    <x v="23"/>
    <x v="2"/>
    <n v="0"/>
    <n v="0"/>
    <x v="1"/>
  </r>
  <r>
    <s v="PROP00196"/>
    <s v="GermanyHamburg, Germany"/>
    <x v="4"/>
    <s v="Hamburg"/>
    <s v="Hamburg"/>
    <s v="Germany"/>
    <s v="36455"/>
    <s v="+41-770111148"/>
    <x v="0"/>
    <x v="181"/>
    <s v="OK"/>
    <s v="OK"/>
    <s v="OK"/>
    <s v="MATCH"/>
    <x v="1"/>
    <n v="0"/>
    <x v="9"/>
    <x v="2"/>
    <n v="0"/>
    <n v="0"/>
    <x v="1"/>
  </r>
  <r>
    <s v="PROP00197"/>
    <s v="MadridTerri Plaza90, Spain"/>
    <x v="5"/>
    <s v="Madrid"/>
    <s v="Madrid"/>
    <s v="MadridTerri Plaza90"/>
    <s v="38791"/>
    <s v="+93-742367161"/>
    <x v="1"/>
    <x v="182"/>
    <s v="OK"/>
    <s v="OK"/>
    <s v="OK"/>
    <s v="MATCH"/>
    <x v="1"/>
    <n v="0"/>
    <x v="15"/>
    <x v="4"/>
    <n v="0"/>
    <n v="0"/>
    <x v="1"/>
  </r>
  <r>
    <s v="PROP00198"/>
    <s v="Dana Terrace 273, Brazil, São Paulo"/>
    <x v="6"/>
    <s v="São Paulo"/>
    <s v="São Paulo"/>
    <s v="Dana Terrace 273"/>
    <s v="64841"/>
    <s v="+63-155696492"/>
    <x v="0"/>
    <x v="183"/>
    <s v="OK"/>
    <s v="OK"/>
    <s v="OK"/>
    <s v="MATCH"/>
    <x v="1"/>
    <n v="0"/>
    <x v="28"/>
    <x v="0"/>
    <n v="0"/>
    <n v="0"/>
    <x v="1"/>
  </r>
  <r>
    <s v="PROP00199"/>
    <s v="Germany, Frankfurt, Monique Ports 111"/>
    <x v="4"/>
    <s v="Frankfurt"/>
    <s v="Frankfurt"/>
    <s v="Monique Ports 111"/>
    <s v="37769"/>
    <s v="+61-923091053"/>
    <x v="1"/>
    <x v="2"/>
    <s v="OK"/>
    <s v="OK"/>
    <s v="OK"/>
    <s v="MATCH"/>
    <x v="1"/>
    <n v="0"/>
    <x v="1"/>
    <x v="2"/>
    <n v="0"/>
    <n v="0"/>
    <x v="1"/>
  </r>
  <r>
    <s v="PROP00200"/>
    <s v="Mendoza Junctions 69, Brazil, Brasília"/>
    <x v="6"/>
    <s v="Brasília"/>
    <s v="Brasília"/>
    <s v="Mendoza Junctions 69"/>
    <s v="24665"/>
    <s v="+4-194222250"/>
    <x v="1"/>
    <x v="184"/>
    <s v="OK"/>
    <s v="OK"/>
    <s v="OK"/>
    <s v="MATCH"/>
    <x v="1"/>
    <n v="0"/>
    <x v="19"/>
    <x v="2"/>
    <n v="0"/>
    <n v="0"/>
    <x v="1"/>
  </r>
  <r>
    <s v="PROP00201"/>
    <s v="Johnny Wall 185, Bilbao"/>
    <x v="5"/>
    <s v="Bilbao"/>
    <s v="Bilbao"/>
    <s v="Johnny Wall 185"/>
    <s v="63117"/>
    <s v="+74-951657689"/>
    <x v="0"/>
    <x v="185"/>
    <s v="OK"/>
    <s v="OK"/>
    <s v="OK"/>
    <s v="MATCH"/>
    <x v="1"/>
    <n v="0"/>
    <x v="13"/>
    <x v="1"/>
    <n v="0"/>
    <n v="0"/>
    <x v="1"/>
  </r>
  <r>
    <s v="PROP00202"/>
    <s v="Fortaleza, Lynn Locks 218, Brazil"/>
    <x v="6"/>
    <s v="Fortaleza"/>
    <s v="Fortaleza"/>
    <s v="Lynn Locks 218"/>
    <s v="64955"/>
    <s v="+89-684573706"/>
    <x v="0"/>
    <x v="186"/>
    <s v="OK"/>
    <s v="OK"/>
    <s v="OK"/>
    <s v="MATCH"/>
    <x v="1"/>
    <n v="0"/>
    <x v="12"/>
    <x v="4"/>
    <n v="0"/>
    <n v="0"/>
    <x v="1"/>
  </r>
  <r>
    <s v="PROP00203"/>
    <s v="Brazil, Salvador"/>
    <x v="6"/>
    <s v="Salvador"/>
    <s v="Salvador"/>
    <s v="Salvador"/>
    <s v="7527"/>
    <s v="+61-956453505"/>
    <x v="1"/>
    <x v="187"/>
    <s v="OK"/>
    <s v="OK"/>
    <s v="OK"/>
    <s v="MATCH"/>
    <x v="1"/>
    <n v="0"/>
    <x v="0"/>
    <x v="4"/>
    <n v="0"/>
    <n v="0"/>
    <x v="1"/>
  </r>
  <r>
    <s v="PROP00204"/>
    <s v="Edward Port216, Tokyo, Japan"/>
    <x v="9"/>
    <s v="Tokyo"/>
    <s v="Tokyo"/>
    <s v="Edward Port216"/>
    <s v="40325"/>
    <s v="+99-521068019"/>
    <x v="0"/>
    <x v="188"/>
    <s v="OK"/>
    <s v="OK"/>
    <s v="OK"/>
    <s v="MATCH"/>
    <x v="1"/>
    <n v="0"/>
    <x v="1"/>
    <x v="4"/>
    <n v="0"/>
    <n v="0"/>
    <x v="1"/>
  </r>
  <r>
    <s v="PROP00205"/>
    <s v="AustraliaSydney"/>
    <x v="2"/>
    <s v="Sydney"/>
    <s v="Sydney"/>
    <s v=""/>
    <s v="73648"/>
    <s v="+87-951010049"/>
    <x v="1"/>
    <x v="47"/>
    <s v="MISSING"/>
    <s v="OK"/>
    <s v="OK"/>
    <s v="MATCH"/>
    <x v="0"/>
    <n v="1"/>
    <x v="26"/>
    <x v="2"/>
    <n v="1"/>
    <n v="1"/>
    <x v="0"/>
  </r>
  <r>
    <s v="PROP00206"/>
    <s v="Obrien Turnpike 263, Fortaleza"/>
    <x v="6"/>
    <s v="Fortaleza"/>
    <s v="Fortaleza"/>
    <s v="Obrien Turnpike 263"/>
    <s v="81558"/>
    <s v="+17-859357224"/>
    <x v="0"/>
    <x v="189"/>
    <s v="OK"/>
    <s v="OK"/>
    <s v="OK"/>
    <s v="MATCH"/>
    <x v="1"/>
    <n v="0"/>
    <x v="15"/>
    <x v="4"/>
    <n v="0"/>
    <n v="0"/>
    <x v="1"/>
  </r>
  <r>
    <s v="PROP00207"/>
    <s v="FlorenceKimberly Light13, Italy"/>
    <x v="8"/>
    <s v="Florence"/>
    <s v="Florence"/>
    <s v="FlorenceKimberly Light13"/>
    <s v="59550"/>
    <s v="+86-477559104"/>
    <x v="0"/>
    <x v="190"/>
    <s v="OK"/>
    <s v="OK"/>
    <s v="OK"/>
    <s v="MATCH"/>
    <x v="1"/>
    <n v="0"/>
    <x v="4"/>
    <x v="0"/>
    <n v="0"/>
    <n v="0"/>
    <x v="1"/>
  </r>
  <r>
    <s v="PROP00208"/>
    <s v="Evans Radial 7, USA, Phoenix"/>
    <x v="3"/>
    <s v="Phoenix"/>
    <s v="Phoenix"/>
    <s v="Evans Radial 7"/>
    <s v="56708"/>
    <s v="+66-200467411"/>
    <x v="0"/>
    <x v="191"/>
    <s v="OK"/>
    <s v="OK"/>
    <s v="OK"/>
    <s v="MATCH"/>
    <x v="1"/>
    <n v="0"/>
    <x v="24"/>
    <x v="1"/>
    <n v="0"/>
    <n v="0"/>
    <x v="1"/>
  </r>
  <r>
    <s v="PROP00209"/>
    <s v="Germany, Frankfurt"/>
    <x v="4"/>
    <s v="Frankfurt"/>
    <s v="Frankfurt"/>
    <s v="Frankfurt"/>
    <s v="80406"/>
    <s v="+73-912953831"/>
    <x v="0"/>
    <x v="192"/>
    <s v="OK"/>
    <s v="OK"/>
    <s v="OK"/>
    <s v="MATCH"/>
    <x v="1"/>
    <n v="0"/>
    <x v="18"/>
    <x v="1"/>
    <n v="0"/>
    <n v="0"/>
    <x v="1"/>
  </r>
  <r>
    <s v="PROP00210"/>
    <s v="SpainValencia, Spain"/>
    <x v="5"/>
    <s v="Valencia"/>
    <s v="Valencia"/>
    <s v="Spain"/>
    <s v="82488"/>
    <s v="+65-108268231"/>
    <x v="1"/>
    <x v="193"/>
    <s v="OK"/>
    <s v="OK"/>
    <s v="OK"/>
    <s v="MATCH"/>
    <x v="1"/>
    <n v="0"/>
    <x v="17"/>
    <x v="4"/>
    <n v="0"/>
    <n v="0"/>
    <x v="1"/>
  </r>
  <r>
    <s v="PROP00211"/>
    <s v="Joseph Common 145, Canada, Vancouver"/>
    <x v="7"/>
    <s v="Vancouver"/>
    <s v="Vancouver"/>
    <s v="Joseph Common 145"/>
    <s v="21086"/>
    <s v="+41-510863778"/>
    <x v="1"/>
    <x v="194"/>
    <s v="OK"/>
    <s v="OK"/>
    <s v="OK"/>
    <s v="MATCH"/>
    <x v="1"/>
    <n v="0"/>
    <x v="1"/>
    <x v="4"/>
    <n v="0"/>
    <n v="0"/>
    <x v="1"/>
  </r>
  <r>
    <s v="PROP00212"/>
    <s v="MontrealGlenn Club126, Canada"/>
    <x v="7"/>
    <s v="Montreal"/>
    <s v="Montreal"/>
    <s v="MontrealGlenn Club126"/>
    <s v="21018"/>
    <s v="+86-561507606"/>
    <x v="0"/>
    <x v="45"/>
    <s v="OK"/>
    <s v="OK"/>
    <s v="OK"/>
    <s v="MATCH"/>
    <x v="1"/>
    <n v="0"/>
    <x v="6"/>
    <x v="4"/>
    <n v="0"/>
    <n v="0"/>
    <x v="1"/>
  </r>
  <r>
    <s v="PROP00213"/>
    <s v="JapanTokyo"/>
    <x v="9"/>
    <s v="Tokyo"/>
    <s v="Tokyo"/>
    <s v=""/>
    <s v="78333"/>
    <s v="+26-527996574"/>
    <x v="1"/>
    <x v="195"/>
    <s v="MISSING"/>
    <s v="OK"/>
    <s v="OK"/>
    <s v="MATCH"/>
    <x v="0"/>
    <n v="1"/>
    <x v="4"/>
    <x v="1"/>
    <n v="1"/>
    <n v="1"/>
    <x v="0"/>
  </r>
  <r>
    <s v="PROP00214"/>
    <s v="Australia, Perth, Carter Fort 199"/>
    <x v="2"/>
    <s v="Perth"/>
    <s v="Perth"/>
    <s v="Carter Fort 199"/>
    <s v="38263"/>
    <s v="+70-505094546"/>
    <x v="1"/>
    <x v="196"/>
    <s v="OK"/>
    <s v="OK"/>
    <s v="OK"/>
    <s v="MATCH"/>
    <x v="1"/>
    <n v="0"/>
    <x v="15"/>
    <x v="3"/>
    <n v="0"/>
    <n v="0"/>
    <x v="1"/>
  </r>
  <r>
    <s v="PROP00215"/>
    <s v="Brisbane, Warner Motorway 276, Australia"/>
    <x v="2"/>
    <s v="Brisbane"/>
    <s v="Brisbane"/>
    <s v="Warner Motorway 276"/>
    <s v="9830"/>
    <s v="+33-264928001"/>
    <x v="0"/>
    <x v="197"/>
    <s v="OK"/>
    <s v="OK"/>
    <s v="OK"/>
    <s v="MATCH"/>
    <x v="1"/>
    <n v="0"/>
    <x v="4"/>
    <x v="2"/>
    <n v="0"/>
    <n v="0"/>
    <x v="1"/>
  </r>
  <r>
    <s v="PROP00216"/>
    <s v="ParisSandra Turnpike160, France"/>
    <x v="0"/>
    <s v="Paris"/>
    <s v="Paris"/>
    <s v="ParisSandra Turnpike160"/>
    <s v="82428"/>
    <s v="+76-620930226"/>
    <x v="1"/>
    <x v="51"/>
    <s v="OK"/>
    <s v="OK"/>
    <s v="OK"/>
    <s v="MATCH"/>
    <x v="1"/>
    <n v="0"/>
    <x v="12"/>
    <x v="3"/>
    <n v="0"/>
    <n v="0"/>
    <x v="1"/>
  </r>
  <r>
    <s v="PROP00217"/>
    <s v="Ronald Plains220, Paris, France"/>
    <x v="0"/>
    <s v="Paris"/>
    <s v="Paris"/>
    <s v="Ronald Plains220"/>
    <s v="29967"/>
    <s v="+80-939490180"/>
    <x v="1"/>
    <x v="198"/>
    <s v="OK"/>
    <s v="OK"/>
    <s v="OK"/>
    <s v="MATCH"/>
    <x v="1"/>
    <n v="0"/>
    <x v="25"/>
    <x v="2"/>
    <n v="0"/>
    <n v="0"/>
    <x v="1"/>
  </r>
  <r>
    <s v="PROP00218"/>
    <s v="GermanyHamburg"/>
    <x v="4"/>
    <s v="Hamburg"/>
    <s v="Hamburg"/>
    <s v=""/>
    <s v="19144"/>
    <s v="+12-344009477"/>
    <x v="1"/>
    <x v="199"/>
    <s v="MISSING"/>
    <s v="OK"/>
    <s v="OK"/>
    <s v="MATCH"/>
    <x v="0"/>
    <n v="1"/>
    <x v="13"/>
    <x v="2"/>
    <n v="1"/>
    <n v="1"/>
    <x v="0"/>
  </r>
  <r>
    <s v="PROP00219"/>
    <s v="Brian Turnpike 92, Madrid"/>
    <x v="5"/>
    <s v="Madrid"/>
    <s v="Madrid"/>
    <s v="Brian Turnpike 92"/>
    <s v="40820"/>
    <s v="+26-583535715"/>
    <x v="1"/>
    <x v="200"/>
    <s v="OK"/>
    <s v="OK"/>
    <s v="OK"/>
    <s v="MATCH"/>
    <x v="1"/>
    <n v="0"/>
    <x v="28"/>
    <x v="4"/>
    <n v="0"/>
    <n v="0"/>
    <x v="1"/>
  </r>
  <r>
    <s v="PROP00220"/>
    <s v="PhoenixGonzales Mountain163, USA"/>
    <x v="3"/>
    <s v="Phoenix"/>
    <s v="Phoenix"/>
    <s v="PhoenixGonzales Mountain163"/>
    <s v="90767"/>
    <s v="+1-683819190"/>
    <x v="0"/>
    <x v="201"/>
    <s v="OK"/>
    <s v="OK"/>
    <s v="OK"/>
    <s v="MATCH"/>
    <x v="1"/>
    <n v="0"/>
    <x v="19"/>
    <x v="0"/>
    <n v="0"/>
    <n v="0"/>
    <x v="1"/>
  </r>
  <r>
    <s v="PROP00221"/>
    <s v="BirminghamLyons Groves42, UK"/>
    <x v="1"/>
    <s v="Birmingham"/>
    <s v="Birmingham"/>
    <s v="BirminghamLyons Groves42"/>
    <s v="66098"/>
    <s v="+83-219270063"/>
    <x v="1"/>
    <x v="202"/>
    <s v="OK"/>
    <s v="OK"/>
    <s v="OK"/>
    <s v="MATCH"/>
    <x v="1"/>
    <n v="0"/>
    <x v="11"/>
    <x v="0"/>
    <n v="0"/>
    <n v="0"/>
    <x v="1"/>
  </r>
  <r>
    <s v="PROP00222"/>
    <s v="FranceParis, France"/>
    <x v="0"/>
    <s v="Paris"/>
    <s v="Paris"/>
    <s v="France"/>
    <s v="5725"/>
    <s v="+4-164777008"/>
    <x v="1"/>
    <x v="65"/>
    <s v="OK"/>
    <s v="OK"/>
    <s v="OK"/>
    <s v="MATCH"/>
    <x v="1"/>
    <n v="0"/>
    <x v="30"/>
    <x v="3"/>
    <n v="0"/>
    <n v="0"/>
    <x v="1"/>
  </r>
  <r>
    <s v="PROP00223"/>
    <s v="ItalyTurin"/>
    <x v="8"/>
    <s v="Turin"/>
    <s v="Turin"/>
    <s v=""/>
    <s v="33317"/>
    <s v="+37-302878401"/>
    <x v="0"/>
    <x v="203"/>
    <s v="MISSING"/>
    <s v="OK"/>
    <s v="OK"/>
    <s v="MATCH"/>
    <x v="0"/>
    <n v="1"/>
    <x v="25"/>
    <x v="3"/>
    <n v="1"/>
    <n v="1"/>
    <x v="0"/>
  </r>
  <r>
    <s v="PROP00224"/>
    <s v="BrazilSão Paulo"/>
    <x v="6"/>
    <s v="São Paulo"/>
    <s v="São Paulo"/>
    <s v=""/>
    <s v="75893"/>
    <s v="+32-610414625"/>
    <x v="1"/>
    <x v="204"/>
    <s v="MISSING"/>
    <s v="OK"/>
    <s v="OK"/>
    <s v="MATCH"/>
    <x v="0"/>
    <n v="1"/>
    <x v="11"/>
    <x v="0"/>
    <n v="1"/>
    <n v="1"/>
    <x v="0"/>
  </r>
  <r>
    <s v="PROP00225"/>
    <s v="FranceLyon"/>
    <x v="0"/>
    <s v="Lyon"/>
    <s v="Lyon"/>
    <s v=""/>
    <s v="35826"/>
    <s v="+3-961237551"/>
    <x v="0"/>
    <x v="205"/>
    <s v="MISSING"/>
    <s v="OK"/>
    <s v="OK"/>
    <s v="MATCH"/>
    <x v="0"/>
    <n v="1"/>
    <x v="31"/>
    <x v="3"/>
    <n v="1"/>
    <n v="1"/>
    <x v="0"/>
  </r>
  <r>
    <s v="PROP00226"/>
    <s v="CanadaMontrealKathryn Extensions12"/>
    <x v="7"/>
    <s v="Montreal"/>
    <s v="Montreal"/>
    <s v="CanadaMontrealKathryn Extensions12"/>
    <s v="62170"/>
    <s v="+62-839688302"/>
    <x v="1"/>
    <x v="206"/>
    <s v="OK"/>
    <s v="OK"/>
    <s v="OK"/>
    <s v="MATCH"/>
    <x v="1"/>
    <n v="0"/>
    <x v="33"/>
    <x v="2"/>
    <n v="0"/>
    <n v="0"/>
    <x v="1"/>
  </r>
  <r>
    <s v="PROP00227"/>
    <s v="BrisbaneMoon Falls294, Australia"/>
    <x v="2"/>
    <s v="Brisbane"/>
    <s v="Brisbane"/>
    <s v="BrisbaneMoon Falls294"/>
    <s v="77221"/>
    <s v="+35-787477011"/>
    <x v="1"/>
    <x v="207"/>
    <s v="OK"/>
    <s v="OK"/>
    <s v="OK"/>
    <s v="MATCH"/>
    <x v="1"/>
    <n v="0"/>
    <x v="26"/>
    <x v="0"/>
    <n v="0"/>
    <n v="0"/>
    <x v="1"/>
  </r>
  <r>
    <s v="PROP00228"/>
    <s v="UKLondon"/>
    <x v="1"/>
    <s v="London"/>
    <s v="London"/>
    <s v=""/>
    <s v="12460"/>
    <s v="+84-429732763"/>
    <x v="0"/>
    <x v="208"/>
    <s v="MISSING"/>
    <s v="OK"/>
    <s v="OK"/>
    <s v="MATCH"/>
    <x v="0"/>
    <n v="1"/>
    <x v="17"/>
    <x v="4"/>
    <n v="1"/>
    <n v="1"/>
    <x v="0"/>
  </r>
  <r>
    <s v="PROP00229"/>
    <s v="Bailey Isle 8, Germany, Berlin"/>
    <x v="4"/>
    <s v="Berlin"/>
    <s v="Berlin"/>
    <s v="Bailey Isle 8"/>
    <s v="42582"/>
    <s v="+51-221482509"/>
    <x v="0"/>
    <x v="208"/>
    <s v="OK"/>
    <s v="OK"/>
    <s v="OK"/>
    <s v="MATCH"/>
    <x v="1"/>
    <n v="0"/>
    <x v="17"/>
    <x v="2"/>
    <n v="0"/>
    <n v="0"/>
    <x v="1"/>
  </r>
  <r>
    <s v="PROP00230"/>
    <s v="UKLiverpoolMia Isle235"/>
    <x v="1"/>
    <s v="Liverpool"/>
    <s v="Liverpool"/>
    <s v="UKLiverpoolMia Isle235"/>
    <s v="54456"/>
    <s v="+57-246784274"/>
    <x v="0"/>
    <x v="209"/>
    <s v="OK"/>
    <s v="OK"/>
    <s v="OK"/>
    <s v="MATCH"/>
    <x v="1"/>
    <n v="0"/>
    <x v="29"/>
    <x v="1"/>
    <n v="0"/>
    <n v="0"/>
    <x v="1"/>
  </r>
  <r>
    <s v="PROP00231"/>
    <s v="UKLondon"/>
    <x v="1"/>
    <s v="London"/>
    <s v="London"/>
    <s v=""/>
    <s v="72603"/>
    <s v="+46-912697732"/>
    <x v="1"/>
    <x v="210"/>
    <s v="MISSING"/>
    <s v="OK"/>
    <s v="OK"/>
    <s v="MATCH"/>
    <x v="0"/>
    <n v="1"/>
    <x v="12"/>
    <x v="3"/>
    <n v="1"/>
    <n v="1"/>
    <x v="0"/>
  </r>
  <r>
    <s v="PROP00232"/>
    <s v="AustraliaPerth"/>
    <x v="2"/>
    <s v="Perth"/>
    <s v="Perth"/>
    <s v=""/>
    <s v="33583"/>
    <s v="+65-531967246"/>
    <x v="1"/>
    <x v="211"/>
    <s v="MISSING"/>
    <s v="OK"/>
    <s v="OK"/>
    <s v="MATCH"/>
    <x v="0"/>
    <n v="1"/>
    <x v="1"/>
    <x v="1"/>
    <n v="1"/>
    <n v="1"/>
    <x v="0"/>
  </r>
  <r>
    <s v="PROP00233"/>
    <s v="UKLeeds"/>
    <x v="1"/>
    <s v="Leeds"/>
    <s v="Leeds"/>
    <s v=""/>
    <s v="53477"/>
    <s v="+34-628777998"/>
    <x v="1"/>
    <x v="212"/>
    <s v="MISSING"/>
    <s v="OK"/>
    <s v="OK"/>
    <s v="MATCH"/>
    <x v="0"/>
    <n v="1"/>
    <x v="1"/>
    <x v="3"/>
    <n v="1"/>
    <n v="1"/>
    <x v="0"/>
  </r>
  <r>
    <s v="PROP00234"/>
    <s v="GermanyMunich"/>
    <x v="4"/>
    <s v="Munich"/>
    <s v="Munich"/>
    <s v=""/>
    <s v="61053"/>
    <s v="+77-319537557"/>
    <x v="0"/>
    <x v="213"/>
    <s v="MISSING"/>
    <s v="OK"/>
    <s v="OK"/>
    <s v="MATCH"/>
    <x v="0"/>
    <n v="1"/>
    <x v="15"/>
    <x v="2"/>
    <n v="1"/>
    <n v="1"/>
    <x v="0"/>
  </r>
  <r>
    <s v="PROP00235"/>
    <s v="Fortaleza, Brown Path 237, Brazil"/>
    <x v="6"/>
    <s v="Fortaleza"/>
    <s v="Fortaleza"/>
    <s v="Brown Path 237"/>
    <s v="47920"/>
    <s v="+26-897609046"/>
    <x v="1"/>
    <x v="178"/>
    <s v="OK"/>
    <s v="OK"/>
    <s v="OK"/>
    <s v="MATCH"/>
    <x v="1"/>
    <n v="0"/>
    <x v="19"/>
    <x v="1"/>
    <n v="0"/>
    <n v="0"/>
    <x v="1"/>
  </r>
  <r>
    <s v="PROP00236"/>
    <s v="AustraliaPerth, Australia"/>
    <x v="2"/>
    <s v="Perth"/>
    <s v="Perth"/>
    <s v="Australia"/>
    <s v="7265"/>
    <s v="+27-999684991"/>
    <x v="1"/>
    <x v="153"/>
    <s v="OK"/>
    <s v="OK"/>
    <s v="OK"/>
    <s v="MATCH"/>
    <x v="1"/>
    <n v="0"/>
    <x v="1"/>
    <x v="1"/>
    <n v="0"/>
    <n v="0"/>
    <x v="1"/>
  </r>
  <r>
    <s v="PROP00237"/>
    <s v="Joseph Curve 49, Hamburg"/>
    <x v="4"/>
    <s v="Hamburg"/>
    <s v="Hamburg"/>
    <s v="Joseph Curve 49"/>
    <s v="38253"/>
    <s v="+62-293593385"/>
    <x v="0"/>
    <x v="214"/>
    <s v="OK"/>
    <s v="OK"/>
    <s v="OK"/>
    <s v="MATCH"/>
    <x v="1"/>
    <n v="0"/>
    <x v="14"/>
    <x v="4"/>
    <n v="0"/>
    <n v="0"/>
    <x v="1"/>
  </r>
  <r>
    <s v="PROP00238"/>
    <s v="Gilmore Oval 266, Paris"/>
    <x v="0"/>
    <s v="Paris"/>
    <s v="Paris"/>
    <s v="Gilmore Oval 266"/>
    <s v="16416"/>
    <s v="+77-120684582"/>
    <x v="1"/>
    <x v="215"/>
    <s v="OK"/>
    <s v="OK"/>
    <s v="OK"/>
    <s v="MATCH"/>
    <x v="1"/>
    <n v="0"/>
    <x v="19"/>
    <x v="4"/>
    <n v="0"/>
    <n v="0"/>
    <x v="1"/>
  </r>
  <r>
    <s v="PROP00239"/>
    <s v="NaplesTeresa Rest232, Italy"/>
    <x v="8"/>
    <s v="Naples"/>
    <s v="Naples"/>
    <s v="NaplesTeresa Rest232"/>
    <s v="31866"/>
    <s v="+86-365965161"/>
    <x v="1"/>
    <x v="216"/>
    <s v="OK"/>
    <s v="OK"/>
    <s v="OK"/>
    <s v="MATCH"/>
    <x v="1"/>
    <n v="0"/>
    <x v="6"/>
    <x v="1"/>
    <n v="0"/>
    <n v="0"/>
    <x v="1"/>
  </r>
  <r>
    <s v="PROP00240"/>
    <s v="JapanTokyoLance Bridge101"/>
    <x v="9"/>
    <s v="Tokyo"/>
    <s v="Tokyo"/>
    <s v="JapanTokyoLance Bridge101"/>
    <s v="72885"/>
    <s v="+48-772050569"/>
    <x v="1"/>
    <x v="217"/>
    <s v="OK"/>
    <s v="OK"/>
    <s v="OK"/>
    <s v="MATCH"/>
    <x v="1"/>
    <n v="0"/>
    <x v="30"/>
    <x v="4"/>
    <n v="0"/>
    <n v="0"/>
    <x v="1"/>
  </r>
  <r>
    <s v="PROP00241"/>
    <s v="Canada, Vancouver, Davis Ville 185"/>
    <x v="7"/>
    <s v="Vancouver"/>
    <s v="Vancouver"/>
    <s v="Davis Ville 185"/>
    <s v="15372"/>
    <s v="+70-578503796"/>
    <x v="0"/>
    <x v="218"/>
    <s v="OK"/>
    <s v="OK"/>
    <s v="OK"/>
    <s v="MATCH"/>
    <x v="1"/>
    <n v="0"/>
    <x v="19"/>
    <x v="0"/>
    <n v="0"/>
    <n v="0"/>
    <x v="1"/>
  </r>
  <r>
    <s v="PROP00242"/>
    <s v="Valentine Rue159, Melbourne, Australia"/>
    <x v="2"/>
    <s v="Melbourne"/>
    <s v="Melbourne"/>
    <s v="Valentine Rue159"/>
    <s v="20682"/>
    <s v="+36-879423333"/>
    <x v="1"/>
    <x v="219"/>
    <s v="OK"/>
    <s v="OK"/>
    <s v="OK"/>
    <s v="MATCH"/>
    <x v="1"/>
    <n v="0"/>
    <x v="16"/>
    <x v="1"/>
    <n v="0"/>
    <n v="0"/>
    <x v="1"/>
  </r>
  <r>
    <s v="PROP00243"/>
    <s v="France, Paris"/>
    <x v="0"/>
    <s v="Paris"/>
    <s v="Paris"/>
    <s v="Paris"/>
    <s v="67199"/>
    <s v="+93-624115037"/>
    <x v="1"/>
    <x v="15"/>
    <s v="OK"/>
    <s v="OK"/>
    <s v="OK"/>
    <s v="MATCH"/>
    <x v="1"/>
    <n v="0"/>
    <x v="6"/>
    <x v="2"/>
    <n v="0"/>
    <n v="0"/>
    <x v="1"/>
  </r>
  <r>
    <s v="PROP00244"/>
    <s v="ParisPerry Orchard298, France"/>
    <x v="0"/>
    <s v="Paris"/>
    <s v="Paris"/>
    <s v="ParisPerry Orchard298"/>
    <s v="62395"/>
    <s v="+48-590697260"/>
    <x v="1"/>
    <x v="220"/>
    <s v="OK"/>
    <s v="OK"/>
    <s v="OK"/>
    <s v="MATCH"/>
    <x v="1"/>
    <n v="0"/>
    <x v="17"/>
    <x v="3"/>
    <n v="0"/>
    <n v="0"/>
    <x v="1"/>
  </r>
  <r>
    <s v="PROP00245"/>
    <s v="Stephen Drive 57, France, Marseille"/>
    <x v="0"/>
    <s v="Marseille"/>
    <s v="Marseille"/>
    <s v="Stephen Drive 57"/>
    <s v="50778"/>
    <s v="+25-478015328"/>
    <x v="0"/>
    <x v="221"/>
    <s v="OK"/>
    <s v="OK"/>
    <s v="OK"/>
    <s v="MATCH"/>
    <x v="1"/>
    <n v="0"/>
    <x v="20"/>
    <x v="2"/>
    <n v="0"/>
    <n v="0"/>
    <x v="1"/>
  </r>
  <r>
    <s v="PROP00246"/>
    <s v="AustraliaBrisbane"/>
    <x v="2"/>
    <s v="Brisbane"/>
    <s v="Brisbane"/>
    <s v=""/>
    <s v="98319"/>
    <s v="+62-876834698"/>
    <x v="1"/>
    <x v="222"/>
    <s v="MISSING"/>
    <s v="OK"/>
    <s v="OK"/>
    <s v="MATCH"/>
    <x v="0"/>
    <n v="1"/>
    <x v="14"/>
    <x v="4"/>
    <n v="1"/>
    <n v="1"/>
    <x v="0"/>
  </r>
  <r>
    <s v="PROP00247"/>
    <s v="UK, Manchester"/>
    <x v="1"/>
    <s v="Manchester"/>
    <s v="Manchester"/>
    <s v="Manchester"/>
    <s v="54888"/>
    <s v="+11-958092389"/>
    <x v="0"/>
    <x v="223"/>
    <s v="OK"/>
    <s v="OK"/>
    <s v="OK"/>
    <s v="MATCH"/>
    <x v="1"/>
    <n v="0"/>
    <x v="18"/>
    <x v="3"/>
    <n v="0"/>
    <n v="0"/>
    <x v="1"/>
  </r>
  <r>
    <s v="PROP00248"/>
    <s v="Villa Parkways110, Bordeaux, France"/>
    <x v="0"/>
    <s v="Bordeaux"/>
    <s v="Bordeaux"/>
    <s v="Villa Parkways110"/>
    <s v="35519"/>
    <s v="+7-238442070"/>
    <x v="1"/>
    <x v="224"/>
    <s v="OK"/>
    <s v="OK"/>
    <s v="OK"/>
    <s v="MATCH"/>
    <x v="1"/>
    <n v="0"/>
    <x v="24"/>
    <x v="3"/>
    <n v="0"/>
    <n v="0"/>
    <x v="1"/>
  </r>
  <r>
    <s v="PROP00249"/>
    <s v="AustraliaBrisbane"/>
    <x v="2"/>
    <s v="Brisbane"/>
    <s v="Brisbane"/>
    <s v=""/>
    <s v="77432"/>
    <s v="+90-367901008"/>
    <x v="1"/>
    <x v="225"/>
    <s v="MISSING"/>
    <s v="OK"/>
    <s v="OK"/>
    <s v="MATCH"/>
    <x v="0"/>
    <n v="1"/>
    <x v="13"/>
    <x v="2"/>
    <n v="1"/>
    <n v="1"/>
    <x v="0"/>
  </r>
  <r>
    <s v="PROP00250"/>
    <s v="Grimes Mission 228, Japan, Osaka"/>
    <x v="9"/>
    <s v="Osaka"/>
    <s v="Osaka"/>
    <s v="Grimes Mission 228"/>
    <s v="71093"/>
    <s v="+29-180441807"/>
    <x v="1"/>
    <x v="226"/>
    <s v="OK"/>
    <s v="OK"/>
    <s v="OK"/>
    <s v="MATCH"/>
    <x v="1"/>
    <n v="0"/>
    <x v="35"/>
    <x v="0"/>
    <n v="0"/>
    <n v="0"/>
    <x v="1"/>
  </r>
  <r>
    <s v="PROP00251"/>
    <s v="Reed Plaza 157, USA, Houston"/>
    <x v="3"/>
    <s v="Houston"/>
    <s v="Houston"/>
    <s v="Reed Plaza 157"/>
    <s v="71729"/>
    <s v="+1-299578454"/>
    <x v="0"/>
    <x v="227"/>
    <s v="OK"/>
    <s v="OK"/>
    <s v="OK"/>
    <s v="MATCH"/>
    <x v="1"/>
    <n v="0"/>
    <x v="16"/>
    <x v="0"/>
    <n v="0"/>
    <n v="0"/>
    <x v="1"/>
  </r>
  <r>
    <s v="PROP00252"/>
    <s v="Italy, Naples, Gibson Islands 48"/>
    <x v="8"/>
    <s v="Naples"/>
    <s v="Naples"/>
    <s v="Gibson Islands 48"/>
    <s v="25228"/>
    <s v="+22-524433573"/>
    <x v="0"/>
    <x v="228"/>
    <s v="OK"/>
    <s v="OK"/>
    <s v="OK"/>
    <s v="MATCH"/>
    <x v="1"/>
    <n v="0"/>
    <x v="7"/>
    <x v="1"/>
    <n v="0"/>
    <n v="0"/>
    <x v="1"/>
  </r>
  <r>
    <s v="PROP00253"/>
    <s v="AustraliaAdelaide"/>
    <x v="2"/>
    <s v="Adelaide"/>
    <s v="Adelaide"/>
    <s v=""/>
    <s v="54342"/>
    <s v="+92-762276073"/>
    <x v="0"/>
    <x v="229"/>
    <s v="MISSING"/>
    <s v="OK"/>
    <s v="OK"/>
    <s v="MATCH"/>
    <x v="0"/>
    <n v="1"/>
    <x v="36"/>
    <x v="3"/>
    <n v="1"/>
    <n v="1"/>
    <x v="0"/>
  </r>
  <r>
    <s v="PROP00254"/>
    <s v="Louis Mountains 287, Bilbao"/>
    <x v="5"/>
    <s v="Bilbao"/>
    <s v="Bilbao"/>
    <s v="Louis Mountains 287"/>
    <s v="92936"/>
    <s v="+24-859746679"/>
    <x v="0"/>
    <x v="230"/>
    <s v="OK"/>
    <s v="OK"/>
    <s v="OK"/>
    <s v="MATCH"/>
    <x v="1"/>
    <n v="0"/>
    <x v="19"/>
    <x v="4"/>
    <n v="0"/>
    <n v="0"/>
    <x v="1"/>
  </r>
  <r>
    <s v="PROP00255"/>
    <s v="Hughes Shore 118, Japan, Nagoya"/>
    <x v="9"/>
    <s v="Nagoya"/>
    <s v="Nagoya"/>
    <s v="Hughes Shore 118"/>
    <s v="85962"/>
    <s v="+55-721726327"/>
    <x v="0"/>
    <x v="131"/>
    <s v="OK"/>
    <s v="OK"/>
    <s v="OK"/>
    <s v="MATCH"/>
    <x v="1"/>
    <n v="0"/>
    <x v="32"/>
    <x v="2"/>
    <n v="0"/>
    <n v="0"/>
    <x v="1"/>
  </r>
  <r>
    <s v="PROP00256"/>
    <s v="Tyler Camp 66, Japan, Kyoto"/>
    <x v="9"/>
    <s v="Kyoto"/>
    <s v="Kyoto"/>
    <s v="Tyler Camp 66"/>
    <s v="17048"/>
    <s v="+51-303625489"/>
    <x v="0"/>
    <x v="231"/>
    <s v="OK"/>
    <s v="OK"/>
    <s v="OK"/>
    <s v="MATCH"/>
    <x v="1"/>
    <n v="0"/>
    <x v="12"/>
    <x v="0"/>
    <n v="0"/>
    <n v="0"/>
    <x v="1"/>
  </r>
  <r>
    <s v="PROP00257"/>
    <s v="Kane Well294, Seville, Spain"/>
    <x v="5"/>
    <s v="Seville"/>
    <s v="Seville"/>
    <s v="Kane Well294"/>
    <s v="58212"/>
    <s v="+9-768866473"/>
    <x v="0"/>
    <x v="232"/>
    <s v="OK"/>
    <s v="OK"/>
    <s v="OK"/>
    <s v="MATCH"/>
    <x v="1"/>
    <n v="0"/>
    <x v="25"/>
    <x v="1"/>
    <n v="0"/>
    <n v="0"/>
    <x v="1"/>
  </r>
  <r>
    <s v="PROP00258"/>
    <s v="Canada, Montreal"/>
    <x v="7"/>
    <s v="Montreal"/>
    <s v="Montreal"/>
    <s v="Montreal"/>
    <s v="2512"/>
    <s v="+45-896798087"/>
    <x v="1"/>
    <x v="174"/>
    <s v="OK"/>
    <s v="OK"/>
    <s v="OK"/>
    <s v="MATCH"/>
    <x v="1"/>
    <n v="0"/>
    <x v="30"/>
    <x v="2"/>
    <n v="0"/>
    <n v="0"/>
    <x v="1"/>
  </r>
  <r>
    <s v="PROP00259"/>
    <s v="Hamburg, Robert Shoal 173, Germany"/>
    <x v="4"/>
    <s v="Hamburg"/>
    <s v="Hamburg"/>
    <s v="Robert Shoal 173"/>
    <s v="20733"/>
    <s v="+91-926118343"/>
    <x v="1"/>
    <x v="233"/>
    <s v="OK"/>
    <s v="OK"/>
    <s v="OK"/>
    <s v="MATCH"/>
    <x v="1"/>
    <n v="0"/>
    <x v="24"/>
    <x v="2"/>
    <n v="0"/>
    <n v="0"/>
    <x v="1"/>
  </r>
  <r>
    <s v="PROP00260"/>
    <s v="LyonTerrance Greens77, France"/>
    <x v="0"/>
    <s v="Lyon"/>
    <s v="Lyon"/>
    <s v="LyonTerrance Greens77"/>
    <s v="44876"/>
    <s v="+92-674319716"/>
    <x v="1"/>
    <x v="234"/>
    <s v="OK"/>
    <s v="OK"/>
    <s v="OK"/>
    <s v="MATCH"/>
    <x v="1"/>
    <n v="0"/>
    <x v="0"/>
    <x v="4"/>
    <n v="0"/>
    <n v="0"/>
    <x v="1"/>
  </r>
  <r>
    <s v="PROP00261"/>
    <s v="ItalyMilan"/>
    <x v="8"/>
    <s v="Milan"/>
    <s v="Milan"/>
    <s v=""/>
    <s v="43566"/>
    <s v="+28-424131603"/>
    <x v="1"/>
    <x v="235"/>
    <s v="MISSING"/>
    <s v="OK"/>
    <s v="OK"/>
    <s v="MATCH"/>
    <x v="0"/>
    <n v="1"/>
    <x v="24"/>
    <x v="2"/>
    <n v="1"/>
    <n v="1"/>
    <x v="0"/>
  </r>
  <r>
    <s v="PROP00262"/>
    <s v="Finley Road136, Salvador, Brazil"/>
    <x v="6"/>
    <s v="Salvador"/>
    <s v="Salvador"/>
    <s v="Finley Road136"/>
    <s v="94704"/>
    <s v="+12-553723849"/>
    <x v="0"/>
    <x v="236"/>
    <s v="OK"/>
    <s v="OK"/>
    <s v="OK"/>
    <s v="MATCH"/>
    <x v="1"/>
    <n v="0"/>
    <x v="0"/>
    <x v="1"/>
    <n v="0"/>
    <n v="0"/>
    <x v="1"/>
  </r>
  <r>
    <s v="PROP00263"/>
    <s v="BrasíliaBrennan Camp37, Brazil"/>
    <x v="6"/>
    <s v="Brasília"/>
    <s v="Brasília"/>
    <s v="BrasíliaBrennan Camp37"/>
    <s v="81432"/>
    <s v="+21-246932754"/>
    <x v="1"/>
    <x v="237"/>
    <s v="OK"/>
    <s v="OK"/>
    <s v="OK"/>
    <s v="MATCH"/>
    <x v="1"/>
    <n v="0"/>
    <x v="4"/>
    <x v="0"/>
    <n v="0"/>
    <n v="0"/>
    <x v="1"/>
  </r>
  <r>
    <s v="PROP00264"/>
    <s v="Frankfurt, Jimmy Spur 173, Germany"/>
    <x v="4"/>
    <s v="Frankfurt"/>
    <s v="Frankfurt"/>
    <s v="Jimmy Spur 173"/>
    <s v="38168"/>
    <s v="+97-535199213"/>
    <x v="1"/>
    <x v="146"/>
    <s v="OK"/>
    <s v="OK"/>
    <s v="OK"/>
    <s v="MATCH"/>
    <x v="1"/>
    <n v="0"/>
    <x v="15"/>
    <x v="0"/>
    <n v="0"/>
    <n v="0"/>
    <x v="1"/>
  </r>
  <r>
    <s v="PROP00265"/>
    <s v="CanadaMontreal"/>
    <x v="7"/>
    <s v="Montreal"/>
    <s v="Montreal"/>
    <s v=""/>
    <s v="13404"/>
    <s v="+20-374893134"/>
    <x v="1"/>
    <x v="238"/>
    <s v="MISSING"/>
    <s v="OK"/>
    <s v="OK"/>
    <s v="MATCH"/>
    <x v="0"/>
    <n v="1"/>
    <x v="34"/>
    <x v="2"/>
    <n v="1"/>
    <n v="1"/>
    <x v="0"/>
  </r>
  <r>
    <s v="PROP00266"/>
    <s v="UKManchester"/>
    <x v="1"/>
    <s v="Manchester"/>
    <s v="Manchester"/>
    <s v=""/>
    <s v="39752"/>
    <s v="+77-374505712"/>
    <x v="0"/>
    <x v="239"/>
    <s v="MISSING"/>
    <s v="OK"/>
    <s v="OK"/>
    <s v="MATCH"/>
    <x v="0"/>
    <n v="1"/>
    <x v="4"/>
    <x v="4"/>
    <n v="1"/>
    <n v="1"/>
    <x v="0"/>
  </r>
  <r>
    <s v="PROP00267"/>
    <s v="UKLeedsBrandon Underpass29"/>
    <x v="1"/>
    <s v="Leeds"/>
    <s v="Leeds"/>
    <s v="UKLeedsBrandon Underpass29"/>
    <s v="7856"/>
    <s v="+76-116541530"/>
    <x v="0"/>
    <x v="240"/>
    <s v="OK"/>
    <s v="OK"/>
    <s v="OK"/>
    <s v="MATCH"/>
    <x v="1"/>
    <n v="0"/>
    <x v="7"/>
    <x v="3"/>
    <n v="0"/>
    <n v="0"/>
    <x v="1"/>
  </r>
  <r>
    <s v="PROP00268"/>
    <s v="SapporoHoward Meadows30, Japan"/>
    <x v="9"/>
    <s v="Sapporo"/>
    <s v="Sapporo"/>
    <s v="SapporoHoward Meadows30"/>
    <s v="19581"/>
    <s v="+50-157477530"/>
    <x v="1"/>
    <x v="218"/>
    <s v="OK"/>
    <s v="OK"/>
    <s v="OK"/>
    <s v="MATCH"/>
    <x v="1"/>
    <n v="0"/>
    <x v="19"/>
    <x v="4"/>
    <n v="0"/>
    <n v="0"/>
    <x v="1"/>
  </r>
  <r>
    <s v="PROP00269"/>
    <s v="Amanda Port 2, Calgary"/>
    <x v="7"/>
    <s v="Calgary"/>
    <s v="Calgary"/>
    <s v="Amanda Port 2"/>
    <s v="89865"/>
    <s v="+53-274569602"/>
    <x v="1"/>
    <x v="241"/>
    <s v="OK"/>
    <s v="OK"/>
    <s v="OK"/>
    <s v="MATCH"/>
    <x v="1"/>
    <n v="0"/>
    <x v="36"/>
    <x v="1"/>
    <n v="0"/>
    <n v="0"/>
    <x v="1"/>
  </r>
  <r>
    <s v="PROP00270"/>
    <s v="George Common 184, Naples"/>
    <x v="8"/>
    <s v="Naples"/>
    <s v="Naples"/>
    <s v="George Common 184"/>
    <s v="80388"/>
    <s v="+20-187421837"/>
    <x v="1"/>
    <x v="135"/>
    <s v="OK"/>
    <s v="OK"/>
    <s v="OK"/>
    <s v="MATCH"/>
    <x v="1"/>
    <n v="0"/>
    <x v="33"/>
    <x v="2"/>
    <n v="0"/>
    <n v="0"/>
    <x v="1"/>
  </r>
  <r>
    <s v="PROP00271"/>
    <s v="JapanNagoya"/>
    <x v="9"/>
    <s v="Nagoya"/>
    <s v="Nagoya"/>
    <s v=""/>
    <s v="65731"/>
    <s v="+59-885960030"/>
    <x v="1"/>
    <x v="242"/>
    <s v="MISSING"/>
    <s v="OK"/>
    <s v="OK"/>
    <s v="MATCH"/>
    <x v="0"/>
    <n v="1"/>
    <x v="3"/>
    <x v="4"/>
    <n v="1"/>
    <n v="1"/>
    <x v="0"/>
  </r>
  <r>
    <s v="PROP00272"/>
    <s v="Jesse Route 278, USA, Phoenix"/>
    <x v="3"/>
    <s v="Phoenix"/>
    <s v="Phoenix"/>
    <s v="Jesse Route 278"/>
    <s v="33790"/>
    <s v="+1-457366445"/>
    <x v="0"/>
    <x v="243"/>
    <s v="OK"/>
    <s v="OK"/>
    <s v="OK"/>
    <s v="MATCH"/>
    <x v="1"/>
    <n v="0"/>
    <x v="10"/>
    <x v="2"/>
    <n v="0"/>
    <n v="0"/>
    <x v="1"/>
  </r>
  <r>
    <s v="PROP00273"/>
    <s v="CanadaVancouver"/>
    <x v="7"/>
    <s v="Vancouver"/>
    <s v="Vancouver"/>
    <s v=""/>
    <s v="61482"/>
    <s v="+29-904892516"/>
    <x v="1"/>
    <x v="244"/>
    <s v="MISSING"/>
    <s v="OK"/>
    <s v="OK"/>
    <s v="MATCH"/>
    <x v="0"/>
    <n v="1"/>
    <x v="4"/>
    <x v="2"/>
    <n v="1"/>
    <n v="1"/>
    <x v="0"/>
  </r>
  <r>
    <s v="PROP00274"/>
    <s v="USAHouston"/>
    <x v="3"/>
    <s v="Houston"/>
    <s v="Houston"/>
    <s v=""/>
    <s v="10182"/>
    <s v="+23-232848465"/>
    <x v="0"/>
    <x v="63"/>
    <s v="MISSING"/>
    <s v="OK"/>
    <s v="OK"/>
    <s v="MATCH"/>
    <x v="0"/>
    <n v="1"/>
    <x v="6"/>
    <x v="3"/>
    <n v="1"/>
    <n v="1"/>
    <x v="0"/>
  </r>
  <r>
    <s v="PROP00275"/>
    <s v="Germany, Cologne"/>
    <x v="4"/>
    <s v="Cologne"/>
    <s v="Cologne"/>
    <s v="Cologne"/>
    <s v="39711"/>
    <s v="+95-993398160"/>
    <x v="1"/>
    <x v="245"/>
    <s v="OK"/>
    <s v="OK"/>
    <s v="OK"/>
    <s v="MATCH"/>
    <x v="1"/>
    <n v="0"/>
    <x v="7"/>
    <x v="1"/>
    <n v="0"/>
    <n v="0"/>
    <x v="1"/>
  </r>
  <r>
    <s v="PROP00276"/>
    <s v="GermanyFrankfurt, Germany"/>
    <x v="4"/>
    <s v="Frankfurt"/>
    <s v="Frankfurt"/>
    <s v="Germany"/>
    <s v="40100"/>
    <s v="+94-720786363"/>
    <x v="1"/>
    <x v="246"/>
    <s v="OK"/>
    <s v="OK"/>
    <s v="OK"/>
    <s v="MATCH"/>
    <x v="1"/>
    <n v="0"/>
    <x v="34"/>
    <x v="3"/>
    <n v="0"/>
    <n v="0"/>
    <x v="1"/>
  </r>
  <r>
    <s v="PROP00277"/>
    <s v="Calgary, Yvonne Walk 269, Canada"/>
    <x v="7"/>
    <s v="Calgary"/>
    <s v="Calgary"/>
    <s v="Yvonne Walk 269"/>
    <s v="63836"/>
    <s v="+97-172788544"/>
    <x v="0"/>
    <x v="247"/>
    <s v="OK"/>
    <s v="OK"/>
    <s v="OK"/>
    <s v="MATCH"/>
    <x v="1"/>
    <n v="0"/>
    <x v="36"/>
    <x v="2"/>
    <n v="0"/>
    <n v="0"/>
    <x v="1"/>
  </r>
  <r>
    <s v="PROP00278"/>
    <s v="AustraliaAdelaide, Australia"/>
    <x v="2"/>
    <s v="Adelaide"/>
    <s v="Adelaide"/>
    <s v="Australia"/>
    <s v="47550"/>
    <s v="+53-569562534"/>
    <x v="0"/>
    <x v="55"/>
    <s v="OK"/>
    <s v="OK"/>
    <s v="OK"/>
    <s v="MATCH"/>
    <x v="1"/>
    <n v="0"/>
    <x v="24"/>
    <x v="4"/>
    <n v="0"/>
    <n v="0"/>
    <x v="1"/>
  </r>
  <r>
    <s v="PROP00279"/>
    <s v="Brazil, Rio de Janeiro"/>
    <x v="6"/>
    <s v="Rio de Janeiro"/>
    <s v="Rio de Janeiro"/>
    <s v="Rio de Janeiro"/>
    <s v="3376"/>
    <s v="+52-736920379"/>
    <x v="1"/>
    <x v="248"/>
    <s v="OK"/>
    <s v="OK"/>
    <s v="OK"/>
    <s v="MATCH"/>
    <x v="1"/>
    <n v="0"/>
    <x v="2"/>
    <x v="0"/>
    <n v="0"/>
    <n v="0"/>
    <x v="1"/>
  </r>
  <r>
    <s v="PROP00280"/>
    <s v="JapanNagoyaHill Port8"/>
    <x v="9"/>
    <s v="Nagoya"/>
    <s v="Nagoya"/>
    <s v="JapanNagoyaHill Port8"/>
    <s v="90390"/>
    <s v="+10-401230907"/>
    <x v="0"/>
    <x v="249"/>
    <s v="OK"/>
    <s v="OK"/>
    <s v="OK"/>
    <s v="MATCH"/>
    <x v="1"/>
    <n v="0"/>
    <x v="29"/>
    <x v="1"/>
    <n v="0"/>
    <n v="0"/>
    <x v="1"/>
  </r>
  <r>
    <s v="PROP00281"/>
    <s v="Japan, Tokyo, Renee Summit 183"/>
    <x v="9"/>
    <s v="Tokyo"/>
    <s v="Tokyo"/>
    <s v="Renee Summit 183"/>
    <s v="65608"/>
    <s v="+15-737055387"/>
    <x v="1"/>
    <x v="250"/>
    <s v="OK"/>
    <s v="OK"/>
    <s v="OK"/>
    <s v="MATCH"/>
    <x v="1"/>
    <n v="0"/>
    <x v="34"/>
    <x v="0"/>
    <n v="0"/>
    <n v="0"/>
    <x v="1"/>
  </r>
  <r>
    <s v="PROP00282"/>
    <s v="BrisbaneParsons Forks64, Australia"/>
    <x v="2"/>
    <s v="Brisbane"/>
    <s v="Brisbane"/>
    <s v="BrisbaneParsons Forks64"/>
    <s v="80070"/>
    <s v="+80-678085476"/>
    <x v="1"/>
    <x v="242"/>
    <s v="OK"/>
    <s v="OK"/>
    <s v="OK"/>
    <s v="MATCH"/>
    <x v="1"/>
    <n v="0"/>
    <x v="3"/>
    <x v="1"/>
    <n v="0"/>
    <n v="0"/>
    <x v="1"/>
  </r>
  <r>
    <s v="PROP00283"/>
    <s v="MadridRobinson Field59, Spain"/>
    <x v="5"/>
    <s v="Madrid"/>
    <s v="Madrid"/>
    <s v="MadridRobinson Field59"/>
    <s v="81882"/>
    <s v="+34-854940653"/>
    <x v="0"/>
    <x v="194"/>
    <s v="OK"/>
    <s v="OK"/>
    <s v="OK"/>
    <s v="MATCH"/>
    <x v="1"/>
    <n v="0"/>
    <x v="1"/>
    <x v="2"/>
    <n v="0"/>
    <n v="0"/>
    <x v="1"/>
  </r>
  <r>
    <s v="PROP00284"/>
    <s v="UKBirmingham, UK"/>
    <x v="1"/>
    <s v="Birmingham"/>
    <s v="Birmingham"/>
    <s v="UK"/>
    <s v="86901"/>
    <s v="+32-501717196"/>
    <x v="0"/>
    <x v="251"/>
    <s v="OK"/>
    <s v="OK"/>
    <s v="OK"/>
    <s v="MATCH"/>
    <x v="1"/>
    <n v="0"/>
    <x v="13"/>
    <x v="0"/>
    <n v="0"/>
    <n v="0"/>
    <x v="1"/>
  </r>
  <r>
    <s v="PROP00285"/>
    <s v="AustraliaAdelaide"/>
    <x v="2"/>
    <s v="Adelaide"/>
    <s v="Adelaide"/>
    <s v=""/>
    <s v="85218"/>
    <s v="+13-253344605"/>
    <x v="1"/>
    <x v="232"/>
    <s v="MISSING"/>
    <s v="OK"/>
    <s v="OK"/>
    <s v="MATCH"/>
    <x v="0"/>
    <n v="1"/>
    <x v="25"/>
    <x v="1"/>
    <n v="1"/>
    <n v="1"/>
    <x v="0"/>
  </r>
  <r>
    <s v="PROP00286"/>
    <s v="Kyle Mill181, Montreal, Canada"/>
    <x v="7"/>
    <s v="Montreal"/>
    <s v="Montreal"/>
    <s v="Kyle Mill181"/>
    <s v="4874"/>
    <s v="+20-169655374"/>
    <x v="0"/>
    <x v="252"/>
    <s v="OK"/>
    <s v="OK"/>
    <s v="OK"/>
    <s v="MATCH"/>
    <x v="1"/>
    <n v="0"/>
    <x v="30"/>
    <x v="3"/>
    <n v="0"/>
    <n v="0"/>
    <x v="1"/>
  </r>
  <r>
    <s v="PROP00287"/>
    <s v="Rio de Janeiro, Oconnor Course 202, Brazil"/>
    <x v="6"/>
    <s v="Rio de Janeiro"/>
    <s v="Rio de Janeiro"/>
    <s v="Oconnor Course 202"/>
    <s v="39181"/>
    <s v="+44-154796541"/>
    <x v="0"/>
    <x v="253"/>
    <s v="OK"/>
    <s v="OK"/>
    <s v="OK"/>
    <s v="MATCH"/>
    <x v="1"/>
    <n v="0"/>
    <x v="4"/>
    <x v="4"/>
    <n v="0"/>
    <n v="0"/>
    <x v="1"/>
  </r>
  <r>
    <s v="PROP00288"/>
    <s v="São Paulo, Burgess Extensions 183, Brazil"/>
    <x v="6"/>
    <s v="São Paulo"/>
    <s v="São Paulo"/>
    <s v="Burgess Extensions 183"/>
    <s v="26819"/>
    <s v="+73-854885848"/>
    <x v="1"/>
    <x v="196"/>
    <s v="OK"/>
    <s v="OK"/>
    <s v="OK"/>
    <s v="MATCH"/>
    <x v="1"/>
    <n v="0"/>
    <x v="15"/>
    <x v="0"/>
    <n v="0"/>
    <n v="0"/>
    <x v="1"/>
  </r>
  <r>
    <s v="PROP00289"/>
    <s v="Brisbane, Kristin Wells 71, Australia"/>
    <x v="2"/>
    <s v="Brisbane"/>
    <s v="Brisbane"/>
    <s v="Kristin Wells 71"/>
    <s v="48454"/>
    <s v="+75-204608927"/>
    <x v="1"/>
    <x v="130"/>
    <s v="OK"/>
    <s v="OK"/>
    <s v="OK"/>
    <s v="MATCH"/>
    <x v="1"/>
    <n v="0"/>
    <x v="31"/>
    <x v="1"/>
    <n v="0"/>
    <n v="0"/>
    <x v="1"/>
  </r>
  <r>
    <s v="PROP00290"/>
    <s v="GermanyHamburg, Germany"/>
    <x v="4"/>
    <s v="Hamburg"/>
    <s v="Hamburg"/>
    <s v="Germany"/>
    <s v="63657"/>
    <s v="+96-520795808"/>
    <x v="0"/>
    <x v="254"/>
    <s v="OK"/>
    <s v="OK"/>
    <s v="OK"/>
    <s v="MATCH"/>
    <x v="1"/>
    <n v="0"/>
    <x v="35"/>
    <x v="4"/>
    <n v="0"/>
    <n v="0"/>
    <x v="1"/>
  </r>
  <r>
    <s v="PROP00291"/>
    <s v="CanadaMontreal"/>
    <x v="7"/>
    <s v="Montreal"/>
    <s v="Montreal"/>
    <s v=""/>
    <s v="15596"/>
    <s v="+12-509285245"/>
    <x v="1"/>
    <x v="227"/>
    <s v="MISSING"/>
    <s v="OK"/>
    <s v="OK"/>
    <s v="MATCH"/>
    <x v="0"/>
    <n v="1"/>
    <x v="16"/>
    <x v="1"/>
    <n v="1"/>
    <n v="1"/>
    <x v="0"/>
  </r>
  <r>
    <s v="PROP00292"/>
    <s v="USA, New York, Mccarty Divide 15"/>
    <x v="3"/>
    <s v="New York"/>
    <s v="New York"/>
    <s v="Mccarty Divide 15"/>
    <s v="99349"/>
    <s v="+82-220182858"/>
    <x v="0"/>
    <x v="255"/>
    <s v="OK"/>
    <s v="OK"/>
    <s v="OK"/>
    <s v="MATCH"/>
    <x v="1"/>
    <n v="0"/>
    <x v="19"/>
    <x v="1"/>
    <n v="0"/>
    <n v="0"/>
    <x v="1"/>
  </r>
  <r>
    <s v="PROP00293"/>
    <s v="AustraliaMelbourne"/>
    <x v="2"/>
    <s v="Melbourne"/>
    <s v="Melbourne"/>
    <s v=""/>
    <s v="88896"/>
    <s v="+25-517989908"/>
    <x v="0"/>
    <x v="256"/>
    <s v="MISSING"/>
    <s v="OK"/>
    <s v="OK"/>
    <s v="MATCH"/>
    <x v="0"/>
    <n v="1"/>
    <x v="30"/>
    <x v="1"/>
    <n v="1"/>
    <n v="1"/>
    <x v="0"/>
  </r>
  <r>
    <s v="PROP00294"/>
    <s v="Coffey Unions 116, Germany, Cologne"/>
    <x v="4"/>
    <s v="Cologne"/>
    <s v="Cologne"/>
    <s v="Coffey Unions 116"/>
    <s v="73549"/>
    <s v="+82-979950186"/>
    <x v="0"/>
    <x v="96"/>
    <s v="OK"/>
    <s v="OK"/>
    <s v="OK"/>
    <s v="MATCH"/>
    <x v="1"/>
    <n v="0"/>
    <x v="30"/>
    <x v="2"/>
    <n v="0"/>
    <n v="0"/>
    <x v="1"/>
  </r>
  <r>
    <s v="PROP00295"/>
    <s v="Davis Locks 25, Italy, Naples"/>
    <x v="8"/>
    <s v="Naples"/>
    <s v="Naples"/>
    <s v="Davis Locks 25"/>
    <s v="2325"/>
    <s v="+68-483600749"/>
    <x v="0"/>
    <x v="257"/>
    <s v="OK"/>
    <s v="OK"/>
    <s v="OK"/>
    <s v="MATCH"/>
    <x v="1"/>
    <n v="0"/>
    <x v="12"/>
    <x v="3"/>
    <n v="0"/>
    <n v="0"/>
    <x v="1"/>
  </r>
  <r>
    <s v="PROP00296"/>
    <s v="Italy, Naples, Herrera Motorway 169"/>
    <x v="8"/>
    <s v="Naples"/>
    <s v="Naples"/>
    <s v="Herrera Motorway 169"/>
    <s v="48812"/>
    <s v="+82-174512198"/>
    <x v="0"/>
    <x v="258"/>
    <s v="OK"/>
    <s v="OK"/>
    <s v="OK"/>
    <s v="MATCH"/>
    <x v="1"/>
    <n v="0"/>
    <x v="8"/>
    <x v="0"/>
    <n v="0"/>
    <n v="0"/>
    <x v="1"/>
  </r>
  <r>
    <s v="PROP00297"/>
    <s v="Leeds, Richards View 78, UK"/>
    <x v="1"/>
    <s v="Leeds"/>
    <s v="Leeds"/>
    <s v="Richards View 78"/>
    <s v="84196"/>
    <s v="+23-863508817"/>
    <x v="0"/>
    <x v="259"/>
    <s v="OK"/>
    <s v="OK"/>
    <s v="OK"/>
    <s v="MATCH"/>
    <x v="1"/>
    <n v="0"/>
    <x v="31"/>
    <x v="3"/>
    <n v="0"/>
    <n v="0"/>
    <x v="1"/>
  </r>
  <r>
    <s v="PROP00298"/>
    <s v="GermanyBerlin"/>
    <x v="4"/>
    <s v="Berlin"/>
    <s v="Berlin"/>
    <s v=""/>
    <s v="62298"/>
    <s v="+28-385042285"/>
    <x v="1"/>
    <x v="117"/>
    <s v="MISSING"/>
    <s v="OK"/>
    <s v="OK"/>
    <s v="MATCH"/>
    <x v="0"/>
    <n v="1"/>
    <x v="20"/>
    <x v="4"/>
    <n v="1"/>
    <n v="1"/>
    <x v="0"/>
  </r>
  <r>
    <s v="PROP00299"/>
    <s v="Leeds, Christine Points 207, UK"/>
    <x v="1"/>
    <s v="Leeds"/>
    <s v="Leeds"/>
    <s v="Christine Points 207"/>
    <s v="43493"/>
    <s v="+88-126384432"/>
    <x v="1"/>
    <x v="260"/>
    <s v="OK"/>
    <s v="OK"/>
    <s v="OK"/>
    <s v="MATCH"/>
    <x v="1"/>
    <n v="0"/>
    <x v="25"/>
    <x v="4"/>
    <n v="0"/>
    <n v="0"/>
    <x v="1"/>
  </r>
  <r>
    <s v="PROP00300"/>
    <s v="Deborah Roads 279, Italy, Florence"/>
    <x v="8"/>
    <s v="Florence"/>
    <s v="Florence"/>
    <s v="Deborah Roads 279"/>
    <s v="61353"/>
    <s v="+63-751929397"/>
    <x v="1"/>
    <x v="261"/>
    <s v="OK"/>
    <s v="OK"/>
    <s v="OK"/>
    <s v="MATCH"/>
    <x v="1"/>
    <n v="0"/>
    <x v="30"/>
    <x v="4"/>
    <n v="0"/>
    <n v="0"/>
    <x v="1"/>
  </r>
  <r>
    <s v="PROP00301"/>
    <s v="Banks Crescent 116, France, Paris"/>
    <x v="0"/>
    <s v="Paris"/>
    <s v="Paris"/>
    <s v="Banks Crescent 116"/>
    <s v="18821"/>
    <s v="+85-135214085"/>
    <x v="0"/>
    <x v="262"/>
    <s v="OK"/>
    <s v="OK"/>
    <s v="OK"/>
    <s v="MATCH"/>
    <x v="1"/>
    <n v="0"/>
    <x v="19"/>
    <x v="4"/>
    <n v="0"/>
    <n v="0"/>
    <x v="1"/>
  </r>
  <r>
    <s v="PROP00302"/>
    <s v="Canada, Montreal, Sophia Hollow 204"/>
    <x v="7"/>
    <s v="Montreal"/>
    <s v="Montreal"/>
    <s v="Sophia Hollow 204"/>
    <s v="65070"/>
    <s v="+51-140880382"/>
    <x v="0"/>
    <x v="263"/>
    <s v="OK"/>
    <s v="OK"/>
    <s v="OK"/>
    <s v="MATCH"/>
    <x v="1"/>
    <n v="0"/>
    <x v="15"/>
    <x v="1"/>
    <n v="0"/>
    <n v="0"/>
    <x v="1"/>
  </r>
  <r>
    <s v="PROP00303"/>
    <s v="GermanyBerlinColton Plain44"/>
    <x v="4"/>
    <s v="Berlin"/>
    <s v="Berlin"/>
    <s v="GermanyBerlinColton Plain44"/>
    <s v="18282"/>
    <s v="+52-392879985"/>
    <x v="0"/>
    <x v="264"/>
    <s v="OK"/>
    <s v="OK"/>
    <s v="OK"/>
    <s v="MATCH"/>
    <x v="1"/>
    <n v="0"/>
    <x v="5"/>
    <x v="1"/>
    <n v="0"/>
    <n v="0"/>
    <x v="1"/>
  </r>
  <r>
    <s v="PROP00304"/>
    <s v="Chavez Skyway 138, Brazil, Salvador"/>
    <x v="6"/>
    <s v="Salvador"/>
    <s v="Salvador"/>
    <s v="Chavez Skyway 138"/>
    <s v="97905"/>
    <s v="+81-778539798"/>
    <x v="0"/>
    <x v="265"/>
    <s v="OK"/>
    <s v="OK"/>
    <s v="OK"/>
    <s v="MATCH"/>
    <x v="1"/>
    <n v="0"/>
    <x v="24"/>
    <x v="1"/>
    <n v="0"/>
    <n v="0"/>
    <x v="1"/>
  </r>
  <r>
    <s v="PROP00305"/>
    <s v="Brazil, Fortaleza"/>
    <x v="6"/>
    <s v="Fortaleza"/>
    <s v="Fortaleza"/>
    <s v="Fortaleza"/>
    <s v="20754"/>
    <s v="+40-285554409"/>
    <x v="1"/>
    <x v="266"/>
    <s v="OK"/>
    <s v="OK"/>
    <s v="OK"/>
    <s v="MATCH"/>
    <x v="1"/>
    <n v="0"/>
    <x v="15"/>
    <x v="4"/>
    <n v="0"/>
    <n v="0"/>
    <x v="1"/>
  </r>
  <r>
    <s v="PROP00306"/>
    <s v="Paris, Pena Village 84, France"/>
    <x v="0"/>
    <s v="Paris"/>
    <s v="Paris"/>
    <s v="Pena Village 84"/>
    <s v="64640"/>
    <s v="+18-150879126"/>
    <x v="1"/>
    <x v="267"/>
    <s v="OK"/>
    <s v="OK"/>
    <s v="OK"/>
    <s v="MATCH"/>
    <x v="1"/>
    <n v="0"/>
    <x v="10"/>
    <x v="0"/>
    <n v="0"/>
    <n v="0"/>
    <x v="1"/>
  </r>
  <r>
    <s v="PROP00307"/>
    <s v="NaplesCrosby Harbors180, Italy"/>
    <x v="8"/>
    <s v="Naples"/>
    <s v="Naples"/>
    <s v="NaplesCrosby Harbors180"/>
    <s v="4789"/>
    <s v="+50-476359228"/>
    <x v="0"/>
    <x v="1"/>
    <s v="OK"/>
    <s v="OK"/>
    <s v="OK"/>
    <s v="MATCH"/>
    <x v="1"/>
    <n v="0"/>
    <x v="1"/>
    <x v="3"/>
    <n v="0"/>
    <n v="0"/>
    <x v="1"/>
  </r>
  <r>
    <s v="PROP00308"/>
    <s v="Japan, Sapporo"/>
    <x v="9"/>
    <s v="Sapporo"/>
    <s v="Sapporo"/>
    <s v="Sapporo"/>
    <s v="31448"/>
    <s v="+99-495225028"/>
    <x v="1"/>
    <x v="268"/>
    <s v="OK"/>
    <s v="OK"/>
    <s v="OK"/>
    <s v="MATCH"/>
    <x v="1"/>
    <n v="0"/>
    <x v="5"/>
    <x v="2"/>
    <n v="0"/>
    <n v="0"/>
    <x v="1"/>
  </r>
  <r>
    <s v="PROP00309"/>
    <s v="Garcia Spur146, Kyoto, Japan"/>
    <x v="9"/>
    <s v="Kyoto"/>
    <s v="Kyoto"/>
    <s v="Garcia Spur146"/>
    <s v="48648"/>
    <s v="+64-902246995"/>
    <x v="0"/>
    <x v="269"/>
    <s v="OK"/>
    <s v="OK"/>
    <s v="OK"/>
    <s v="MATCH"/>
    <x v="1"/>
    <n v="0"/>
    <x v="23"/>
    <x v="4"/>
    <n v="0"/>
    <n v="0"/>
    <x v="1"/>
  </r>
  <r>
    <s v="PROP00310"/>
    <s v="MontrealBrown Harbor209, Canada"/>
    <x v="7"/>
    <s v="Montreal"/>
    <s v="Montreal"/>
    <s v="MontrealBrown Harbor209"/>
    <s v="25379"/>
    <s v="+91-846025871"/>
    <x v="0"/>
    <x v="270"/>
    <s v="OK"/>
    <s v="OK"/>
    <s v="OK"/>
    <s v="MATCH"/>
    <x v="1"/>
    <n v="0"/>
    <x v="33"/>
    <x v="4"/>
    <n v="0"/>
    <n v="0"/>
    <x v="1"/>
  </r>
  <r>
    <s v="PROP00311"/>
    <s v="UKLondonStacy View2"/>
    <x v="1"/>
    <s v="London"/>
    <s v="London"/>
    <s v="UKLondonStacy View2"/>
    <s v="60101"/>
    <s v="+64-488462965"/>
    <x v="1"/>
    <x v="271"/>
    <s v="OK"/>
    <s v="OK"/>
    <s v="OK"/>
    <s v="MATCH"/>
    <x v="1"/>
    <n v="0"/>
    <x v="4"/>
    <x v="1"/>
    <n v="0"/>
    <n v="0"/>
    <x v="1"/>
  </r>
  <r>
    <s v="PROP00312"/>
    <s v="Salvador, Elizabeth Row 194, Brazil"/>
    <x v="6"/>
    <s v="Salvador"/>
    <s v="Salvador"/>
    <s v="Elizabeth Row 194"/>
    <s v="84320"/>
    <s v="+94-237322065"/>
    <x v="0"/>
    <x v="272"/>
    <s v="OK"/>
    <s v="OK"/>
    <s v="OK"/>
    <s v="MATCH"/>
    <x v="1"/>
    <n v="0"/>
    <x v="0"/>
    <x v="0"/>
    <n v="0"/>
    <n v="0"/>
    <x v="1"/>
  </r>
  <r>
    <s v="PROP00313"/>
    <s v="FranceParis"/>
    <x v="0"/>
    <s v="Paris"/>
    <s v="Paris"/>
    <s v=""/>
    <s v="32426"/>
    <s v="+12-586674372"/>
    <x v="1"/>
    <x v="273"/>
    <s v="MISSING"/>
    <s v="OK"/>
    <s v="OK"/>
    <s v="MATCH"/>
    <x v="0"/>
    <n v="1"/>
    <x v="5"/>
    <x v="2"/>
    <n v="1"/>
    <n v="1"/>
    <x v="0"/>
  </r>
  <r>
    <s v="PROP00314"/>
    <s v="Australia, Brisbane"/>
    <x v="2"/>
    <s v="Brisbane"/>
    <s v="Brisbane"/>
    <s v="Brisbane"/>
    <s v="9493"/>
    <s v="+86-729075789"/>
    <x v="0"/>
    <x v="274"/>
    <s v="OK"/>
    <s v="OK"/>
    <s v="OK"/>
    <s v="MATCH"/>
    <x v="1"/>
    <n v="0"/>
    <x v="31"/>
    <x v="1"/>
    <n v="0"/>
    <n v="0"/>
    <x v="1"/>
  </r>
  <r>
    <s v="PROP00315"/>
    <s v="JapanSapporo, Japan"/>
    <x v="9"/>
    <s v="Sapporo"/>
    <s v="Sapporo"/>
    <s v="Japan"/>
    <s v="31040"/>
    <s v="+55-687532531"/>
    <x v="1"/>
    <x v="275"/>
    <s v="OK"/>
    <s v="OK"/>
    <s v="OK"/>
    <s v="MATCH"/>
    <x v="1"/>
    <n v="0"/>
    <x v="35"/>
    <x v="4"/>
    <n v="0"/>
    <n v="0"/>
    <x v="1"/>
  </r>
  <r>
    <s v="PROP00316"/>
    <s v="USA, Los Angeles"/>
    <x v="3"/>
    <s v="Los Angeles"/>
    <s v="Los Angeles"/>
    <s v="Los Angeles"/>
    <s v="78617"/>
    <s v="+95-555391646"/>
    <x v="0"/>
    <x v="19"/>
    <s v="OK"/>
    <s v="OK"/>
    <s v="OK"/>
    <s v="MATCH"/>
    <x v="1"/>
    <n v="0"/>
    <x v="13"/>
    <x v="3"/>
    <n v="0"/>
    <n v="0"/>
    <x v="1"/>
  </r>
  <r>
    <s v="PROP00317"/>
    <s v="UK, Leeds"/>
    <x v="1"/>
    <s v="Leeds"/>
    <s v="Leeds"/>
    <s v="Leeds"/>
    <s v="17539"/>
    <s v="+41-492066828"/>
    <x v="1"/>
    <x v="100"/>
    <s v="OK"/>
    <s v="OK"/>
    <s v="OK"/>
    <s v="MATCH"/>
    <x v="1"/>
    <n v="0"/>
    <x v="27"/>
    <x v="0"/>
    <n v="0"/>
    <n v="0"/>
    <x v="1"/>
  </r>
  <r>
    <s v="PROP00318"/>
    <s v="FranceToulouseLindsey Creek215"/>
    <x v="0"/>
    <s v="Toulouse"/>
    <s v="Toulouse"/>
    <s v="FranceToulouseLindsey Creek215"/>
    <s v="87147"/>
    <s v="+99-754162255"/>
    <x v="0"/>
    <x v="276"/>
    <s v="OK"/>
    <s v="OK"/>
    <s v="OK"/>
    <s v="MATCH"/>
    <x v="1"/>
    <n v="0"/>
    <x v="11"/>
    <x v="1"/>
    <n v="0"/>
    <n v="0"/>
    <x v="1"/>
  </r>
  <r>
    <s v="PROP00319"/>
    <s v="CanadaCalgary"/>
    <x v="7"/>
    <s v="Calgary"/>
    <s v="Calgary"/>
    <s v=""/>
    <s v="31687"/>
    <s v="+53-950873380"/>
    <x v="1"/>
    <x v="277"/>
    <s v="MISSING"/>
    <s v="OK"/>
    <s v="OK"/>
    <s v="MATCH"/>
    <x v="0"/>
    <n v="1"/>
    <x v="15"/>
    <x v="3"/>
    <n v="1"/>
    <n v="1"/>
    <x v="0"/>
  </r>
  <r>
    <s v="PROP00320"/>
    <s v="Smith Greens 255, USA, New York"/>
    <x v="3"/>
    <s v="New York"/>
    <s v="New York"/>
    <s v="Smith Greens 255"/>
    <s v="7369"/>
    <s v="+33-649924565"/>
    <x v="1"/>
    <x v="278"/>
    <s v="OK"/>
    <s v="OK"/>
    <s v="OK"/>
    <s v="MATCH"/>
    <x v="1"/>
    <n v="0"/>
    <x v="5"/>
    <x v="4"/>
    <n v="0"/>
    <n v="0"/>
    <x v="1"/>
  </r>
  <r>
    <s v="PROP00321"/>
    <s v="AustraliaPerth, Australia"/>
    <x v="2"/>
    <s v="Perth"/>
    <s v="Perth"/>
    <s v="Australia"/>
    <s v="15397"/>
    <s v="+73-839214656"/>
    <x v="1"/>
    <x v="279"/>
    <s v="OK"/>
    <s v="OK"/>
    <s v="OK"/>
    <s v="MATCH"/>
    <x v="1"/>
    <n v="0"/>
    <x v="33"/>
    <x v="0"/>
    <n v="0"/>
    <n v="0"/>
    <x v="1"/>
  </r>
  <r>
    <s v="PROP00322"/>
    <s v="Thomas Tunnel 275, Bilbao"/>
    <x v="5"/>
    <s v="Bilbao"/>
    <s v="Bilbao"/>
    <s v="Thomas Tunnel 275"/>
    <s v="47954"/>
    <s v="+13-324829465"/>
    <x v="1"/>
    <x v="280"/>
    <s v="OK"/>
    <s v="OK"/>
    <s v="OK"/>
    <s v="MATCH"/>
    <x v="1"/>
    <n v="0"/>
    <x v="29"/>
    <x v="2"/>
    <n v="0"/>
    <n v="0"/>
    <x v="1"/>
  </r>
  <r>
    <s v="PROP00323"/>
    <s v="Shannon Forges 5, Paris"/>
    <x v="0"/>
    <s v="Paris"/>
    <s v="Paris"/>
    <s v="Shannon Forges 5"/>
    <s v="81124"/>
    <s v="+85-842499052"/>
    <x v="0"/>
    <x v="281"/>
    <s v="OK"/>
    <s v="OK"/>
    <s v="OK"/>
    <s v="MATCH"/>
    <x v="1"/>
    <n v="0"/>
    <x v="25"/>
    <x v="2"/>
    <n v="0"/>
    <n v="0"/>
    <x v="1"/>
  </r>
  <r>
    <s v="PROP00324"/>
    <s v="HamburgJessica Way23, Germany"/>
    <x v="4"/>
    <s v="Hamburg"/>
    <s v="Hamburg"/>
    <s v="HamburgJessica Way23"/>
    <s v="86864"/>
    <s v="+91-692810156"/>
    <x v="1"/>
    <x v="282"/>
    <s v="OK"/>
    <s v="OK"/>
    <s v="OK"/>
    <s v="MATCH"/>
    <x v="1"/>
    <n v="0"/>
    <x v="4"/>
    <x v="1"/>
    <n v="0"/>
    <n v="0"/>
    <x v="1"/>
  </r>
  <r>
    <s v="PROP00325"/>
    <s v="CanadaCalgaryEllis Burgs119"/>
    <x v="7"/>
    <s v="Calgary"/>
    <s v="Calgary"/>
    <s v="CanadaCalgaryEllis Burgs119"/>
    <s v="8473"/>
    <s v="+36-642163636"/>
    <x v="0"/>
    <x v="125"/>
    <s v="OK"/>
    <s v="OK"/>
    <s v="OK"/>
    <s v="MATCH"/>
    <x v="1"/>
    <n v="0"/>
    <x v="14"/>
    <x v="2"/>
    <n v="0"/>
    <n v="0"/>
    <x v="1"/>
  </r>
  <r>
    <s v="PROP00326"/>
    <s v="AustraliaAdelaide, Australia"/>
    <x v="2"/>
    <s v="Adelaide"/>
    <s v="Adelaide"/>
    <s v="Australia"/>
    <s v="90429"/>
    <s v="+53-672859526"/>
    <x v="0"/>
    <x v="283"/>
    <s v="OK"/>
    <s v="OK"/>
    <s v="OK"/>
    <s v="MATCH"/>
    <x v="1"/>
    <n v="0"/>
    <x v="22"/>
    <x v="4"/>
    <n v="0"/>
    <n v="0"/>
    <x v="1"/>
  </r>
  <r>
    <s v="PROP00327"/>
    <s v="Brisbane, Tracy Mills 245, Australia"/>
    <x v="2"/>
    <s v="Brisbane"/>
    <s v="Brisbane"/>
    <s v="Tracy Mills 245"/>
    <s v="10133"/>
    <s v="+48-588321579"/>
    <x v="1"/>
    <x v="284"/>
    <s v="OK"/>
    <s v="OK"/>
    <s v="OK"/>
    <s v="MATCH"/>
    <x v="1"/>
    <n v="0"/>
    <x v="20"/>
    <x v="2"/>
    <n v="0"/>
    <n v="0"/>
    <x v="1"/>
  </r>
  <r>
    <s v="PROP00328"/>
    <s v="UK, London, Marc Drive 256"/>
    <x v="1"/>
    <s v="London"/>
    <s v="London"/>
    <s v="Marc Drive 256"/>
    <s v="9110"/>
    <s v="+40-874645092"/>
    <x v="1"/>
    <x v="285"/>
    <s v="OK"/>
    <s v="OK"/>
    <s v="OK"/>
    <s v="MATCH"/>
    <x v="1"/>
    <n v="0"/>
    <x v="25"/>
    <x v="0"/>
    <n v="0"/>
    <n v="0"/>
    <x v="1"/>
  </r>
  <r>
    <s v="PROP00329"/>
    <s v="Canada, Calgary"/>
    <x v="7"/>
    <s v="Calgary"/>
    <s v="Calgary"/>
    <s v="Calgary"/>
    <s v="77225"/>
    <s v="+65-954424282"/>
    <x v="1"/>
    <x v="286"/>
    <s v="OK"/>
    <s v="OK"/>
    <s v="OK"/>
    <s v="MATCH"/>
    <x v="1"/>
    <n v="0"/>
    <x v="14"/>
    <x v="2"/>
    <n v="0"/>
    <n v="0"/>
    <x v="1"/>
  </r>
  <r>
    <s v="PROP00330"/>
    <s v="AustraliaMelbourneJames Ranch170"/>
    <x v="2"/>
    <s v="Melbourne"/>
    <s v="Melbourne"/>
    <s v="AustraliaMelbourneJames Ranch170"/>
    <s v="70042"/>
    <s v="+19-425560833"/>
    <x v="0"/>
    <x v="287"/>
    <s v="OK"/>
    <s v="OK"/>
    <s v="OK"/>
    <s v="MATCH"/>
    <x v="1"/>
    <n v="0"/>
    <x v="7"/>
    <x v="3"/>
    <n v="0"/>
    <n v="0"/>
    <x v="1"/>
  </r>
  <r>
    <s v="PROP00331"/>
    <s v="USAHouston"/>
    <x v="3"/>
    <s v="Houston"/>
    <s v="Houston"/>
    <s v=""/>
    <s v="56888"/>
    <s v="+9-506116383"/>
    <x v="0"/>
    <x v="288"/>
    <s v="MISSING"/>
    <s v="OK"/>
    <s v="OK"/>
    <s v="MATCH"/>
    <x v="0"/>
    <n v="1"/>
    <x v="25"/>
    <x v="1"/>
    <n v="1"/>
    <n v="1"/>
    <x v="0"/>
  </r>
  <r>
    <s v="PROP00332"/>
    <s v="Australia, Brisbane"/>
    <x v="2"/>
    <s v="Brisbane"/>
    <s v="Brisbane"/>
    <s v="Brisbane"/>
    <s v="86315"/>
    <s v="+74-680505115"/>
    <x v="1"/>
    <x v="203"/>
    <s v="OK"/>
    <s v="OK"/>
    <s v="OK"/>
    <s v="MATCH"/>
    <x v="1"/>
    <n v="0"/>
    <x v="25"/>
    <x v="4"/>
    <n v="0"/>
    <n v="0"/>
    <x v="1"/>
  </r>
  <r>
    <s v="PROP00333"/>
    <s v="France, Paris, Russell Forks 185"/>
    <x v="0"/>
    <s v="Paris"/>
    <s v="Paris"/>
    <s v="Russell Forks 185"/>
    <s v="54740"/>
    <s v="+38-561996820"/>
    <x v="1"/>
    <x v="289"/>
    <s v="OK"/>
    <s v="OK"/>
    <s v="OK"/>
    <s v="MATCH"/>
    <x v="1"/>
    <n v="0"/>
    <x v="32"/>
    <x v="0"/>
    <n v="0"/>
    <n v="0"/>
    <x v="1"/>
  </r>
  <r>
    <s v="PROP00334"/>
    <s v="Los Angeles, Wilcox Locks 70, USA"/>
    <x v="3"/>
    <s v="Los Angeles"/>
    <s v="Los Angeles"/>
    <s v="Wilcox Locks 70"/>
    <s v="55025"/>
    <s v="+18-715557014"/>
    <x v="1"/>
    <x v="290"/>
    <s v="OK"/>
    <s v="OK"/>
    <s v="OK"/>
    <s v="MATCH"/>
    <x v="1"/>
    <n v="0"/>
    <x v="32"/>
    <x v="4"/>
    <n v="0"/>
    <n v="0"/>
    <x v="1"/>
  </r>
  <r>
    <s v="PROP00335"/>
    <s v="Germany, Frankfurt, Larry Island 100"/>
    <x v="4"/>
    <s v="Frankfurt"/>
    <s v="Frankfurt"/>
    <s v="Larry Island 100"/>
    <s v="87678"/>
    <s v="+36-499389023"/>
    <x v="1"/>
    <x v="291"/>
    <s v="OK"/>
    <s v="OK"/>
    <s v="OK"/>
    <s v="MATCH"/>
    <x v="1"/>
    <n v="0"/>
    <x v="15"/>
    <x v="0"/>
    <n v="0"/>
    <n v="0"/>
    <x v="1"/>
  </r>
  <r>
    <s v="PROP00336"/>
    <s v="Brooks Drives 68, Japan, Osaka"/>
    <x v="9"/>
    <s v="Osaka"/>
    <s v="Osaka"/>
    <s v="Brooks Drives 68"/>
    <s v="90524"/>
    <s v="+36-687023082"/>
    <x v="0"/>
    <x v="292"/>
    <s v="OK"/>
    <s v="OK"/>
    <s v="OK"/>
    <s v="MATCH"/>
    <x v="1"/>
    <n v="0"/>
    <x v="14"/>
    <x v="0"/>
    <n v="0"/>
    <n v="0"/>
    <x v="1"/>
  </r>
  <r>
    <s v="PROP00337"/>
    <s v="UK, Leeds"/>
    <x v="1"/>
    <s v="Leeds"/>
    <s v="Leeds"/>
    <s v="Leeds"/>
    <s v="11689"/>
    <s v="+24-294930259"/>
    <x v="0"/>
    <x v="293"/>
    <s v="OK"/>
    <s v="OK"/>
    <s v="OK"/>
    <s v="MATCH"/>
    <x v="1"/>
    <n v="0"/>
    <x v="1"/>
    <x v="3"/>
    <n v="0"/>
    <n v="0"/>
    <x v="1"/>
  </r>
  <r>
    <s v="PROP00338"/>
    <s v="BordeauxRyan Summit13, France"/>
    <x v="0"/>
    <s v="Bordeaux"/>
    <s v="Bordeaux"/>
    <s v="BordeauxRyan Summit13"/>
    <s v="97336"/>
    <s v="+99-946409846"/>
    <x v="1"/>
    <x v="294"/>
    <s v="OK"/>
    <s v="OK"/>
    <s v="OK"/>
    <s v="MATCH"/>
    <x v="1"/>
    <n v="0"/>
    <x v="4"/>
    <x v="2"/>
    <n v="0"/>
    <n v="0"/>
    <x v="1"/>
  </r>
  <r>
    <s v="PROP00339"/>
    <s v="Cain Point 186, USA, Phoenix"/>
    <x v="3"/>
    <s v="Phoenix"/>
    <s v="Phoenix"/>
    <s v="Cain Point 186"/>
    <s v="8362"/>
    <s v="+36-940622025"/>
    <x v="0"/>
    <x v="89"/>
    <s v="OK"/>
    <s v="OK"/>
    <s v="OK"/>
    <s v="MATCH"/>
    <x v="1"/>
    <n v="0"/>
    <x v="19"/>
    <x v="4"/>
    <n v="0"/>
    <n v="0"/>
    <x v="1"/>
  </r>
  <r>
    <s v="PROP00340"/>
    <s v="FranceBordeauxSantiago Loop66"/>
    <x v="0"/>
    <s v="Bordeaux"/>
    <s v="Bordeaux"/>
    <s v="FranceBordeauxSantiago Loop66"/>
    <s v="46847"/>
    <s v="+39-791814890"/>
    <x v="1"/>
    <x v="295"/>
    <s v="OK"/>
    <s v="OK"/>
    <s v="OK"/>
    <s v="MATCH"/>
    <x v="1"/>
    <n v="0"/>
    <x v="31"/>
    <x v="2"/>
    <n v="0"/>
    <n v="0"/>
    <x v="1"/>
  </r>
  <r>
    <s v="PROP00341"/>
    <s v="GermanyMunichParrish Stravenue265"/>
    <x v="4"/>
    <s v="Munich"/>
    <s v="Munich"/>
    <s v="GermanyMunichParrish Stravenue265"/>
    <s v="7244"/>
    <s v="+35-188431370"/>
    <x v="0"/>
    <x v="296"/>
    <s v="OK"/>
    <s v="OK"/>
    <s v="OK"/>
    <s v="MATCH"/>
    <x v="1"/>
    <n v="0"/>
    <x v="3"/>
    <x v="0"/>
    <n v="0"/>
    <n v="0"/>
    <x v="1"/>
  </r>
  <r>
    <s v="PROP00342"/>
    <s v="ItalyMilan"/>
    <x v="8"/>
    <s v="Milan"/>
    <s v="Milan"/>
    <s v=""/>
    <s v="14080"/>
    <s v="+93-413223741"/>
    <x v="1"/>
    <x v="297"/>
    <s v="MISSING"/>
    <s v="OK"/>
    <s v="OK"/>
    <s v="MATCH"/>
    <x v="0"/>
    <n v="1"/>
    <x v="6"/>
    <x v="2"/>
    <n v="1"/>
    <n v="1"/>
    <x v="0"/>
  </r>
  <r>
    <s v="PROP00343"/>
    <s v="ToulouseEric Orchard239, France"/>
    <x v="0"/>
    <s v="Toulouse"/>
    <s v="Toulouse"/>
    <s v="ToulouseEric Orchard239"/>
    <s v="29893"/>
    <s v="+17-841983540"/>
    <x v="1"/>
    <x v="298"/>
    <s v="OK"/>
    <s v="OK"/>
    <s v="OK"/>
    <s v="MATCH"/>
    <x v="1"/>
    <n v="0"/>
    <x v="21"/>
    <x v="1"/>
    <n v="0"/>
    <n v="0"/>
    <x v="1"/>
  </r>
  <r>
    <s v="PROP00344"/>
    <s v="Michael Point 90, Japan, Tokyo"/>
    <x v="9"/>
    <s v="Tokyo"/>
    <s v="Tokyo"/>
    <s v="Michael Point 90"/>
    <s v="48677"/>
    <s v="+56-533009180"/>
    <x v="1"/>
    <x v="299"/>
    <s v="OK"/>
    <s v="OK"/>
    <s v="OK"/>
    <s v="MATCH"/>
    <x v="1"/>
    <n v="0"/>
    <x v="20"/>
    <x v="3"/>
    <n v="0"/>
    <n v="0"/>
    <x v="1"/>
  </r>
  <r>
    <s v="PROP00345"/>
    <s v="GermanyBerlinKathryn Ports35"/>
    <x v="4"/>
    <s v="Berlin"/>
    <s v="Berlin"/>
    <s v="GermanyBerlinKathryn Ports35"/>
    <s v="30144"/>
    <s v="+89-331541889"/>
    <x v="0"/>
    <x v="300"/>
    <s v="OK"/>
    <s v="OK"/>
    <s v="OK"/>
    <s v="MATCH"/>
    <x v="1"/>
    <n v="0"/>
    <x v="9"/>
    <x v="0"/>
    <n v="0"/>
    <n v="0"/>
    <x v="1"/>
  </r>
  <r>
    <s v="PROP00346"/>
    <s v="Bruce Trafficway 94, Manchester"/>
    <x v="1"/>
    <s v="Manchester"/>
    <s v="Manchester"/>
    <s v="Bruce Trafficway 94"/>
    <s v="81991"/>
    <s v="+56-586911127"/>
    <x v="1"/>
    <x v="301"/>
    <s v="OK"/>
    <s v="OK"/>
    <s v="OK"/>
    <s v="MATCH"/>
    <x v="1"/>
    <n v="0"/>
    <x v="24"/>
    <x v="4"/>
    <n v="0"/>
    <n v="0"/>
    <x v="1"/>
  </r>
  <r>
    <s v="PROP00347"/>
    <s v="BrazilSalvadorChelsea Shoals133"/>
    <x v="6"/>
    <s v="Salvador"/>
    <s v="Salvador"/>
    <s v="BrazilSalvadorChelsea Shoals133"/>
    <s v="91395"/>
    <s v="+84-358153343"/>
    <x v="1"/>
    <x v="302"/>
    <s v="OK"/>
    <s v="OK"/>
    <s v="OK"/>
    <s v="MATCH"/>
    <x v="1"/>
    <n v="0"/>
    <x v="28"/>
    <x v="2"/>
    <n v="0"/>
    <n v="0"/>
    <x v="1"/>
  </r>
  <r>
    <s v="PROP00348"/>
    <s v="GermanyBerlin, Germany"/>
    <x v="4"/>
    <s v="Berlin"/>
    <s v="Berlin"/>
    <s v="Germany"/>
    <s v="92605"/>
    <s v="+85-673844231"/>
    <x v="1"/>
    <x v="303"/>
    <s v="OK"/>
    <s v="OK"/>
    <s v="OK"/>
    <s v="MATCH"/>
    <x v="1"/>
    <n v="0"/>
    <x v="31"/>
    <x v="2"/>
    <n v="0"/>
    <n v="0"/>
    <x v="1"/>
  </r>
  <r>
    <s v="PROP00349"/>
    <s v="GermanyFrankfurt"/>
    <x v="4"/>
    <s v="Frankfurt"/>
    <s v="Frankfurt"/>
    <s v=""/>
    <s v="1301"/>
    <s v="+53-539474257"/>
    <x v="1"/>
    <x v="304"/>
    <s v="MISSING"/>
    <s v="OK"/>
    <s v="OK"/>
    <s v="MATCH"/>
    <x v="0"/>
    <n v="1"/>
    <x v="8"/>
    <x v="2"/>
    <n v="1"/>
    <n v="1"/>
    <x v="0"/>
  </r>
  <r>
    <s v="PROP00350"/>
    <s v="UKManchester"/>
    <x v="1"/>
    <s v="Manchester"/>
    <s v="Manchester"/>
    <s v=""/>
    <s v="86660"/>
    <s v="+1-167381279"/>
    <x v="1"/>
    <x v="305"/>
    <s v="MISSING"/>
    <s v="OK"/>
    <s v="OK"/>
    <s v="MATCH"/>
    <x v="0"/>
    <n v="1"/>
    <x v="8"/>
    <x v="3"/>
    <n v="1"/>
    <n v="1"/>
    <x v="0"/>
  </r>
  <r>
    <s v="PROP00351"/>
    <s v="Los Angeles, Jones Streets 121, USA"/>
    <x v="3"/>
    <s v="Los Angeles"/>
    <s v="Los Angeles"/>
    <s v="Jones Streets 121"/>
    <s v="83492"/>
    <s v="+79-517550358"/>
    <x v="0"/>
    <x v="306"/>
    <s v="OK"/>
    <s v="OK"/>
    <s v="OK"/>
    <s v="MATCH"/>
    <x v="1"/>
    <n v="0"/>
    <x v="2"/>
    <x v="4"/>
    <n v="0"/>
    <n v="0"/>
    <x v="1"/>
  </r>
  <r>
    <s v="PROP00352"/>
    <s v="BrazilRio de Janeiro"/>
    <x v="6"/>
    <s v="Rio de Janeiro"/>
    <s v="Rio de Janeiro"/>
    <s v=""/>
    <s v="28698"/>
    <s v="+13-374861883"/>
    <x v="1"/>
    <x v="307"/>
    <s v="MISSING"/>
    <s v="OK"/>
    <s v="OK"/>
    <s v="MATCH"/>
    <x v="0"/>
    <n v="1"/>
    <x v="30"/>
    <x v="0"/>
    <n v="1"/>
    <n v="1"/>
    <x v="0"/>
  </r>
  <r>
    <s v="PROP00353"/>
    <s v="UK, London"/>
    <x v="1"/>
    <s v="London"/>
    <s v="London"/>
    <s v="London"/>
    <s v="21132"/>
    <s v="+53-802440237"/>
    <x v="1"/>
    <x v="308"/>
    <s v="OK"/>
    <s v="OK"/>
    <s v="OK"/>
    <s v="MATCH"/>
    <x v="1"/>
    <n v="0"/>
    <x v="30"/>
    <x v="4"/>
    <n v="0"/>
    <n v="0"/>
    <x v="1"/>
  </r>
  <r>
    <s v="PROP00354"/>
    <s v="Germany, Hamburg"/>
    <x v="4"/>
    <s v="Hamburg"/>
    <s v="Hamburg"/>
    <s v="Hamburg"/>
    <s v="74896"/>
    <s v="+32-360341836"/>
    <x v="0"/>
    <x v="75"/>
    <s v="OK"/>
    <s v="OK"/>
    <s v="OK"/>
    <s v="MATCH"/>
    <x v="1"/>
    <n v="0"/>
    <x v="20"/>
    <x v="1"/>
    <n v="0"/>
    <n v="0"/>
    <x v="1"/>
  </r>
  <r>
    <s v="PROP00355"/>
    <s v="FranceToulouse"/>
    <x v="0"/>
    <s v="Toulouse"/>
    <s v="Toulouse"/>
    <s v=""/>
    <s v="21133"/>
    <s v="+50-839475904"/>
    <x v="0"/>
    <x v="221"/>
    <s v="MISSING"/>
    <s v="OK"/>
    <s v="OK"/>
    <s v="MATCH"/>
    <x v="0"/>
    <n v="1"/>
    <x v="20"/>
    <x v="0"/>
    <n v="1"/>
    <n v="1"/>
    <x v="0"/>
  </r>
  <r>
    <s v="PROP00356"/>
    <s v="USAHouston, USA"/>
    <x v="3"/>
    <s v="Houston"/>
    <s v="Houston"/>
    <s v="USA"/>
    <s v="58580"/>
    <s v="+60-504486149"/>
    <x v="1"/>
    <x v="48"/>
    <s v="OK"/>
    <s v="OK"/>
    <s v="OK"/>
    <s v="MATCH"/>
    <x v="1"/>
    <n v="0"/>
    <x v="27"/>
    <x v="4"/>
    <n v="0"/>
    <n v="0"/>
    <x v="1"/>
  </r>
  <r>
    <s v="PROP00357"/>
    <s v="Australia, Perth"/>
    <x v="2"/>
    <s v="Perth"/>
    <s v="Perth"/>
    <s v="Perth"/>
    <s v="54788"/>
    <s v="+36-723306187"/>
    <x v="1"/>
    <x v="309"/>
    <s v="OK"/>
    <s v="OK"/>
    <s v="OK"/>
    <s v="MATCH"/>
    <x v="1"/>
    <n v="0"/>
    <x v="23"/>
    <x v="3"/>
    <n v="0"/>
    <n v="0"/>
    <x v="1"/>
  </r>
  <r>
    <s v="PROP00358"/>
    <s v="Lewis Passage 280, Houston"/>
    <x v="3"/>
    <s v="Houston"/>
    <s v="Houston"/>
    <s v="Lewis Passage 280"/>
    <s v="15419"/>
    <s v="+56-432358396"/>
    <x v="1"/>
    <x v="201"/>
    <s v="OK"/>
    <s v="OK"/>
    <s v="OK"/>
    <s v="MATCH"/>
    <x v="1"/>
    <n v="0"/>
    <x v="19"/>
    <x v="1"/>
    <n v="0"/>
    <n v="0"/>
    <x v="1"/>
  </r>
  <r>
    <s v="PROP00359"/>
    <s v="FranceLyonJordan Haven126"/>
    <x v="0"/>
    <s v="Lyon"/>
    <s v="Lyon"/>
    <s v="FranceLyonJordan Haven126"/>
    <s v="89396"/>
    <s v="+48-456026814"/>
    <x v="0"/>
    <x v="242"/>
    <s v="OK"/>
    <s v="OK"/>
    <s v="OK"/>
    <s v="MATCH"/>
    <x v="1"/>
    <n v="0"/>
    <x v="3"/>
    <x v="2"/>
    <n v="0"/>
    <n v="0"/>
    <x v="1"/>
  </r>
  <r>
    <s v="PROP00360"/>
    <s v="Rose Inlet 229, Brazil, São Paulo"/>
    <x v="6"/>
    <s v="São Paulo"/>
    <s v="São Paulo"/>
    <s v="Rose Inlet 229"/>
    <s v="6453"/>
    <s v="+49-226515580"/>
    <x v="1"/>
    <x v="310"/>
    <s v="OK"/>
    <s v="OK"/>
    <s v="OK"/>
    <s v="MATCH"/>
    <x v="1"/>
    <n v="0"/>
    <x v="16"/>
    <x v="4"/>
    <n v="0"/>
    <n v="0"/>
    <x v="1"/>
  </r>
  <r>
    <s v="PROP00361"/>
    <s v="Japan, Osaka"/>
    <x v="9"/>
    <s v="Osaka"/>
    <s v="Osaka"/>
    <s v="Osaka"/>
    <s v="7681"/>
    <s v="+97-811455790"/>
    <x v="1"/>
    <x v="311"/>
    <s v="OK"/>
    <s v="OK"/>
    <s v="OK"/>
    <s v="MATCH"/>
    <x v="1"/>
    <n v="0"/>
    <x v="24"/>
    <x v="1"/>
    <n v="0"/>
    <n v="0"/>
    <x v="1"/>
  </r>
  <r>
    <s v="PROP00362"/>
    <s v="Germany, Munich"/>
    <x v="4"/>
    <s v="Munich"/>
    <s v="Munich"/>
    <s v="Munich"/>
    <s v="18488"/>
    <s v="+86-705432664"/>
    <x v="0"/>
    <x v="312"/>
    <s v="OK"/>
    <s v="OK"/>
    <s v="OK"/>
    <s v="MATCH"/>
    <x v="1"/>
    <n v="0"/>
    <x v="17"/>
    <x v="1"/>
    <n v="0"/>
    <n v="0"/>
    <x v="1"/>
  </r>
  <r>
    <s v="PROP00363"/>
    <s v="BrasíliaRoberts Crest18, Brazil"/>
    <x v="6"/>
    <s v="Brasília"/>
    <s v="Brasília"/>
    <s v="BrasíliaRoberts Crest18"/>
    <s v="1514"/>
    <s v="+35-888099772"/>
    <x v="0"/>
    <x v="110"/>
    <s v="OK"/>
    <s v="OK"/>
    <s v="OK"/>
    <s v="MATCH"/>
    <x v="1"/>
    <n v="0"/>
    <x v="8"/>
    <x v="0"/>
    <n v="0"/>
    <n v="0"/>
    <x v="1"/>
  </r>
  <r>
    <s v="PROP00364"/>
    <s v="Brazil, Brasília, Burgess Extensions 27"/>
    <x v="6"/>
    <s v="Brasília"/>
    <s v="Brasília"/>
    <s v="Burgess Extensions 27"/>
    <s v="17433"/>
    <s v="+46-324127035"/>
    <x v="1"/>
    <x v="313"/>
    <s v="OK"/>
    <s v="OK"/>
    <s v="OK"/>
    <s v="MATCH"/>
    <x v="1"/>
    <n v="0"/>
    <x v="24"/>
    <x v="4"/>
    <n v="0"/>
    <n v="0"/>
    <x v="1"/>
  </r>
  <r>
    <s v="PROP00365"/>
    <s v="Italy, Milan"/>
    <x v="8"/>
    <s v="Milan"/>
    <s v="Milan"/>
    <s v="Milan"/>
    <s v="66071"/>
    <s v="+43-838162581"/>
    <x v="0"/>
    <x v="314"/>
    <s v="OK"/>
    <s v="OK"/>
    <s v="OK"/>
    <s v="MATCH"/>
    <x v="1"/>
    <n v="0"/>
    <x v="3"/>
    <x v="1"/>
    <n v="0"/>
    <n v="0"/>
    <x v="1"/>
  </r>
  <r>
    <s v="PROP00366"/>
    <s v="Jones Wall 178, Italy, Turin"/>
    <x v="8"/>
    <s v="Turin"/>
    <s v="Turin"/>
    <s v="Jones Wall 178"/>
    <s v="97761"/>
    <s v="+92-650896176"/>
    <x v="0"/>
    <x v="315"/>
    <s v="OK"/>
    <s v="OK"/>
    <s v="OK"/>
    <s v="MATCH"/>
    <x v="1"/>
    <n v="0"/>
    <x v="30"/>
    <x v="4"/>
    <n v="0"/>
    <n v="0"/>
    <x v="1"/>
  </r>
  <r>
    <s v="PROP00367"/>
    <s v="Japan, Osaka"/>
    <x v="9"/>
    <s v="Osaka"/>
    <s v="Osaka"/>
    <s v="Osaka"/>
    <s v="10706"/>
    <s v="+45-571129094"/>
    <x v="0"/>
    <x v="316"/>
    <s v="OK"/>
    <s v="OK"/>
    <s v="OK"/>
    <s v="MATCH"/>
    <x v="1"/>
    <n v="0"/>
    <x v="5"/>
    <x v="3"/>
    <n v="0"/>
    <n v="0"/>
    <x v="1"/>
  </r>
  <r>
    <s v="PROP00368"/>
    <s v="Germany, Hamburg, Johnston Ports 70"/>
    <x v="4"/>
    <s v="Hamburg"/>
    <s v="Hamburg"/>
    <s v="Johnston Ports 70"/>
    <s v="53509"/>
    <s v="+75-230199688"/>
    <x v="1"/>
    <x v="317"/>
    <s v="OK"/>
    <s v="OK"/>
    <s v="OK"/>
    <s v="MATCH"/>
    <x v="1"/>
    <n v="0"/>
    <x v="22"/>
    <x v="2"/>
    <n v="0"/>
    <n v="0"/>
    <x v="1"/>
  </r>
  <r>
    <s v="PROP00369"/>
    <s v="Roberts Lodge 244, São Paulo"/>
    <x v="6"/>
    <s v="São Paulo"/>
    <s v="São Paulo"/>
    <s v="Roberts Lodge 244"/>
    <s v="3234"/>
    <s v="+5-488928583"/>
    <x v="0"/>
    <x v="318"/>
    <s v="OK"/>
    <s v="OK"/>
    <s v="OK"/>
    <s v="MATCH"/>
    <x v="1"/>
    <n v="0"/>
    <x v="4"/>
    <x v="0"/>
    <n v="0"/>
    <n v="0"/>
    <x v="1"/>
  </r>
  <r>
    <s v="PROP00370"/>
    <s v="HamburgJackson River146, Germany"/>
    <x v="4"/>
    <s v="Hamburg"/>
    <s v="Hamburg"/>
    <s v="HamburgJackson River146"/>
    <s v="60806"/>
    <s v="+16-711975490"/>
    <x v="1"/>
    <x v="319"/>
    <s v="OK"/>
    <s v="OK"/>
    <s v="OK"/>
    <s v="MATCH"/>
    <x v="1"/>
    <n v="0"/>
    <x v="18"/>
    <x v="2"/>
    <n v="0"/>
    <n v="0"/>
    <x v="1"/>
  </r>
  <r>
    <s v="PROP00371"/>
    <s v="BilbaoDavis Vista1, Spain"/>
    <x v="5"/>
    <s v="Bilbao"/>
    <s v="Bilbao"/>
    <s v="BilbaoDavis Vista1"/>
    <s v="14376"/>
    <s v="+97-568356913"/>
    <x v="1"/>
    <x v="277"/>
    <s v="OK"/>
    <s v="OK"/>
    <s v="OK"/>
    <s v="MATCH"/>
    <x v="1"/>
    <n v="0"/>
    <x v="15"/>
    <x v="3"/>
    <n v="0"/>
    <n v="0"/>
    <x v="1"/>
  </r>
  <r>
    <s v="PROP00372"/>
    <s v="BirminghamRyan Locks70, UK"/>
    <x v="1"/>
    <s v="Birmingham"/>
    <s v="Birmingham"/>
    <s v="BirminghamRyan Locks70"/>
    <s v="69177"/>
    <s v="+55-549419018"/>
    <x v="1"/>
    <x v="108"/>
    <s v="OK"/>
    <s v="OK"/>
    <s v="OK"/>
    <s v="MATCH"/>
    <x v="1"/>
    <n v="0"/>
    <x v="17"/>
    <x v="2"/>
    <n v="0"/>
    <n v="0"/>
    <x v="1"/>
  </r>
  <r>
    <s v="PROP00373"/>
    <s v="Randy Inlet110, Bilbao, Spain"/>
    <x v="5"/>
    <s v="Bilbao"/>
    <s v="Bilbao"/>
    <s v="Randy Inlet110"/>
    <s v="98255"/>
    <s v="+61-865729118"/>
    <x v="0"/>
    <x v="320"/>
    <s v="OK"/>
    <s v="OK"/>
    <s v="OK"/>
    <s v="MATCH"/>
    <x v="1"/>
    <n v="0"/>
    <x v="32"/>
    <x v="3"/>
    <n v="0"/>
    <n v="0"/>
    <x v="1"/>
  </r>
  <r>
    <s v="PROP00374"/>
    <s v="Walker Tunnel 293, Seville"/>
    <x v="5"/>
    <s v="Seville"/>
    <s v="Seville"/>
    <s v="Walker Tunnel 293"/>
    <s v="22538"/>
    <s v="+9-322502842"/>
    <x v="1"/>
    <x v="321"/>
    <s v="OK"/>
    <s v="OK"/>
    <s v="OK"/>
    <s v="MATCH"/>
    <x v="1"/>
    <n v="0"/>
    <x v="23"/>
    <x v="4"/>
    <n v="0"/>
    <n v="0"/>
    <x v="1"/>
  </r>
  <r>
    <s v="PROP00375"/>
    <s v="USA, Los Angeles"/>
    <x v="3"/>
    <s v="Los Angeles"/>
    <s v="Los Angeles"/>
    <s v="Los Angeles"/>
    <s v="70048"/>
    <s v="+95-343670322"/>
    <x v="0"/>
    <x v="322"/>
    <s v="OK"/>
    <s v="OK"/>
    <s v="OK"/>
    <s v="MATCH"/>
    <x v="1"/>
    <n v="0"/>
    <x v="15"/>
    <x v="3"/>
    <n v="0"/>
    <n v="0"/>
    <x v="1"/>
  </r>
  <r>
    <s v="PROP00376"/>
    <s v="France, Marseille, Rebecca Keys 118"/>
    <x v="0"/>
    <s v="Marseille"/>
    <s v="Marseille"/>
    <s v="Rebecca Keys 118"/>
    <s v="46520"/>
    <s v="+20-411040716"/>
    <x v="1"/>
    <x v="323"/>
    <s v="OK"/>
    <s v="OK"/>
    <s v="OK"/>
    <s v="MATCH"/>
    <x v="1"/>
    <n v="0"/>
    <x v="6"/>
    <x v="1"/>
    <n v="0"/>
    <n v="0"/>
    <x v="1"/>
  </r>
  <r>
    <s v="PROP00377"/>
    <s v="USALos Angeles"/>
    <x v="3"/>
    <s v="Los Angeles"/>
    <s v="Los Angeles"/>
    <s v=""/>
    <s v="34051"/>
    <s v="+90-229400704"/>
    <x v="0"/>
    <x v="75"/>
    <s v="MISSING"/>
    <s v="OK"/>
    <s v="OK"/>
    <s v="MATCH"/>
    <x v="0"/>
    <n v="1"/>
    <x v="20"/>
    <x v="2"/>
    <n v="1"/>
    <n v="1"/>
    <x v="0"/>
  </r>
  <r>
    <s v="PROP00378"/>
    <s v="Glenn Drives245, Tokyo, Japan"/>
    <x v="9"/>
    <s v="Tokyo"/>
    <s v="Tokyo"/>
    <s v="Glenn Drives245"/>
    <s v="86419"/>
    <s v="+16-964482250"/>
    <x v="1"/>
    <x v="62"/>
    <s v="OK"/>
    <s v="OK"/>
    <s v="OK"/>
    <s v="MATCH"/>
    <x v="1"/>
    <n v="0"/>
    <x v="17"/>
    <x v="0"/>
    <n v="0"/>
    <n v="0"/>
    <x v="1"/>
  </r>
  <r>
    <s v="PROP00379"/>
    <s v="Japan, Osaka, Gregory Trail 300"/>
    <x v="9"/>
    <s v="Osaka"/>
    <s v="Osaka"/>
    <s v="Gregory Trail 300"/>
    <s v="82807"/>
    <s v="+80-431993365"/>
    <x v="1"/>
    <x v="324"/>
    <s v="OK"/>
    <s v="OK"/>
    <s v="OK"/>
    <s v="MATCH"/>
    <x v="1"/>
    <n v="0"/>
    <x v="16"/>
    <x v="2"/>
    <n v="0"/>
    <n v="0"/>
    <x v="1"/>
  </r>
  <r>
    <s v="PROP00380"/>
    <s v="Germany, Berlin"/>
    <x v="4"/>
    <s v="Berlin"/>
    <s v="Berlin"/>
    <s v="Berlin"/>
    <s v="76453"/>
    <s v="+36-871988861"/>
    <x v="0"/>
    <x v="74"/>
    <s v="OK"/>
    <s v="OK"/>
    <s v="OK"/>
    <s v="MATCH"/>
    <x v="1"/>
    <n v="0"/>
    <x v="29"/>
    <x v="1"/>
    <n v="0"/>
    <n v="0"/>
    <x v="1"/>
  </r>
  <r>
    <s v="PROP00381"/>
    <s v="AustraliaPerthMaldonado Port82"/>
    <x v="2"/>
    <s v="Perth"/>
    <s v="Perth"/>
    <s v="AustraliaPerthMaldonado Port82"/>
    <s v="84779"/>
    <s v="+15-971471773"/>
    <x v="0"/>
    <x v="325"/>
    <s v="OK"/>
    <s v="OK"/>
    <s v="OK"/>
    <s v="MATCH"/>
    <x v="1"/>
    <n v="0"/>
    <x v="14"/>
    <x v="3"/>
    <n v="0"/>
    <n v="0"/>
    <x v="1"/>
  </r>
  <r>
    <s v="PROP00382"/>
    <s v="Lin Road43, Frankfurt, Germany"/>
    <x v="4"/>
    <s v="Frankfurt"/>
    <s v="Frankfurt"/>
    <s v="Lin Road43"/>
    <s v="41937"/>
    <s v="+16-336591334"/>
    <x v="0"/>
    <x v="305"/>
    <s v="OK"/>
    <s v="OK"/>
    <s v="OK"/>
    <s v="MATCH"/>
    <x v="1"/>
    <n v="0"/>
    <x v="8"/>
    <x v="0"/>
    <n v="0"/>
    <n v="0"/>
    <x v="1"/>
  </r>
  <r>
    <s v="PROP00383"/>
    <s v="Scott Mountains 218, Perth"/>
    <x v="2"/>
    <s v="Perth"/>
    <s v="Perth"/>
    <s v="Scott Mountains 218"/>
    <s v="58462"/>
    <s v="+34-143137890"/>
    <x v="0"/>
    <x v="326"/>
    <s v="OK"/>
    <s v="OK"/>
    <s v="OK"/>
    <s v="MATCH"/>
    <x v="1"/>
    <n v="0"/>
    <x v="13"/>
    <x v="1"/>
    <n v="0"/>
    <n v="0"/>
    <x v="1"/>
  </r>
  <r>
    <s v="PROP00384"/>
    <s v="Los AngelesHogan Ramp170, USA"/>
    <x v="3"/>
    <s v="Los Angeles"/>
    <s v="Los Angeles"/>
    <s v="Los AngelesHogan Ramp170"/>
    <s v="7863"/>
    <s v="+40-833911806"/>
    <x v="1"/>
    <x v="327"/>
    <s v="OK"/>
    <s v="OK"/>
    <s v="OK"/>
    <s v="MATCH"/>
    <x v="1"/>
    <n v="0"/>
    <x v="31"/>
    <x v="4"/>
    <n v="0"/>
    <n v="0"/>
    <x v="1"/>
  </r>
  <r>
    <s v="PROP00385"/>
    <s v="France, Toulouse"/>
    <x v="0"/>
    <s v="Toulouse"/>
    <s v="Toulouse"/>
    <s v="Toulouse"/>
    <s v="61022"/>
    <s v="+91-608530182"/>
    <x v="1"/>
    <x v="5"/>
    <s v="OK"/>
    <s v="OK"/>
    <s v="OK"/>
    <s v="MATCH"/>
    <x v="1"/>
    <n v="0"/>
    <x v="4"/>
    <x v="3"/>
    <n v="0"/>
    <n v="0"/>
    <x v="1"/>
  </r>
  <r>
    <s v="PROP00386"/>
    <s v="Johnson Land1, Marseille, France"/>
    <x v="0"/>
    <s v="Marseille"/>
    <s v="Marseille"/>
    <s v="Johnson Land1"/>
    <s v="38128"/>
    <s v="+4-983547164"/>
    <x v="0"/>
    <x v="328"/>
    <s v="OK"/>
    <s v="OK"/>
    <s v="OK"/>
    <s v="MATCH"/>
    <x v="1"/>
    <n v="0"/>
    <x v="28"/>
    <x v="1"/>
    <n v="0"/>
    <n v="0"/>
    <x v="1"/>
  </r>
  <r>
    <s v="PROP00387"/>
    <s v="Japan, Tokyo"/>
    <x v="9"/>
    <s v="Tokyo"/>
    <s v="Tokyo"/>
    <s v="Tokyo"/>
    <s v="12336"/>
    <s v="+56-297647545"/>
    <x v="1"/>
    <x v="309"/>
    <s v="OK"/>
    <s v="OK"/>
    <s v="OK"/>
    <s v="MATCH"/>
    <x v="1"/>
    <n v="0"/>
    <x v="23"/>
    <x v="1"/>
    <n v="0"/>
    <n v="0"/>
    <x v="1"/>
  </r>
  <r>
    <s v="PROP00388"/>
    <s v="Ford Plaza 288, Seville"/>
    <x v="5"/>
    <s v="Seville"/>
    <s v="Seville"/>
    <s v="Ford Plaza 288"/>
    <s v="97352"/>
    <s v="+30-277401410"/>
    <x v="0"/>
    <x v="329"/>
    <s v="OK"/>
    <s v="OK"/>
    <s v="OK"/>
    <s v="MATCH"/>
    <x v="1"/>
    <n v="0"/>
    <x v="35"/>
    <x v="2"/>
    <n v="0"/>
    <n v="0"/>
    <x v="1"/>
  </r>
  <r>
    <s v="PROP00389"/>
    <s v="Shannon Valleys220, Berlin, Germany"/>
    <x v="4"/>
    <s v="Berlin"/>
    <s v="Berlin"/>
    <s v="Shannon Valleys220"/>
    <s v="75429"/>
    <s v="+45-703225074"/>
    <x v="1"/>
    <x v="330"/>
    <s v="OK"/>
    <s v="OK"/>
    <s v="OK"/>
    <s v="MATCH"/>
    <x v="1"/>
    <n v="0"/>
    <x v="29"/>
    <x v="2"/>
    <n v="0"/>
    <n v="0"/>
    <x v="1"/>
  </r>
  <r>
    <s v="PROP00390"/>
    <s v="MelbourneMarc Mountains153, Australia"/>
    <x v="2"/>
    <s v="Melbourne"/>
    <s v="Melbourne"/>
    <s v="MelbourneMarc Mountains153"/>
    <s v="66216"/>
    <s v="+20-174104712"/>
    <x v="1"/>
    <x v="331"/>
    <s v="OK"/>
    <s v="OK"/>
    <s v="OK"/>
    <s v="MATCH"/>
    <x v="1"/>
    <n v="0"/>
    <x v="12"/>
    <x v="4"/>
    <n v="0"/>
    <n v="0"/>
    <x v="1"/>
  </r>
  <r>
    <s v="PROP00391"/>
    <s v="GermanyHamburg, Germany"/>
    <x v="4"/>
    <s v="Hamburg"/>
    <s v="Hamburg"/>
    <s v="Germany"/>
    <s v="14067"/>
    <s v="+46-537543128"/>
    <x v="0"/>
    <x v="332"/>
    <s v="OK"/>
    <s v="OK"/>
    <s v="OK"/>
    <s v="MATCH"/>
    <x v="1"/>
    <n v="0"/>
    <x v="18"/>
    <x v="3"/>
    <n v="0"/>
    <n v="0"/>
    <x v="1"/>
  </r>
  <r>
    <s v="PROP00392"/>
    <s v="JapanKyoto, Japan"/>
    <x v="9"/>
    <s v="Kyoto"/>
    <s v="Kyoto"/>
    <s v="Japan"/>
    <s v="66633"/>
    <s v="+42-525166160"/>
    <x v="0"/>
    <x v="1"/>
    <s v="OK"/>
    <s v="OK"/>
    <s v="OK"/>
    <s v="MATCH"/>
    <x v="1"/>
    <n v="0"/>
    <x v="1"/>
    <x v="3"/>
    <n v="0"/>
    <n v="0"/>
    <x v="1"/>
  </r>
  <r>
    <s v="PROP00393"/>
    <s v="ItalyNaplesBenjamin Station30"/>
    <x v="8"/>
    <s v="Naples"/>
    <s v="Naples"/>
    <s v="ItalyNaplesBenjamin Station30"/>
    <s v="57878"/>
    <s v="+49-719967367"/>
    <x v="1"/>
    <x v="333"/>
    <s v="OK"/>
    <s v="OK"/>
    <s v="OK"/>
    <s v="MATCH"/>
    <x v="1"/>
    <n v="0"/>
    <x v="0"/>
    <x v="3"/>
    <n v="0"/>
    <n v="0"/>
    <x v="1"/>
  </r>
  <r>
    <s v="PROP00394"/>
    <s v="Warren Ridge 49, Ottawa"/>
    <x v="7"/>
    <s v="Ottawa"/>
    <s v="Ottawa"/>
    <s v="Warren Ridge 49"/>
    <s v="21308"/>
    <s v="+18-754159419"/>
    <x v="1"/>
    <x v="334"/>
    <s v="OK"/>
    <s v="OK"/>
    <s v="OK"/>
    <s v="MATCH"/>
    <x v="1"/>
    <n v="0"/>
    <x v="32"/>
    <x v="3"/>
    <n v="0"/>
    <n v="0"/>
    <x v="1"/>
  </r>
  <r>
    <s v="PROP00395"/>
    <s v="ChicagoWatson Haven5, USA"/>
    <x v="3"/>
    <s v="Chicago"/>
    <s v="Chicago"/>
    <s v="ChicagoWatson Haven5"/>
    <s v="51280"/>
    <s v="+17-813612190"/>
    <x v="0"/>
    <x v="335"/>
    <s v="OK"/>
    <s v="OK"/>
    <s v="OK"/>
    <s v="MATCH"/>
    <x v="1"/>
    <n v="0"/>
    <x v="20"/>
    <x v="0"/>
    <n v="0"/>
    <n v="0"/>
    <x v="1"/>
  </r>
  <r>
    <s v="PROP00396"/>
    <s v="SpainValencia, Spain"/>
    <x v="5"/>
    <s v="Valencia"/>
    <s v="Valencia"/>
    <s v="Spain"/>
    <s v="78867"/>
    <s v="+98-873956665"/>
    <x v="0"/>
    <x v="223"/>
    <s v="OK"/>
    <s v="OK"/>
    <s v="OK"/>
    <s v="MATCH"/>
    <x v="1"/>
    <n v="0"/>
    <x v="18"/>
    <x v="4"/>
    <n v="0"/>
    <n v="0"/>
    <x v="1"/>
  </r>
  <r>
    <s v="PROP00397"/>
    <s v="Japan, Sapporo"/>
    <x v="9"/>
    <s v="Sapporo"/>
    <s v="Sapporo"/>
    <s v="Sapporo"/>
    <s v="44364"/>
    <s v="+51-385284157"/>
    <x v="0"/>
    <x v="336"/>
    <s v="OK"/>
    <s v="OK"/>
    <s v="OK"/>
    <s v="MATCH"/>
    <x v="1"/>
    <n v="0"/>
    <x v="32"/>
    <x v="4"/>
    <n v="0"/>
    <n v="0"/>
    <x v="1"/>
  </r>
  <r>
    <s v="PROP00398"/>
    <s v="Sydney, Mark Point 13, Australia"/>
    <x v="2"/>
    <s v="Sydney"/>
    <s v="Sydney"/>
    <s v="Mark Point 13"/>
    <s v="89417"/>
    <s v="+5-975556114"/>
    <x v="0"/>
    <x v="337"/>
    <s v="OK"/>
    <s v="OK"/>
    <s v="OK"/>
    <s v="MATCH"/>
    <x v="1"/>
    <n v="0"/>
    <x v="5"/>
    <x v="0"/>
    <n v="0"/>
    <n v="0"/>
    <x v="1"/>
  </r>
  <r>
    <s v="PROP00399"/>
    <s v="Spain, Barcelona"/>
    <x v="5"/>
    <s v="Barcelona"/>
    <s v="Barcelona"/>
    <s v="Barcelona"/>
    <s v="86558"/>
    <s v="+11-414993603"/>
    <x v="0"/>
    <x v="338"/>
    <s v="OK"/>
    <s v="OK"/>
    <s v="OK"/>
    <s v="MATCH"/>
    <x v="1"/>
    <n v="0"/>
    <x v="17"/>
    <x v="1"/>
    <n v="0"/>
    <n v="0"/>
    <x v="1"/>
  </r>
  <r>
    <s v="PROP00400"/>
    <s v="Mathew Prairie281, London, UK"/>
    <x v="1"/>
    <s v="London"/>
    <s v="London"/>
    <s v="Mathew Prairie281"/>
    <s v="87481"/>
    <s v="+29-494448329"/>
    <x v="1"/>
    <x v="339"/>
    <s v="OK"/>
    <s v="OK"/>
    <s v="OK"/>
    <s v="MATCH"/>
    <x v="1"/>
    <n v="0"/>
    <x v="23"/>
    <x v="3"/>
    <n v="0"/>
    <n v="0"/>
    <x v="1"/>
  </r>
  <r>
    <s v="PROP00401"/>
    <s v="AustraliaPerth, Australia"/>
    <x v="2"/>
    <s v="Perth"/>
    <s v="Perth"/>
    <s v="Australia"/>
    <s v="86491"/>
    <s v="+90-432118309"/>
    <x v="1"/>
    <x v="340"/>
    <s v="OK"/>
    <s v="OK"/>
    <s v="OK"/>
    <s v="MATCH"/>
    <x v="1"/>
    <n v="0"/>
    <x v="29"/>
    <x v="2"/>
    <n v="0"/>
    <n v="0"/>
    <x v="1"/>
  </r>
  <r>
    <s v="PROP00402"/>
    <s v="OsakaAnderson Station280, Japan"/>
    <x v="9"/>
    <s v="Osaka"/>
    <s v="Osaka"/>
    <s v="OsakaAnderson Station280"/>
    <s v="11605"/>
    <s v="+34-537504305"/>
    <x v="0"/>
    <x v="177"/>
    <s v="OK"/>
    <s v="OK"/>
    <s v="OK"/>
    <s v="MATCH"/>
    <x v="1"/>
    <n v="0"/>
    <x v="21"/>
    <x v="3"/>
    <n v="0"/>
    <n v="0"/>
    <x v="1"/>
  </r>
  <r>
    <s v="PROP00403"/>
    <s v="GermanyBerlin"/>
    <x v="4"/>
    <s v="Berlin"/>
    <s v="Berlin"/>
    <s v=""/>
    <s v="43555"/>
    <s v="+3-857181709"/>
    <x v="1"/>
    <x v="341"/>
    <s v="MISSING"/>
    <s v="OK"/>
    <s v="OK"/>
    <s v="MATCH"/>
    <x v="0"/>
    <n v="1"/>
    <x v="14"/>
    <x v="4"/>
    <n v="1"/>
    <n v="1"/>
    <x v="0"/>
  </r>
  <r>
    <s v="PROP00404"/>
    <s v="Elizabeth Village 28, Italy, Florence"/>
    <x v="8"/>
    <s v="Florence"/>
    <s v="Florence"/>
    <s v="Elizabeth Village 28"/>
    <s v="97333"/>
    <s v="+89-283167109"/>
    <x v="1"/>
    <x v="155"/>
    <s v="OK"/>
    <s v="OK"/>
    <s v="OK"/>
    <s v="MATCH"/>
    <x v="1"/>
    <n v="0"/>
    <x v="34"/>
    <x v="0"/>
    <n v="0"/>
    <n v="0"/>
    <x v="1"/>
  </r>
  <r>
    <s v="PROP00405"/>
    <s v="CanadaOttawa, Canada"/>
    <x v="7"/>
    <s v="Ottawa"/>
    <s v="Ottawa"/>
    <s v="Canada"/>
    <s v="67149"/>
    <s v="+50-786311528"/>
    <x v="0"/>
    <x v="342"/>
    <s v="OK"/>
    <s v="OK"/>
    <s v="OK"/>
    <s v="MATCH"/>
    <x v="1"/>
    <n v="0"/>
    <x v="14"/>
    <x v="4"/>
    <n v="0"/>
    <n v="0"/>
    <x v="1"/>
  </r>
  <r>
    <s v="PROP00406"/>
    <s v="Smith Inlet 217, UK, Liverpool"/>
    <x v="1"/>
    <s v="Liverpool"/>
    <s v="Liverpool"/>
    <s v="Smith Inlet 217"/>
    <s v="24128"/>
    <s v="+37-788345347"/>
    <x v="0"/>
    <x v="174"/>
    <s v="OK"/>
    <s v="OK"/>
    <s v="OK"/>
    <s v="MATCH"/>
    <x v="1"/>
    <n v="0"/>
    <x v="30"/>
    <x v="0"/>
    <n v="0"/>
    <n v="0"/>
    <x v="1"/>
  </r>
  <r>
    <s v="PROP00407"/>
    <s v="Adelaide, Matthew Trafficway 99, Australia"/>
    <x v="2"/>
    <s v="Adelaide"/>
    <s v="Adelaide"/>
    <s v="Matthew Trafficway 99"/>
    <s v="64237"/>
    <s v="+64-955163587"/>
    <x v="0"/>
    <x v="343"/>
    <s v="OK"/>
    <s v="OK"/>
    <s v="OK"/>
    <s v="MATCH"/>
    <x v="1"/>
    <n v="0"/>
    <x v="30"/>
    <x v="0"/>
    <n v="0"/>
    <n v="0"/>
    <x v="1"/>
  </r>
  <r>
    <s v="PROP00408"/>
    <s v="AustraliaAdelaideJeremy Dam14"/>
    <x v="2"/>
    <s v="Adelaide"/>
    <s v="Adelaide"/>
    <s v="AustraliaAdelaideJeremy Dam14"/>
    <s v="20809"/>
    <s v="+36-842825305"/>
    <x v="1"/>
    <x v="95"/>
    <s v="OK"/>
    <s v="OK"/>
    <s v="OK"/>
    <s v="MATCH"/>
    <x v="1"/>
    <n v="0"/>
    <x v="9"/>
    <x v="2"/>
    <n v="0"/>
    <n v="0"/>
    <x v="1"/>
  </r>
  <r>
    <s v="PROP00409"/>
    <s v="Kenneth Turnpike126, Florence, Italy"/>
    <x v="8"/>
    <s v="Florence"/>
    <s v="Florence"/>
    <s v="Kenneth Turnpike126"/>
    <s v="13757"/>
    <s v="+41-132112570"/>
    <x v="0"/>
    <x v="13"/>
    <s v="OK"/>
    <s v="OK"/>
    <s v="OK"/>
    <s v="MATCH"/>
    <x v="1"/>
    <n v="0"/>
    <x v="10"/>
    <x v="4"/>
    <n v="0"/>
    <n v="0"/>
    <x v="1"/>
  </r>
  <r>
    <s v="PROP00410"/>
    <s v="GermanyFrankfurtEbony Wells233"/>
    <x v="4"/>
    <s v="Frankfurt"/>
    <s v="Frankfurt"/>
    <s v="GermanyFrankfurtEbony Wells233"/>
    <s v="81507"/>
    <s v="+24-444068690"/>
    <x v="1"/>
    <x v="344"/>
    <s v="OK"/>
    <s v="OK"/>
    <s v="OK"/>
    <s v="MATCH"/>
    <x v="1"/>
    <n v="0"/>
    <x v="35"/>
    <x v="3"/>
    <n v="0"/>
    <n v="0"/>
    <x v="1"/>
  </r>
  <r>
    <s v="PROP00411"/>
    <s v="Brisbane, Carla Drives 6, Australia"/>
    <x v="2"/>
    <s v="Brisbane"/>
    <s v="Brisbane"/>
    <s v="Carla Drives 6"/>
    <s v="21767"/>
    <s v="+19-593541541"/>
    <x v="1"/>
    <x v="345"/>
    <s v="OK"/>
    <s v="OK"/>
    <s v="OK"/>
    <s v="MATCH"/>
    <x v="1"/>
    <n v="0"/>
    <x v="11"/>
    <x v="1"/>
    <n v="0"/>
    <n v="0"/>
    <x v="1"/>
  </r>
  <r>
    <s v="PROP00412"/>
    <s v="Marie Trail289, Manchester, UK"/>
    <x v="1"/>
    <s v="Manchester"/>
    <s v="Manchester"/>
    <s v="Marie Trail289"/>
    <s v="82386"/>
    <s v="+33-336117862"/>
    <x v="0"/>
    <x v="346"/>
    <s v="OK"/>
    <s v="OK"/>
    <s v="OK"/>
    <s v="MATCH"/>
    <x v="1"/>
    <n v="0"/>
    <x v="1"/>
    <x v="0"/>
    <n v="0"/>
    <n v="0"/>
    <x v="1"/>
  </r>
  <r>
    <s v="PROP00413"/>
    <s v="Jennifer Cape130, Naples, Italy"/>
    <x v="8"/>
    <s v="Naples"/>
    <s v="Naples"/>
    <s v="Jennifer Cape130"/>
    <s v="54353"/>
    <s v="+46-241858619"/>
    <x v="1"/>
    <x v="49"/>
    <s v="OK"/>
    <s v="OK"/>
    <s v="OK"/>
    <s v="MATCH"/>
    <x v="1"/>
    <n v="0"/>
    <x v="8"/>
    <x v="3"/>
    <n v="0"/>
    <n v="0"/>
    <x v="1"/>
  </r>
  <r>
    <s v="PROP00414"/>
    <s v="UKBirminghamRhodes Freeway23"/>
    <x v="1"/>
    <s v="Birmingham"/>
    <s v="Birmingham"/>
    <s v="UKBirminghamRhodes Freeway23"/>
    <s v="58723"/>
    <s v="+39-617860465"/>
    <x v="0"/>
    <x v="233"/>
    <s v="OK"/>
    <s v="OK"/>
    <s v="OK"/>
    <s v="MATCH"/>
    <x v="1"/>
    <n v="0"/>
    <x v="24"/>
    <x v="1"/>
    <n v="0"/>
    <n v="0"/>
    <x v="1"/>
  </r>
  <r>
    <s v="PROP00415"/>
    <s v="Goodwin Tunnel 111, Perth"/>
    <x v="2"/>
    <s v="Perth"/>
    <s v="Perth"/>
    <s v="Goodwin Tunnel 111"/>
    <s v="59342"/>
    <s v="+53-403224896"/>
    <x v="1"/>
    <x v="347"/>
    <s v="OK"/>
    <s v="OK"/>
    <s v="OK"/>
    <s v="MATCH"/>
    <x v="1"/>
    <n v="0"/>
    <x v="15"/>
    <x v="3"/>
    <n v="0"/>
    <n v="0"/>
    <x v="1"/>
  </r>
  <r>
    <s v="PROP00416"/>
    <s v="Los Angeles, Amanda Inlet 240, USA"/>
    <x v="3"/>
    <s v="Los Angeles"/>
    <s v="Los Angeles"/>
    <s v="Amanda Inlet 240"/>
    <s v="61975"/>
    <s v="+58-886810870"/>
    <x v="1"/>
    <x v="348"/>
    <s v="OK"/>
    <s v="OK"/>
    <s v="OK"/>
    <s v="MATCH"/>
    <x v="1"/>
    <n v="0"/>
    <x v="7"/>
    <x v="4"/>
    <n v="0"/>
    <n v="0"/>
    <x v="1"/>
  </r>
  <r>
    <s v="PROP00417"/>
    <s v="Canada, Calgary, Micheal Ports 232"/>
    <x v="7"/>
    <s v="Calgary"/>
    <s v="Calgary"/>
    <s v="Micheal Ports 232"/>
    <s v="58250"/>
    <s v="+98-594910452"/>
    <x v="0"/>
    <x v="349"/>
    <s v="OK"/>
    <s v="OK"/>
    <s v="OK"/>
    <s v="MATCH"/>
    <x v="1"/>
    <n v="0"/>
    <x v="19"/>
    <x v="1"/>
    <n v="0"/>
    <n v="0"/>
    <x v="1"/>
  </r>
  <r>
    <s v="PROP00418"/>
    <s v="FranceMarseille, France"/>
    <x v="0"/>
    <s v="Marseille"/>
    <s v="Marseille"/>
    <s v="France"/>
    <s v="50553"/>
    <s v="+68-301739796"/>
    <x v="1"/>
    <x v="350"/>
    <s v="OK"/>
    <s v="OK"/>
    <s v="OK"/>
    <s v="MATCH"/>
    <x v="1"/>
    <n v="0"/>
    <x v="0"/>
    <x v="4"/>
    <n v="0"/>
    <n v="0"/>
    <x v="1"/>
  </r>
  <r>
    <s v="PROP00419"/>
    <s v="LondonBurch Viaduct255, UK"/>
    <x v="1"/>
    <s v="London"/>
    <s v="London"/>
    <s v="LondonBurch Viaduct255"/>
    <s v="26675"/>
    <s v="+3-601870526"/>
    <x v="1"/>
    <x v="242"/>
    <s v="OK"/>
    <s v="OK"/>
    <s v="OK"/>
    <s v="MATCH"/>
    <x v="1"/>
    <n v="0"/>
    <x v="3"/>
    <x v="4"/>
    <n v="0"/>
    <n v="0"/>
    <x v="1"/>
  </r>
  <r>
    <s v="PROP00420"/>
    <s v="Monique Center 124, Turin"/>
    <x v="8"/>
    <s v="Turin"/>
    <s v="Turin"/>
    <s v="Monique Center 124"/>
    <s v="84541"/>
    <s v="+79-560896724"/>
    <x v="1"/>
    <x v="271"/>
    <s v="OK"/>
    <s v="OK"/>
    <s v="OK"/>
    <s v="MATCH"/>
    <x v="1"/>
    <n v="0"/>
    <x v="4"/>
    <x v="1"/>
    <n v="0"/>
    <n v="0"/>
    <x v="1"/>
  </r>
  <r>
    <s v="PROP00421"/>
    <s v="Italy, Rome, Sawyer Plaza 184"/>
    <x v="8"/>
    <s v="Rome"/>
    <s v="Rome"/>
    <s v="Sawyer Plaza 184"/>
    <s v="13947"/>
    <s v="+65-473106814"/>
    <x v="0"/>
    <x v="351"/>
    <s v="OK"/>
    <s v="OK"/>
    <s v="OK"/>
    <s v="MATCH"/>
    <x v="1"/>
    <n v="0"/>
    <x v="11"/>
    <x v="4"/>
    <n v="0"/>
    <n v="0"/>
    <x v="1"/>
  </r>
  <r>
    <s v="PROP00422"/>
    <s v="Japan, Kyoto"/>
    <x v="9"/>
    <s v="Kyoto"/>
    <s v="Kyoto"/>
    <s v="Kyoto"/>
    <s v="21513"/>
    <s v="+12-867104217"/>
    <x v="0"/>
    <x v="46"/>
    <s v="OK"/>
    <s v="OK"/>
    <s v="OK"/>
    <s v="MATCH"/>
    <x v="1"/>
    <n v="0"/>
    <x v="25"/>
    <x v="2"/>
    <n v="0"/>
    <n v="0"/>
    <x v="1"/>
  </r>
  <r>
    <s v="PROP00423"/>
    <s v="UK, London, Cole Passage 242"/>
    <x v="1"/>
    <s v="London"/>
    <s v="London"/>
    <s v="Cole Passage 242"/>
    <s v="19814"/>
    <s v="+10-632252713"/>
    <x v="1"/>
    <x v="352"/>
    <s v="OK"/>
    <s v="OK"/>
    <s v="OK"/>
    <s v="MATCH"/>
    <x v="1"/>
    <n v="0"/>
    <x v="9"/>
    <x v="2"/>
    <n v="0"/>
    <n v="0"/>
    <x v="1"/>
  </r>
  <r>
    <s v="PROP00424"/>
    <s v="France, Paris"/>
    <x v="0"/>
    <s v="Paris"/>
    <s v="Paris"/>
    <s v="Paris"/>
    <s v="59631"/>
    <s v="+30-715287884"/>
    <x v="1"/>
    <x v="136"/>
    <s v="OK"/>
    <s v="OK"/>
    <s v="OK"/>
    <s v="MATCH"/>
    <x v="1"/>
    <n v="0"/>
    <x v="1"/>
    <x v="3"/>
    <n v="0"/>
    <n v="0"/>
    <x v="1"/>
  </r>
  <r>
    <s v="PROP00425"/>
    <s v="FranceLyon"/>
    <x v="0"/>
    <s v="Lyon"/>
    <s v="Lyon"/>
    <s v=""/>
    <s v="7481"/>
    <s v="+72-101402924"/>
    <x v="0"/>
    <x v="353"/>
    <s v="MISSING"/>
    <s v="OK"/>
    <s v="OK"/>
    <s v="MATCH"/>
    <x v="0"/>
    <n v="1"/>
    <x v="32"/>
    <x v="1"/>
    <n v="1"/>
    <n v="1"/>
    <x v="0"/>
  </r>
  <r>
    <s v="PROP00426"/>
    <s v="Shaw Freeway 88, Spain, Seville"/>
    <x v="5"/>
    <s v="Seville"/>
    <s v="Seville"/>
    <s v="Shaw Freeway 88"/>
    <s v="51116"/>
    <s v="+25-252463908"/>
    <x v="0"/>
    <x v="354"/>
    <s v="OK"/>
    <s v="OK"/>
    <s v="OK"/>
    <s v="MATCH"/>
    <x v="1"/>
    <n v="0"/>
    <x v="24"/>
    <x v="0"/>
    <n v="0"/>
    <n v="0"/>
    <x v="1"/>
  </r>
  <r>
    <s v="PROP00427"/>
    <s v="Brasília, Nicholas Burgs 214, Brazil"/>
    <x v="6"/>
    <s v="Brasília"/>
    <s v="Brasília"/>
    <s v="Nicholas Burgs 214"/>
    <s v="42271"/>
    <s v="+98-190512043"/>
    <x v="0"/>
    <x v="153"/>
    <s v="OK"/>
    <s v="OK"/>
    <s v="OK"/>
    <s v="MATCH"/>
    <x v="1"/>
    <n v="0"/>
    <x v="1"/>
    <x v="4"/>
    <n v="0"/>
    <n v="0"/>
    <x v="1"/>
  </r>
  <r>
    <s v="PROP00428"/>
    <s v="Mary Run 169, Bordeaux"/>
    <x v="0"/>
    <s v="Bordeaux"/>
    <s v="Bordeaux"/>
    <s v="Mary Run 169"/>
    <s v="44448"/>
    <s v="+14-408408813"/>
    <x v="1"/>
    <x v="315"/>
    <s v="OK"/>
    <s v="OK"/>
    <s v="OK"/>
    <s v="MATCH"/>
    <x v="1"/>
    <n v="0"/>
    <x v="30"/>
    <x v="1"/>
    <n v="0"/>
    <n v="0"/>
    <x v="1"/>
  </r>
  <r>
    <s v="PROP00429"/>
    <s v="FranceMarseille"/>
    <x v="0"/>
    <s v="Marseille"/>
    <s v="Marseille"/>
    <s v=""/>
    <s v="62426"/>
    <s v="+30-233506416"/>
    <x v="0"/>
    <x v="355"/>
    <s v="MISSING"/>
    <s v="OK"/>
    <s v="OK"/>
    <s v="MATCH"/>
    <x v="0"/>
    <n v="1"/>
    <x v="27"/>
    <x v="4"/>
    <n v="1"/>
    <n v="1"/>
    <x v="0"/>
  </r>
  <r>
    <s v="PROP00430"/>
    <s v="Berlin, Katherine Mountains 208, Germany"/>
    <x v="4"/>
    <s v="Berlin"/>
    <s v="Berlin"/>
    <s v="Katherine Mountains 208"/>
    <s v="59300"/>
    <s v="+57-231360946"/>
    <x v="0"/>
    <x v="356"/>
    <s v="OK"/>
    <s v="OK"/>
    <s v="OK"/>
    <s v="MATCH"/>
    <x v="1"/>
    <n v="0"/>
    <x v="25"/>
    <x v="3"/>
    <n v="0"/>
    <n v="0"/>
    <x v="1"/>
  </r>
  <r>
    <s v="PROP00431"/>
    <s v="ItalyRome"/>
    <x v="8"/>
    <s v="Rome"/>
    <s v="Rome"/>
    <s v=""/>
    <s v="34045"/>
    <s v="+74-224464313"/>
    <x v="1"/>
    <x v="357"/>
    <s v="MISSING"/>
    <s v="OK"/>
    <s v="OK"/>
    <s v="MATCH"/>
    <x v="0"/>
    <n v="1"/>
    <x v="28"/>
    <x v="3"/>
    <n v="1"/>
    <n v="1"/>
    <x v="0"/>
  </r>
  <r>
    <s v="PROP00432"/>
    <s v="Munich, Mary Plaza 227, Germany"/>
    <x v="4"/>
    <s v="Munich"/>
    <s v="Munich"/>
    <s v="Mary Plaza 227"/>
    <s v="95821"/>
    <s v="+12-313079520"/>
    <x v="1"/>
    <x v="358"/>
    <s v="OK"/>
    <s v="OK"/>
    <s v="OK"/>
    <s v="MATCH"/>
    <x v="1"/>
    <n v="0"/>
    <x v="34"/>
    <x v="2"/>
    <n v="0"/>
    <n v="0"/>
    <x v="1"/>
  </r>
  <r>
    <s v="PROP00433"/>
    <s v="Rodriguez Heights 58, Berlin"/>
    <x v="4"/>
    <s v="Berlin"/>
    <s v="Berlin"/>
    <s v="Rodriguez Heights 58"/>
    <s v="31648"/>
    <s v="+40-885281469"/>
    <x v="1"/>
    <x v="167"/>
    <s v="OK"/>
    <s v="OK"/>
    <s v="OK"/>
    <s v="MATCH"/>
    <x v="1"/>
    <n v="0"/>
    <x v="13"/>
    <x v="2"/>
    <n v="0"/>
    <n v="0"/>
    <x v="1"/>
  </r>
  <r>
    <s v="PROP00434"/>
    <s v="USA, Houston, Martinez Garden 131"/>
    <x v="3"/>
    <s v="Houston"/>
    <s v="Houston"/>
    <s v="Martinez Garden 131"/>
    <s v="55528"/>
    <s v="+62-853313608"/>
    <x v="1"/>
    <x v="149"/>
    <s v="OK"/>
    <s v="OK"/>
    <s v="OK"/>
    <s v="MATCH"/>
    <x v="1"/>
    <n v="0"/>
    <x v="34"/>
    <x v="2"/>
    <n v="0"/>
    <n v="0"/>
    <x v="1"/>
  </r>
  <r>
    <s v="PROP00435"/>
    <s v="USAPhoenix, USA"/>
    <x v="3"/>
    <s v="Phoenix"/>
    <s v="Phoenix"/>
    <s v="USA"/>
    <s v="66014"/>
    <s v="+38-672393576"/>
    <x v="0"/>
    <x v="359"/>
    <s v="OK"/>
    <s v="OK"/>
    <s v="OK"/>
    <s v="MATCH"/>
    <x v="1"/>
    <n v="0"/>
    <x v="32"/>
    <x v="3"/>
    <n v="0"/>
    <n v="0"/>
    <x v="1"/>
  </r>
  <r>
    <s v="PROP00436"/>
    <s v="FranceLyon"/>
    <x v="0"/>
    <s v="Lyon"/>
    <s v="Lyon"/>
    <s v=""/>
    <s v="32212"/>
    <s v="+45-554730929"/>
    <x v="1"/>
    <x v="360"/>
    <s v="MISSING"/>
    <s v="OK"/>
    <s v="OK"/>
    <s v="MATCH"/>
    <x v="0"/>
    <n v="1"/>
    <x v="29"/>
    <x v="4"/>
    <n v="1"/>
    <n v="1"/>
    <x v="0"/>
  </r>
  <r>
    <s v="PROP00437"/>
    <s v="SpainSeville, Spain"/>
    <x v="5"/>
    <s v="Seville"/>
    <s v="Seville"/>
    <s v="Spain"/>
    <s v="81085"/>
    <s v="+23-238983003"/>
    <x v="1"/>
    <x v="361"/>
    <s v="OK"/>
    <s v="OK"/>
    <s v="OK"/>
    <s v="MATCH"/>
    <x v="1"/>
    <n v="0"/>
    <x v="19"/>
    <x v="1"/>
    <n v="0"/>
    <n v="0"/>
    <x v="1"/>
  </r>
  <r>
    <s v="PROP00438"/>
    <s v="FranceToulouse, France"/>
    <x v="0"/>
    <s v="Toulouse"/>
    <s v="Toulouse"/>
    <s v="France"/>
    <s v="25052"/>
    <s v="+78-817396246"/>
    <x v="0"/>
    <x v="360"/>
    <s v="OK"/>
    <s v="OK"/>
    <s v="OK"/>
    <s v="MATCH"/>
    <x v="1"/>
    <n v="0"/>
    <x v="29"/>
    <x v="3"/>
    <n v="0"/>
    <n v="0"/>
    <x v="1"/>
  </r>
  <r>
    <s v="PROP00439"/>
    <s v="USA, Phoenix, Alexandra Lake 91"/>
    <x v="3"/>
    <s v="Phoenix"/>
    <s v="Phoenix"/>
    <s v="Alexandra Lake 91"/>
    <s v="9371"/>
    <s v="+71-392240399"/>
    <x v="0"/>
    <x v="362"/>
    <s v="OK"/>
    <s v="OK"/>
    <s v="OK"/>
    <s v="MATCH"/>
    <x v="1"/>
    <n v="0"/>
    <x v="4"/>
    <x v="1"/>
    <n v="0"/>
    <n v="0"/>
    <x v="1"/>
  </r>
  <r>
    <s v="PROP00440"/>
    <s v="UKBirmingham"/>
    <x v="1"/>
    <s v="Birmingham"/>
    <s v="Birmingham"/>
    <s v=""/>
    <s v="6207"/>
    <s v="+94-154736831"/>
    <x v="0"/>
    <x v="338"/>
    <s v="MISSING"/>
    <s v="OK"/>
    <s v="OK"/>
    <s v="MATCH"/>
    <x v="0"/>
    <n v="1"/>
    <x v="17"/>
    <x v="4"/>
    <n v="1"/>
    <n v="1"/>
    <x v="0"/>
  </r>
  <r>
    <s v="PROP00441"/>
    <s v="Zavala Glen 265, Brasília"/>
    <x v="6"/>
    <s v="Brasília"/>
    <s v="Brasília"/>
    <s v="Zavala Glen 265"/>
    <s v="98453"/>
    <s v="+43-223338221"/>
    <x v="0"/>
    <x v="363"/>
    <s v="OK"/>
    <s v="OK"/>
    <s v="OK"/>
    <s v="MATCH"/>
    <x v="1"/>
    <n v="0"/>
    <x v="19"/>
    <x v="2"/>
    <n v="0"/>
    <n v="0"/>
    <x v="1"/>
  </r>
  <r>
    <s v="PROP00442"/>
    <s v="Michael Cliff204, Melbourne, Australia"/>
    <x v="2"/>
    <s v="Melbourne"/>
    <s v="Melbourne"/>
    <s v="Michael Cliff204"/>
    <s v="45694"/>
    <s v="+16-742135188"/>
    <x v="0"/>
    <x v="364"/>
    <s v="OK"/>
    <s v="OK"/>
    <s v="OK"/>
    <s v="MATCH"/>
    <x v="1"/>
    <n v="0"/>
    <x v="22"/>
    <x v="2"/>
    <n v="0"/>
    <n v="0"/>
    <x v="1"/>
  </r>
  <r>
    <s v="PROP00443"/>
    <s v="Australia, Brisbane"/>
    <x v="2"/>
    <s v="Brisbane"/>
    <s v="Brisbane"/>
    <s v="Brisbane"/>
    <s v="14088"/>
    <s v="+54-127510368"/>
    <x v="1"/>
    <x v="212"/>
    <s v="OK"/>
    <s v="OK"/>
    <s v="OK"/>
    <s v="MATCH"/>
    <x v="1"/>
    <n v="0"/>
    <x v="1"/>
    <x v="0"/>
    <n v="0"/>
    <n v="0"/>
    <x v="1"/>
  </r>
  <r>
    <s v="PROP00444"/>
    <s v="BrisbaneAnderson Knoll292, Australia"/>
    <x v="2"/>
    <s v="Brisbane"/>
    <s v="Brisbane"/>
    <s v="BrisbaneAnderson Knoll292"/>
    <s v="72068"/>
    <s v="+60-949162560"/>
    <x v="1"/>
    <x v="365"/>
    <s v="OK"/>
    <s v="OK"/>
    <s v="OK"/>
    <s v="MATCH"/>
    <x v="1"/>
    <n v="0"/>
    <x v="3"/>
    <x v="1"/>
    <n v="0"/>
    <n v="0"/>
    <x v="1"/>
  </r>
  <r>
    <s v="PROP00445"/>
    <s v="Li Extensions 200, Milan"/>
    <x v="8"/>
    <s v="Milan"/>
    <s v="Milan"/>
    <s v="Li Extensions 200"/>
    <s v="90243"/>
    <s v="+66-171023407"/>
    <x v="1"/>
    <x v="366"/>
    <s v="OK"/>
    <s v="OK"/>
    <s v="OK"/>
    <s v="MATCH"/>
    <x v="1"/>
    <n v="0"/>
    <x v="11"/>
    <x v="1"/>
    <n v="0"/>
    <n v="0"/>
    <x v="1"/>
  </r>
  <r>
    <s v="PROP00446"/>
    <s v="Pollard Neck214, Phoenix, USA"/>
    <x v="3"/>
    <s v="Phoenix"/>
    <s v="Phoenix"/>
    <s v="Pollard Neck214"/>
    <s v="83303"/>
    <s v="+45-718680766"/>
    <x v="1"/>
    <x v="367"/>
    <s v="OK"/>
    <s v="OK"/>
    <s v="OK"/>
    <s v="MATCH"/>
    <x v="1"/>
    <n v="0"/>
    <x v="6"/>
    <x v="0"/>
    <n v="0"/>
    <n v="0"/>
    <x v="1"/>
  </r>
  <r>
    <s v="PROP00447"/>
    <s v="Australia, Adelaide, Lisa Circles 122"/>
    <x v="2"/>
    <s v="Adelaide"/>
    <s v="Adelaide"/>
    <s v="Lisa Circles 122"/>
    <s v="94354"/>
    <s v="+94-458982105"/>
    <x v="1"/>
    <x v="368"/>
    <s v="OK"/>
    <s v="OK"/>
    <s v="OK"/>
    <s v="MATCH"/>
    <x v="1"/>
    <n v="0"/>
    <x v="31"/>
    <x v="1"/>
    <n v="0"/>
    <n v="0"/>
    <x v="1"/>
  </r>
  <r>
    <s v="PROP00448"/>
    <s v="UKLondon, UK"/>
    <x v="1"/>
    <s v="London"/>
    <s v="London"/>
    <s v="UK"/>
    <s v="6242"/>
    <s v="+26-410926680"/>
    <x v="0"/>
    <x v="193"/>
    <s v="OK"/>
    <s v="OK"/>
    <s v="OK"/>
    <s v="MATCH"/>
    <x v="1"/>
    <n v="0"/>
    <x v="17"/>
    <x v="3"/>
    <n v="0"/>
    <n v="0"/>
    <x v="1"/>
  </r>
  <r>
    <s v="PROP00449"/>
    <s v="France, Toulouse"/>
    <x v="0"/>
    <s v="Toulouse"/>
    <s v="Toulouse"/>
    <s v="Toulouse"/>
    <s v="41143"/>
    <s v="+79-180455801"/>
    <x v="1"/>
    <x v="369"/>
    <s v="OK"/>
    <s v="OK"/>
    <s v="OK"/>
    <s v="MATCH"/>
    <x v="1"/>
    <n v="0"/>
    <x v="27"/>
    <x v="0"/>
    <n v="0"/>
    <n v="0"/>
    <x v="1"/>
  </r>
  <r>
    <s v="PROP00450"/>
    <s v="ItalyTurin"/>
    <x v="8"/>
    <s v="Turin"/>
    <s v="Turin"/>
    <s v=""/>
    <s v="62550"/>
    <s v="+67-887717794"/>
    <x v="0"/>
    <x v="370"/>
    <s v="MISSING"/>
    <s v="OK"/>
    <s v="OK"/>
    <s v="MATCH"/>
    <x v="0"/>
    <n v="1"/>
    <x v="35"/>
    <x v="2"/>
    <n v="1"/>
    <n v="1"/>
    <x v="0"/>
  </r>
  <r>
    <s v="PROP00451"/>
    <s v="Johnson Rue 284, France, Toulouse"/>
    <x v="0"/>
    <s v="Toulouse"/>
    <s v="Toulouse"/>
    <s v="Johnson Rue 284"/>
    <s v="25549"/>
    <s v="+23-704063687"/>
    <x v="0"/>
    <x v="371"/>
    <s v="OK"/>
    <s v="OK"/>
    <s v="OK"/>
    <s v="MATCH"/>
    <x v="1"/>
    <n v="0"/>
    <x v="33"/>
    <x v="0"/>
    <n v="0"/>
    <n v="0"/>
    <x v="1"/>
  </r>
  <r>
    <s v="PROP00452"/>
    <s v="Canada, Ottawa, Kelly Tunnel 30"/>
    <x v="7"/>
    <s v="Ottawa"/>
    <s v="Ottawa"/>
    <s v="Kelly Tunnel 30"/>
    <s v="6766"/>
    <s v="+72-423719741"/>
    <x v="0"/>
    <x v="372"/>
    <s v="OK"/>
    <s v="OK"/>
    <s v="OK"/>
    <s v="MATCH"/>
    <x v="1"/>
    <n v="0"/>
    <x v="7"/>
    <x v="3"/>
    <n v="0"/>
    <n v="0"/>
    <x v="1"/>
  </r>
  <r>
    <s v="PROP00453"/>
    <s v="CalgaryNelson Union220, Canada"/>
    <x v="7"/>
    <s v="Calgary"/>
    <s v="Calgary"/>
    <s v="CalgaryNelson Union220"/>
    <s v="48738"/>
    <s v="+38-952764932"/>
    <x v="1"/>
    <x v="255"/>
    <s v="OK"/>
    <s v="OK"/>
    <s v="OK"/>
    <s v="MATCH"/>
    <x v="1"/>
    <n v="0"/>
    <x v="19"/>
    <x v="3"/>
    <n v="0"/>
    <n v="0"/>
    <x v="1"/>
  </r>
  <r>
    <s v="PROP00454"/>
    <s v="GermanyMunichPreston Summit83"/>
    <x v="4"/>
    <s v="Munich"/>
    <s v="Munich"/>
    <s v="GermanyMunichPreston Summit83"/>
    <s v="58138"/>
    <s v="+44-342255043"/>
    <x v="0"/>
    <x v="373"/>
    <s v="OK"/>
    <s v="OK"/>
    <s v="OK"/>
    <s v="MATCH"/>
    <x v="1"/>
    <n v="0"/>
    <x v="10"/>
    <x v="0"/>
    <n v="0"/>
    <n v="0"/>
    <x v="1"/>
  </r>
  <r>
    <s v="PROP00455"/>
    <s v="VancouverMorgan Ferry167, Canada"/>
    <x v="7"/>
    <s v="Vancouver"/>
    <s v="Vancouver"/>
    <s v="VancouverMorgan Ferry167"/>
    <s v="65539"/>
    <s v="+42-509314769"/>
    <x v="1"/>
    <x v="374"/>
    <s v="OK"/>
    <s v="OK"/>
    <s v="OK"/>
    <s v="MATCH"/>
    <x v="1"/>
    <n v="0"/>
    <x v="36"/>
    <x v="1"/>
    <n v="0"/>
    <n v="0"/>
    <x v="1"/>
  </r>
  <r>
    <s v="PROP00456"/>
    <s v="Richardson Union 93, Bordeaux"/>
    <x v="0"/>
    <s v="Bordeaux"/>
    <s v="Bordeaux"/>
    <s v="Richardson Union 93"/>
    <s v="68563"/>
    <s v="+98-974979313"/>
    <x v="0"/>
    <x v="39"/>
    <s v="OK"/>
    <s v="OK"/>
    <s v="OK"/>
    <s v="MATCH"/>
    <x v="1"/>
    <n v="0"/>
    <x v="0"/>
    <x v="1"/>
    <n v="0"/>
    <n v="0"/>
    <x v="1"/>
  </r>
  <r>
    <s v="PROP00457"/>
    <s v="CanadaToronto"/>
    <x v="7"/>
    <s v="Toronto"/>
    <s v="Toronto"/>
    <s v=""/>
    <s v="56141"/>
    <s v="+87-757614648"/>
    <x v="0"/>
    <x v="375"/>
    <s v="MISSING"/>
    <s v="OK"/>
    <s v="OK"/>
    <s v="MATCH"/>
    <x v="0"/>
    <n v="1"/>
    <x v="5"/>
    <x v="0"/>
    <n v="1"/>
    <n v="1"/>
    <x v="0"/>
  </r>
  <r>
    <s v="PROP00458"/>
    <s v="Valencia, Ryan View 53, Spain"/>
    <x v="5"/>
    <s v="Valencia"/>
    <s v="Valencia"/>
    <s v="Ryan View 53"/>
    <s v="24153"/>
    <s v="+29-322663813"/>
    <x v="0"/>
    <x v="119"/>
    <s v="OK"/>
    <s v="OK"/>
    <s v="OK"/>
    <s v="MATCH"/>
    <x v="1"/>
    <n v="0"/>
    <x v="8"/>
    <x v="4"/>
    <n v="0"/>
    <n v="0"/>
    <x v="1"/>
  </r>
  <r>
    <s v="PROP00459"/>
    <s v="Nagoya, Morris Common 254, Japan"/>
    <x v="9"/>
    <s v="Nagoya"/>
    <s v="Nagoya"/>
    <s v="Morris Common 254"/>
    <s v="43482"/>
    <s v="+32-669145934"/>
    <x v="1"/>
    <x v="23"/>
    <s v="OK"/>
    <s v="OK"/>
    <s v="OK"/>
    <s v="MATCH"/>
    <x v="1"/>
    <n v="0"/>
    <x v="16"/>
    <x v="1"/>
    <n v="0"/>
    <n v="0"/>
    <x v="1"/>
  </r>
  <r>
    <s v="PROP00460"/>
    <s v="Germany, Frankfurt, Parker Rapids 70"/>
    <x v="4"/>
    <s v="Frankfurt"/>
    <s v="Frankfurt"/>
    <s v="Parker Rapids 70"/>
    <s v="94566"/>
    <s v="+56-145125978"/>
    <x v="0"/>
    <x v="376"/>
    <s v="OK"/>
    <s v="OK"/>
    <s v="OK"/>
    <s v="MATCH"/>
    <x v="1"/>
    <n v="0"/>
    <x v="16"/>
    <x v="1"/>
    <n v="0"/>
    <n v="0"/>
    <x v="1"/>
  </r>
  <r>
    <s v="PROP00461"/>
    <s v="Sapporo, Jackson Mills 199, Japan"/>
    <x v="9"/>
    <s v="Sapporo"/>
    <s v="Sapporo"/>
    <s v="Jackson Mills 199"/>
    <s v="46578"/>
    <s v="+34-558188661"/>
    <x v="1"/>
    <x v="8"/>
    <s v="OK"/>
    <s v="OK"/>
    <s v="OK"/>
    <s v="MATCH"/>
    <x v="1"/>
    <n v="0"/>
    <x v="5"/>
    <x v="2"/>
    <n v="0"/>
    <n v="0"/>
    <x v="1"/>
  </r>
  <r>
    <s v="PROP00462"/>
    <s v="Williams Ways 19, Vancouver"/>
    <x v="7"/>
    <s v="Vancouver"/>
    <s v="Vancouver"/>
    <s v="Williams Ways 19"/>
    <s v="46711"/>
    <s v="+76-152137537"/>
    <x v="1"/>
    <x v="377"/>
    <s v="OK"/>
    <s v="OK"/>
    <s v="OK"/>
    <s v="MATCH"/>
    <x v="1"/>
    <n v="0"/>
    <x v="18"/>
    <x v="3"/>
    <n v="0"/>
    <n v="0"/>
    <x v="1"/>
  </r>
  <r>
    <s v="PROP00463"/>
    <s v="FranceLyonHill Turnpike103"/>
    <x v="0"/>
    <s v="Lyon"/>
    <s v="Lyon"/>
    <s v="FranceLyonHill Turnpike103"/>
    <s v="8019"/>
    <s v="+85-919107862"/>
    <x v="0"/>
    <x v="378"/>
    <s v="OK"/>
    <s v="OK"/>
    <s v="OK"/>
    <s v="MATCH"/>
    <x v="1"/>
    <n v="0"/>
    <x v="5"/>
    <x v="4"/>
    <n v="0"/>
    <n v="0"/>
    <x v="1"/>
  </r>
  <r>
    <s v="PROP00464"/>
    <s v="Japan, Kyoto"/>
    <x v="9"/>
    <s v="Kyoto"/>
    <s v="Kyoto"/>
    <s v="Kyoto"/>
    <s v="48120"/>
    <s v="+58-508362262"/>
    <x v="0"/>
    <x v="379"/>
    <s v="OK"/>
    <s v="OK"/>
    <s v="OK"/>
    <s v="MATCH"/>
    <x v="1"/>
    <n v="0"/>
    <x v="15"/>
    <x v="2"/>
    <n v="0"/>
    <n v="0"/>
    <x v="1"/>
  </r>
  <r>
    <s v="PROP00465"/>
    <s v="SpainMadrid, Spain"/>
    <x v="5"/>
    <s v="Madrid"/>
    <s v="Madrid"/>
    <s v="Spain"/>
    <s v="80136"/>
    <s v="+46-735711475"/>
    <x v="1"/>
    <x v="380"/>
    <s v="OK"/>
    <s v="OK"/>
    <s v="OK"/>
    <s v="MATCH"/>
    <x v="1"/>
    <n v="0"/>
    <x v="28"/>
    <x v="2"/>
    <n v="0"/>
    <n v="0"/>
    <x v="1"/>
  </r>
  <r>
    <s v="PROP00466"/>
    <s v="Johnson Cliff 203, Brazil, Rio de Janeiro"/>
    <x v="6"/>
    <s v="Rio de Janeiro"/>
    <s v="Rio de Janeiro"/>
    <s v="Johnson Cliff 203"/>
    <s v="31433"/>
    <s v="+13-242170344"/>
    <x v="0"/>
    <x v="187"/>
    <s v="OK"/>
    <s v="OK"/>
    <s v="OK"/>
    <s v="MATCH"/>
    <x v="1"/>
    <n v="0"/>
    <x v="0"/>
    <x v="3"/>
    <n v="0"/>
    <n v="0"/>
    <x v="1"/>
  </r>
  <r>
    <s v="PROP00467"/>
    <s v="Germany, Berlin, Cox Port 212"/>
    <x v="4"/>
    <s v="Berlin"/>
    <s v="Berlin"/>
    <s v="Cox Port 212"/>
    <s v="4745"/>
    <s v="+37-893485880"/>
    <x v="1"/>
    <x v="381"/>
    <s v="OK"/>
    <s v="OK"/>
    <s v="OK"/>
    <s v="MATCH"/>
    <x v="1"/>
    <n v="0"/>
    <x v="8"/>
    <x v="0"/>
    <n v="0"/>
    <n v="0"/>
    <x v="1"/>
  </r>
  <r>
    <s v="PROP00468"/>
    <s v="FortalezaErika Land124, Brazil"/>
    <x v="6"/>
    <s v="Fortaleza"/>
    <s v="Fortaleza"/>
    <s v="FortalezaErika Land124"/>
    <s v="49261"/>
    <s v="+5-419704757"/>
    <x v="1"/>
    <x v="313"/>
    <s v="OK"/>
    <s v="OK"/>
    <s v="OK"/>
    <s v="MATCH"/>
    <x v="1"/>
    <n v="0"/>
    <x v="24"/>
    <x v="2"/>
    <n v="0"/>
    <n v="0"/>
    <x v="1"/>
  </r>
  <r>
    <s v="PROP00469"/>
    <s v="Spain, Madrid"/>
    <x v="5"/>
    <s v="Madrid"/>
    <s v="Madrid"/>
    <s v="Madrid"/>
    <s v="18548"/>
    <s v="+59-183526763"/>
    <x v="1"/>
    <x v="112"/>
    <s v="OK"/>
    <s v="OK"/>
    <s v="OK"/>
    <s v="MATCH"/>
    <x v="1"/>
    <n v="0"/>
    <x v="7"/>
    <x v="3"/>
    <n v="0"/>
    <n v="0"/>
    <x v="1"/>
  </r>
  <r>
    <s v="PROP00470"/>
    <s v="FranceBordeaux"/>
    <x v="0"/>
    <s v="Bordeaux"/>
    <s v="Bordeaux"/>
    <s v=""/>
    <s v="37029"/>
    <s v="+74-321068602"/>
    <x v="1"/>
    <x v="382"/>
    <s v="MISSING"/>
    <s v="OK"/>
    <s v="OK"/>
    <s v="MATCH"/>
    <x v="0"/>
    <n v="1"/>
    <x v="33"/>
    <x v="2"/>
    <n v="1"/>
    <n v="1"/>
    <x v="0"/>
  </r>
  <r>
    <s v="PROP00471"/>
    <s v="FranceToulouse"/>
    <x v="0"/>
    <s v="Toulouse"/>
    <s v="Toulouse"/>
    <s v=""/>
    <s v="96927"/>
    <s v="+63-136193132"/>
    <x v="1"/>
    <x v="383"/>
    <s v="MISSING"/>
    <s v="OK"/>
    <s v="OK"/>
    <s v="MATCH"/>
    <x v="0"/>
    <n v="1"/>
    <x v="4"/>
    <x v="3"/>
    <n v="1"/>
    <n v="1"/>
    <x v="0"/>
  </r>
  <r>
    <s v="PROP00472"/>
    <s v="FortalezaVictor Loaf78, Brazil"/>
    <x v="6"/>
    <s v="Fortaleza"/>
    <s v="Fortaleza"/>
    <s v="FortalezaVictor Loaf78"/>
    <s v="74120"/>
    <s v="+25-415340302"/>
    <x v="1"/>
    <x v="384"/>
    <s v="OK"/>
    <s v="OK"/>
    <s v="OK"/>
    <s v="MATCH"/>
    <x v="1"/>
    <n v="0"/>
    <x v="13"/>
    <x v="2"/>
    <n v="0"/>
    <n v="0"/>
    <x v="1"/>
  </r>
  <r>
    <s v="PROP00473"/>
    <s v="Japan, Kyoto, Jose Green 128"/>
    <x v="9"/>
    <s v="Kyoto"/>
    <s v="Kyoto"/>
    <s v="Jose Green 128"/>
    <s v="92780"/>
    <s v="+78-107362328"/>
    <x v="1"/>
    <x v="174"/>
    <s v="OK"/>
    <s v="OK"/>
    <s v="OK"/>
    <s v="MATCH"/>
    <x v="1"/>
    <n v="0"/>
    <x v="30"/>
    <x v="4"/>
    <n v="0"/>
    <n v="0"/>
    <x v="1"/>
  </r>
  <r>
    <s v="PROP00474"/>
    <s v="Lewis Ridge143, Montreal, Canada"/>
    <x v="7"/>
    <s v="Montreal"/>
    <s v="Montreal"/>
    <s v="Lewis Ridge143"/>
    <s v="37932"/>
    <s v="+79-556631781"/>
    <x v="1"/>
    <x v="385"/>
    <s v="OK"/>
    <s v="OK"/>
    <s v="OK"/>
    <s v="MATCH"/>
    <x v="1"/>
    <n v="0"/>
    <x v="23"/>
    <x v="0"/>
    <n v="0"/>
    <n v="0"/>
    <x v="1"/>
  </r>
  <r>
    <s v="PROP00475"/>
    <s v="Spain, Barcelona, Gonzalez Dale 165"/>
    <x v="5"/>
    <s v="Barcelona"/>
    <s v="Barcelona"/>
    <s v="Gonzalez Dale 165"/>
    <s v="10207"/>
    <s v="+50-933953718"/>
    <x v="0"/>
    <x v="386"/>
    <s v="OK"/>
    <s v="OK"/>
    <s v="OK"/>
    <s v="MATCH"/>
    <x v="1"/>
    <n v="0"/>
    <x v="7"/>
    <x v="3"/>
    <n v="0"/>
    <n v="0"/>
    <x v="1"/>
  </r>
  <r>
    <s v="PROP00476"/>
    <s v="Thompson Station 269, Brazil, São Paulo"/>
    <x v="6"/>
    <s v="São Paulo"/>
    <s v="São Paulo"/>
    <s v="Thompson Station 269"/>
    <s v="58842"/>
    <s v="+31-135111330"/>
    <x v="1"/>
    <x v="387"/>
    <s v="OK"/>
    <s v="OK"/>
    <s v="OK"/>
    <s v="MATCH"/>
    <x v="1"/>
    <n v="0"/>
    <x v="17"/>
    <x v="1"/>
    <n v="0"/>
    <n v="0"/>
    <x v="1"/>
  </r>
  <r>
    <s v="PROP00477"/>
    <s v="FlorenceLisa Vista146, Italy"/>
    <x v="8"/>
    <s v="Florence"/>
    <s v="Florence"/>
    <s v="FlorenceLisa Vista146"/>
    <s v="42390"/>
    <s v="+62-908839833"/>
    <x v="1"/>
    <x v="388"/>
    <s v="OK"/>
    <s v="OK"/>
    <s v="OK"/>
    <s v="MATCH"/>
    <x v="1"/>
    <n v="0"/>
    <x v="22"/>
    <x v="1"/>
    <n v="0"/>
    <n v="0"/>
    <x v="1"/>
  </r>
  <r>
    <s v="PROP00478"/>
    <s v="MunichMckinney Plaza135, Germany"/>
    <x v="4"/>
    <s v="Munich"/>
    <s v="Munich"/>
    <s v="MunichMckinney Plaza135"/>
    <s v="71564"/>
    <s v="+3-611628103"/>
    <x v="0"/>
    <x v="389"/>
    <s v="OK"/>
    <s v="OK"/>
    <s v="OK"/>
    <s v="MATCH"/>
    <x v="1"/>
    <n v="0"/>
    <x v="33"/>
    <x v="4"/>
    <n v="0"/>
    <n v="0"/>
    <x v="1"/>
  </r>
  <r>
    <s v="PROP00479"/>
    <s v="USANew York, USA"/>
    <x v="3"/>
    <s v="New York"/>
    <s v="New York"/>
    <s v="USA"/>
    <s v="21145"/>
    <s v="+49-783942129"/>
    <x v="1"/>
    <x v="390"/>
    <s v="OK"/>
    <s v="OK"/>
    <s v="OK"/>
    <s v="MATCH"/>
    <x v="1"/>
    <n v="0"/>
    <x v="21"/>
    <x v="0"/>
    <n v="0"/>
    <n v="0"/>
    <x v="1"/>
  </r>
  <r>
    <s v="PROP00480"/>
    <s v="LondonLaura Pass238, UK"/>
    <x v="1"/>
    <s v="London"/>
    <s v="London"/>
    <s v="LondonLaura Pass238"/>
    <s v="29892"/>
    <s v="+22-656402692"/>
    <x v="0"/>
    <x v="168"/>
    <s v="OK"/>
    <s v="OK"/>
    <s v="OK"/>
    <s v="MATCH"/>
    <x v="1"/>
    <n v="0"/>
    <x v="4"/>
    <x v="1"/>
    <n v="0"/>
    <n v="0"/>
    <x v="1"/>
  </r>
  <r>
    <s v="PROP00481"/>
    <s v="Tracie Turnpike298, Munich, Germany"/>
    <x v="4"/>
    <s v="Munich"/>
    <s v="Munich"/>
    <s v="Tracie Turnpike298"/>
    <s v="18703"/>
    <s v="+31-421010856"/>
    <x v="1"/>
    <x v="391"/>
    <s v="OK"/>
    <s v="OK"/>
    <s v="OK"/>
    <s v="MATCH"/>
    <x v="1"/>
    <n v="0"/>
    <x v="14"/>
    <x v="1"/>
    <n v="0"/>
    <n v="0"/>
    <x v="1"/>
  </r>
  <r>
    <s v="PROP00482"/>
    <s v="FranceParisKristy Burg137"/>
    <x v="0"/>
    <s v="Paris"/>
    <s v="Paris"/>
    <s v="FranceParisKristy Burg137"/>
    <s v="47804"/>
    <s v="+31-368100660"/>
    <x v="1"/>
    <x v="392"/>
    <s v="OK"/>
    <s v="OK"/>
    <s v="OK"/>
    <s v="MATCH"/>
    <x v="1"/>
    <n v="0"/>
    <x v="36"/>
    <x v="4"/>
    <n v="0"/>
    <n v="0"/>
    <x v="1"/>
  </r>
  <r>
    <s v="PROP00483"/>
    <s v="Hamburg, Mcdonald Plaza 82, Germany"/>
    <x v="4"/>
    <s v="Hamburg"/>
    <s v="Hamburg"/>
    <s v="Mcdonald Plaza 82"/>
    <s v="17510"/>
    <s v="+70-542057882"/>
    <x v="0"/>
    <x v="346"/>
    <s v="OK"/>
    <s v="OK"/>
    <s v="OK"/>
    <s v="MATCH"/>
    <x v="1"/>
    <n v="0"/>
    <x v="1"/>
    <x v="0"/>
    <n v="0"/>
    <n v="0"/>
    <x v="1"/>
  </r>
  <r>
    <s v="PROP00484"/>
    <s v="UKBirminghamCameron Locks172"/>
    <x v="1"/>
    <s v="Birmingham"/>
    <s v="Birmingham"/>
    <s v="UKBirminghamCameron Locks172"/>
    <s v="94470"/>
    <s v="+99-542938193"/>
    <x v="0"/>
    <x v="393"/>
    <s v="OK"/>
    <s v="OK"/>
    <s v="OK"/>
    <s v="MATCH"/>
    <x v="1"/>
    <n v="0"/>
    <x v="21"/>
    <x v="2"/>
    <n v="0"/>
    <n v="0"/>
    <x v="1"/>
  </r>
  <r>
    <s v="PROP00485"/>
    <s v="LeedsFox Trafficway256, UK"/>
    <x v="1"/>
    <s v="Leeds"/>
    <s v="Leeds"/>
    <s v="LeedsFox Trafficway256"/>
    <s v="54166"/>
    <s v="+20-793213048"/>
    <x v="1"/>
    <x v="394"/>
    <s v="OK"/>
    <s v="OK"/>
    <s v="OK"/>
    <s v="MATCH"/>
    <x v="1"/>
    <n v="0"/>
    <x v="1"/>
    <x v="2"/>
    <n v="0"/>
    <n v="0"/>
    <x v="1"/>
  </r>
  <r>
    <s v="PROP00486"/>
    <s v="BrazilRio de JaneiroDavid Island268"/>
    <x v="6"/>
    <s v="Rio de Janeiro"/>
    <s v="Rio de Janeiro"/>
    <s v="BrazilRio de JaneiroDavid Island268"/>
    <s v="84693"/>
    <s v="+57-413768767"/>
    <x v="0"/>
    <x v="395"/>
    <s v="OK"/>
    <s v="OK"/>
    <s v="OK"/>
    <s v="MATCH"/>
    <x v="1"/>
    <n v="0"/>
    <x v="33"/>
    <x v="4"/>
    <n v="0"/>
    <n v="0"/>
    <x v="1"/>
  </r>
  <r>
    <s v="PROP00487"/>
    <s v="CanadaOttawa"/>
    <x v="7"/>
    <s v="Ottawa"/>
    <s v="Ottawa"/>
    <s v=""/>
    <s v="68312"/>
    <s v="+88-600277540"/>
    <x v="0"/>
    <x v="396"/>
    <s v="MISSING"/>
    <s v="OK"/>
    <s v="OK"/>
    <s v="MATCH"/>
    <x v="0"/>
    <n v="1"/>
    <x v="13"/>
    <x v="0"/>
    <n v="1"/>
    <n v="1"/>
    <x v="0"/>
  </r>
  <r>
    <s v="PROP00488"/>
    <s v="JapanKyoto"/>
    <x v="9"/>
    <s v="Kyoto"/>
    <s v="Kyoto"/>
    <s v=""/>
    <s v="72761"/>
    <s v="+15-137098483"/>
    <x v="0"/>
    <x v="11"/>
    <s v="MISSING"/>
    <s v="OK"/>
    <s v="OK"/>
    <s v="MATCH"/>
    <x v="0"/>
    <n v="1"/>
    <x v="8"/>
    <x v="2"/>
    <n v="1"/>
    <n v="1"/>
    <x v="0"/>
  </r>
  <r>
    <s v="PROP00489"/>
    <s v="Spain, Seville, Katrina Curve 179"/>
    <x v="5"/>
    <s v="Seville"/>
    <s v="Seville"/>
    <s v="Katrina Curve 179"/>
    <s v="57205"/>
    <s v="+56-258676327"/>
    <x v="1"/>
    <x v="397"/>
    <s v="OK"/>
    <s v="OK"/>
    <s v="OK"/>
    <s v="MATCH"/>
    <x v="1"/>
    <n v="0"/>
    <x v="21"/>
    <x v="4"/>
    <n v="0"/>
    <n v="0"/>
    <x v="1"/>
  </r>
  <r>
    <s v="PROP00490"/>
    <s v="Marie Path 275, Florence"/>
    <x v="8"/>
    <s v="Florence"/>
    <s v="Florence"/>
    <s v="Marie Path 275"/>
    <s v="20557"/>
    <s v="+1-689826228"/>
    <x v="0"/>
    <x v="398"/>
    <s v="OK"/>
    <s v="OK"/>
    <s v="OK"/>
    <s v="MATCH"/>
    <x v="1"/>
    <n v="0"/>
    <x v="26"/>
    <x v="0"/>
    <n v="0"/>
    <n v="0"/>
    <x v="1"/>
  </r>
  <r>
    <s v="PROP00491"/>
    <s v="Martin Islands 88, USA, Chicago"/>
    <x v="3"/>
    <s v="Chicago"/>
    <s v="Chicago"/>
    <s v="Martin Islands 88"/>
    <s v="93474"/>
    <s v="+64-641427445"/>
    <x v="1"/>
    <x v="110"/>
    <s v="OK"/>
    <s v="OK"/>
    <s v="OK"/>
    <s v="MATCH"/>
    <x v="1"/>
    <n v="0"/>
    <x v="8"/>
    <x v="0"/>
    <n v="0"/>
    <n v="0"/>
    <x v="1"/>
  </r>
  <r>
    <s v="PROP00492"/>
    <s v="Michael Path277, Munich, Germany"/>
    <x v="4"/>
    <s v="Munich"/>
    <s v="Munich"/>
    <s v="Michael Path277"/>
    <s v="37731"/>
    <s v="+79-245424115"/>
    <x v="1"/>
    <x v="318"/>
    <s v="OK"/>
    <s v="OK"/>
    <s v="OK"/>
    <s v="MATCH"/>
    <x v="1"/>
    <n v="0"/>
    <x v="4"/>
    <x v="1"/>
    <n v="0"/>
    <n v="0"/>
    <x v="1"/>
  </r>
  <r>
    <s v="PROP00493"/>
    <s v="Japan, Sapporo, John Roads 93"/>
    <x v="9"/>
    <s v="Sapporo"/>
    <s v="Sapporo"/>
    <s v="John Roads 93"/>
    <s v="72700"/>
    <s v="+32-613617777"/>
    <x v="1"/>
    <x v="154"/>
    <s v="OK"/>
    <s v="OK"/>
    <s v="OK"/>
    <s v="MATCH"/>
    <x v="1"/>
    <n v="0"/>
    <x v="5"/>
    <x v="0"/>
    <n v="0"/>
    <n v="0"/>
    <x v="1"/>
  </r>
  <r>
    <s v="PROP00494"/>
    <s v="GermanyHamburg"/>
    <x v="4"/>
    <s v="Hamburg"/>
    <s v="Hamburg"/>
    <s v=""/>
    <s v="81035"/>
    <s v="+74-973035711"/>
    <x v="1"/>
    <x v="309"/>
    <s v="MISSING"/>
    <s v="OK"/>
    <s v="OK"/>
    <s v="MATCH"/>
    <x v="0"/>
    <n v="1"/>
    <x v="23"/>
    <x v="0"/>
    <n v="1"/>
    <n v="1"/>
    <x v="0"/>
  </r>
  <r>
    <s v="PROP00495"/>
    <s v="GermanyMunich"/>
    <x v="4"/>
    <s v="Munich"/>
    <s v="Munich"/>
    <s v=""/>
    <s v="78070"/>
    <s v="+11-581262173"/>
    <x v="0"/>
    <x v="157"/>
    <s v="MISSING"/>
    <s v="OK"/>
    <s v="OK"/>
    <s v="MATCH"/>
    <x v="0"/>
    <n v="1"/>
    <x v="20"/>
    <x v="0"/>
    <n v="1"/>
    <n v="1"/>
    <x v="0"/>
  </r>
  <r>
    <s v="PROP00496"/>
    <s v="ItalyFlorence, Italy"/>
    <x v="8"/>
    <s v="Florence"/>
    <s v="Florence"/>
    <s v="Italy"/>
    <s v="94955"/>
    <s v="+61-452777680"/>
    <x v="0"/>
    <x v="399"/>
    <s v="OK"/>
    <s v="OK"/>
    <s v="OK"/>
    <s v="MATCH"/>
    <x v="1"/>
    <n v="0"/>
    <x v="11"/>
    <x v="0"/>
    <n v="0"/>
    <n v="0"/>
    <x v="1"/>
  </r>
  <r>
    <s v="PROP00497"/>
    <s v="Kirby Port 64, Canada, Toronto"/>
    <x v="7"/>
    <s v="Toronto"/>
    <s v="Toronto"/>
    <s v="Kirby Port 64"/>
    <s v="5900"/>
    <s v="+71-713556722"/>
    <x v="1"/>
    <x v="400"/>
    <s v="OK"/>
    <s v="OK"/>
    <s v="OK"/>
    <s v="MATCH"/>
    <x v="1"/>
    <n v="0"/>
    <x v="12"/>
    <x v="4"/>
    <n v="0"/>
    <n v="0"/>
    <x v="1"/>
  </r>
  <r>
    <s v="PROP00498"/>
    <s v="UKBirmingham, UK"/>
    <x v="1"/>
    <s v="Birmingham"/>
    <s v="Birmingham"/>
    <s v="UK"/>
    <s v="76099"/>
    <s v="+81-776741061"/>
    <x v="0"/>
    <x v="401"/>
    <s v="OK"/>
    <s v="OK"/>
    <s v="OK"/>
    <s v="MATCH"/>
    <x v="1"/>
    <n v="0"/>
    <x v="13"/>
    <x v="4"/>
    <n v="0"/>
    <n v="0"/>
    <x v="1"/>
  </r>
  <r>
    <s v="PROP00499"/>
    <s v="Curtis Trafficway 43, Phoenix"/>
    <x v="3"/>
    <s v="Phoenix"/>
    <s v="Phoenix"/>
    <s v="Curtis Trafficway 43"/>
    <s v="75492"/>
    <s v="+91-483475848"/>
    <x v="0"/>
    <x v="402"/>
    <s v="OK"/>
    <s v="OK"/>
    <s v="OK"/>
    <s v="MATCH"/>
    <x v="1"/>
    <n v="0"/>
    <x v="18"/>
    <x v="2"/>
    <n v="0"/>
    <n v="0"/>
    <x v="1"/>
  </r>
  <r>
    <s v="PROP00500"/>
    <s v="Montgomery Burgs146, Adelaide, Australia"/>
    <x v="2"/>
    <s v="Adelaide"/>
    <s v="Adelaide"/>
    <s v="Montgomery Burgs146"/>
    <s v="65779"/>
    <s v="+21-283047445"/>
    <x v="1"/>
    <x v="403"/>
    <s v="OK"/>
    <s v="OK"/>
    <s v="OK"/>
    <s v="MATCH"/>
    <x v="1"/>
    <n v="0"/>
    <x v="36"/>
    <x v="1"/>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08526-9319-4755-AD2E-CC16438ABF67}"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B13" firstHeaderRow="1" firstDataRow="1" firstDataCol="1"/>
  <pivotFields count="21">
    <pivotField showAll="0"/>
    <pivotField showAll="0"/>
    <pivotField axis="axisRow" showAll="0" measureFilter="1" sortType="descending">
      <items count="11">
        <item x="2"/>
        <item x="6"/>
        <item x="7"/>
        <item x="0"/>
        <item x="4"/>
        <item x="8"/>
        <item x="9"/>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numFmtId="14" showAll="0">
      <items count="405">
        <item x="207"/>
        <item x="47"/>
        <item x="398"/>
        <item x="372"/>
        <item x="71"/>
        <item x="169"/>
        <item x="228"/>
        <item x="245"/>
        <item x="386"/>
        <item x="348"/>
        <item x="171"/>
        <item x="240"/>
        <item x="287"/>
        <item x="10"/>
        <item x="112"/>
        <item x="132"/>
        <item x="376"/>
        <item x="94"/>
        <item x="23"/>
        <item x="64"/>
        <item x="219"/>
        <item x="324"/>
        <item x="227"/>
        <item x="90"/>
        <item x="310"/>
        <item x="314"/>
        <item x="296"/>
        <item x="365"/>
        <item x="78"/>
        <item x="7"/>
        <item x="4"/>
        <item x="242"/>
        <item x="357"/>
        <item x="328"/>
        <item x="123"/>
        <item x="302"/>
        <item x="200"/>
        <item x="380"/>
        <item x="111"/>
        <item x="50"/>
        <item x="183"/>
        <item x="139"/>
        <item x="66"/>
        <item x="93"/>
        <item x="269"/>
        <item x="58"/>
        <item x="40"/>
        <item x="321"/>
        <item x="385"/>
        <item x="88"/>
        <item x="309"/>
        <item x="339"/>
        <item x="103"/>
        <item x="191"/>
        <item x="313"/>
        <item x="354"/>
        <item x="55"/>
        <item x="233"/>
        <item x="147"/>
        <item x="311"/>
        <item x="265"/>
        <item x="301"/>
        <item x="224"/>
        <item x="41"/>
        <item x="235"/>
        <item x="271"/>
        <item x="195"/>
        <item x="362"/>
        <item x="5"/>
        <item x="318"/>
        <item x="383"/>
        <item x="244"/>
        <item x="197"/>
        <item x="190"/>
        <item x="239"/>
        <item x="168"/>
        <item x="282"/>
        <item x="237"/>
        <item x="253"/>
        <item x="294"/>
        <item x="104"/>
        <item x="75"/>
        <item x="221"/>
        <item x="161"/>
        <item x="157"/>
        <item x="335"/>
        <item x="299"/>
        <item x="32"/>
        <item x="284"/>
        <item x="117"/>
        <item x="166"/>
        <item x="122"/>
        <item x="226"/>
        <item x="370"/>
        <item x="254"/>
        <item x="344"/>
        <item x="329"/>
        <item x="275"/>
        <item x="107"/>
        <item x="152"/>
        <item x="397"/>
        <item x="393"/>
        <item x="34"/>
        <item x="59"/>
        <item x="143"/>
        <item x="390"/>
        <item x="298"/>
        <item x="177"/>
        <item x="98"/>
        <item x="19"/>
        <item x="30"/>
        <item x="199"/>
        <item x="167"/>
        <item x="384"/>
        <item x="396"/>
        <item x="251"/>
        <item x="225"/>
        <item x="35"/>
        <item x="401"/>
        <item x="185"/>
        <item x="134"/>
        <item x="61"/>
        <item x="97"/>
        <item x="31"/>
        <item x="121"/>
        <item x="326"/>
        <item x="194"/>
        <item x="188"/>
        <item x="211"/>
        <item x="52"/>
        <item x="6"/>
        <item x="1"/>
        <item x="346"/>
        <item x="212"/>
        <item x="394"/>
        <item x="136"/>
        <item x="153"/>
        <item x="293"/>
        <item x="124"/>
        <item x="44"/>
        <item x="2"/>
        <item x="285"/>
        <item x="288"/>
        <item x="114"/>
        <item x="356"/>
        <item x="232"/>
        <item x="102"/>
        <item x="281"/>
        <item x="198"/>
        <item x="46"/>
        <item x="156"/>
        <item x="260"/>
        <item x="203"/>
        <item x="358"/>
        <item x="155"/>
        <item x="238"/>
        <item x="250"/>
        <item x="138"/>
        <item x="91"/>
        <item x="246"/>
        <item x="149"/>
        <item x="26"/>
        <item x="164"/>
        <item x="267"/>
        <item x="38"/>
        <item x="13"/>
        <item x="243"/>
        <item x="14"/>
        <item x="148"/>
        <item x="373"/>
        <item x="359"/>
        <item x="336"/>
        <item x="320"/>
        <item x="353"/>
        <item x="118"/>
        <item x="289"/>
        <item x="144"/>
        <item x="131"/>
        <item x="290"/>
        <item x="334"/>
        <item x="145"/>
        <item x="79"/>
        <item x="68"/>
        <item x="127"/>
        <item x="126"/>
        <item x="306"/>
        <item x="113"/>
        <item x="3"/>
        <item x="180"/>
        <item x="248"/>
        <item x="151"/>
        <item x="142"/>
        <item x="210"/>
        <item x="186"/>
        <item x="400"/>
        <item x="331"/>
        <item x="105"/>
        <item x="231"/>
        <item x="18"/>
        <item x="150"/>
        <item x="51"/>
        <item x="257"/>
        <item x="95"/>
        <item x="72"/>
        <item x="137"/>
        <item x="42"/>
        <item x="12"/>
        <item x="25"/>
        <item x="352"/>
        <item x="181"/>
        <item x="300"/>
        <item x="165"/>
        <item x="272"/>
        <item x="0"/>
        <item x="141"/>
        <item x="236"/>
        <item x="57"/>
        <item x="333"/>
        <item x="350"/>
        <item x="16"/>
        <item x="76"/>
        <item x="234"/>
        <item x="187"/>
        <item x="159"/>
        <item x="39"/>
        <item x="92"/>
        <item x="330"/>
        <item x="116"/>
        <item x="209"/>
        <item x="249"/>
        <item x="86"/>
        <item x="340"/>
        <item x="280"/>
        <item x="170"/>
        <item x="360"/>
        <item x="176"/>
        <item x="74"/>
        <item x="56"/>
        <item x="371"/>
        <item x="85"/>
        <item x="395"/>
        <item x="206"/>
        <item x="382"/>
        <item x="135"/>
        <item x="279"/>
        <item x="87"/>
        <item x="270"/>
        <item x="389"/>
        <item x="172"/>
        <item x="69"/>
        <item x="316"/>
        <item x="8"/>
        <item x="337"/>
        <item x="278"/>
        <item x="264"/>
        <item x="99"/>
        <item x="154"/>
        <item x="378"/>
        <item x="273"/>
        <item x="268"/>
        <item x="73"/>
        <item x="20"/>
        <item x="375"/>
        <item x="229"/>
        <item x="241"/>
        <item x="247"/>
        <item x="179"/>
        <item x="374"/>
        <item x="392"/>
        <item x="403"/>
        <item x="317"/>
        <item x="83"/>
        <item x="36"/>
        <item x="364"/>
        <item x="388"/>
        <item x="283"/>
        <item x="120"/>
        <item x="133"/>
        <item x="33"/>
        <item x="193"/>
        <item x="62"/>
        <item x="24"/>
        <item x="338"/>
        <item x="387"/>
        <item x="208"/>
        <item x="53"/>
        <item x="163"/>
        <item x="220"/>
        <item x="312"/>
        <item x="108"/>
        <item x="327"/>
        <item x="130"/>
        <item x="368"/>
        <item x="295"/>
        <item x="274"/>
        <item x="67"/>
        <item x="303"/>
        <item x="259"/>
        <item x="205"/>
        <item x="82"/>
        <item x="196"/>
        <item x="182"/>
        <item x="277"/>
        <item x="347"/>
        <item x="379"/>
        <item x="266"/>
        <item x="263"/>
        <item x="322"/>
        <item x="213"/>
        <item x="189"/>
        <item x="160"/>
        <item x="43"/>
        <item x="22"/>
        <item x="77"/>
        <item x="146"/>
        <item x="291"/>
        <item x="297"/>
        <item x="45"/>
        <item x="367"/>
        <item x="216"/>
        <item x="63"/>
        <item x="28"/>
        <item x="9"/>
        <item x="323"/>
        <item x="15"/>
        <item x="84"/>
        <item x="48"/>
        <item x="109"/>
        <item x="81"/>
        <item x="162"/>
        <item x="100"/>
        <item x="101"/>
        <item x="369"/>
        <item x="115"/>
        <item x="355"/>
        <item x="399"/>
        <item x="351"/>
        <item x="276"/>
        <item x="366"/>
        <item x="54"/>
        <item x="158"/>
        <item x="345"/>
        <item x="175"/>
        <item x="204"/>
        <item x="17"/>
        <item x="202"/>
        <item x="402"/>
        <item x="223"/>
        <item x="377"/>
        <item x="319"/>
        <item x="192"/>
        <item x="60"/>
        <item x="332"/>
        <item x="27"/>
        <item x="96"/>
        <item x="307"/>
        <item x="261"/>
        <item x="252"/>
        <item x="343"/>
        <item x="174"/>
        <item x="128"/>
        <item x="65"/>
        <item x="315"/>
        <item x="70"/>
        <item x="308"/>
        <item x="256"/>
        <item x="217"/>
        <item x="363"/>
        <item x="215"/>
        <item x="349"/>
        <item x="29"/>
        <item x="89"/>
        <item x="178"/>
        <item x="184"/>
        <item x="218"/>
        <item x="230"/>
        <item x="173"/>
        <item x="255"/>
        <item x="201"/>
        <item x="361"/>
        <item x="262"/>
        <item x="129"/>
        <item x="140"/>
        <item x="305"/>
        <item x="37"/>
        <item x="258"/>
        <item x="11"/>
        <item x="304"/>
        <item x="80"/>
        <item x="106"/>
        <item x="119"/>
        <item x="110"/>
        <item x="49"/>
        <item x="381"/>
        <item x="391"/>
        <item x="292"/>
        <item x="21"/>
        <item x="325"/>
        <item x="341"/>
        <item x="214"/>
        <item x="342"/>
        <item x="125"/>
        <item x="286"/>
        <item x="222"/>
        <item t="default"/>
      </items>
    </pivotField>
    <pivotField showAll="0"/>
    <pivotField showAll="0"/>
    <pivotField showAll="0"/>
    <pivotField showAll="0"/>
    <pivotField showAll="0"/>
    <pivotField showAll="0"/>
    <pivotField showAll="0">
      <items count="38">
        <item x="26"/>
        <item x="7"/>
        <item x="16"/>
        <item x="3"/>
        <item x="28"/>
        <item x="23"/>
        <item x="24"/>
        <item x="4"/>
        <item x="20"/>
        <item x="35"/>
        <item x="21"/>
        <item x="13"/>
        <item x="1"/>
        <item x="25"/>
        <item x="34"/>
        <item x="10"/>
        <item x="32"/>
        <item x="2"/>
        <item x="12"/>
        <item x="9"/>
        <item x="0"/>
        <item x="29"/>
        <item x="33"/>
        <item x="5"/>
        <item x="36"/>
        <item x="22"/>
        <item x="17"/>
        <item x="31"/>
        <item x="15"/>
        <item x="6"/>
        <item x="27"/>
        <item x="11"/>
        <item x="18"/>
        <item x="30"/>
        <item x="19"/>
        <item x="8"/>
        <item x="14"/>
        <item t="default"/>
      </items>
    </pivotField>
    <pivotField showAll="0">
      <items count="6">
        <item x="2"/>
        <item x="1"/>
        <item x="3"/>
        <item x="4"/>
        <item x="0"/>
        <item t="default"/>
      </items>
    </pivotField>
    <pivotField dataField="1" showAll="0"/>
    <pivotField showAll="0"/>
    <pivotField showAll="0"/>
  </pivotFields>
  <rowFields count="1">
    <field x="2"/>
  </rowFields>
  <rowItems count="11">
    <i>
      <x v="3"/>
    </i>
    <i>
      <x v="2"/>
    </i>
    <i>
      <x/>
    </i>
    <i>
      <x v="4"/>
    </i>
    <i>
      <x v="5"/>
    </i>
    <i>
      <x v="8"/>
    </i>
    <i>
      <x v="6"/>
    </i>
    <i>
      <x v="9"/>
    </i>
    <i>
      <x v="7"/>
    </i>
    <i>
      <x v="1"/>
    </i>
    <i t="grand">
      <x/>
    </i>
  </rowItems>
  <colItems count="1">
    <i/>
  </colItems>
  <dataFields count="1">
    <dataField name="Sum of IsError"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dateBetween" evalOrder="-1" id="33" name="Updated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903A1-36F1-4AD0-A2B0-D46438E32357}"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B4" firstHeaderRow="1" firstDataRow="1" firstDataCol="1"/>
  <pivotFields count="21">
    <pivotField showAll="0"/>
    <pivotField showAll="0"/>
    <pivotField showAll="0">
      <items count="11">
        <item x="2"/>
        <item x="6"/>
        <item x="7"/>
        <item x="0"/>
        <item x="4"/>
        <item x="8"/>
        <item x="9"/>
        <item x="5"/>
        <item x="1"/>
        <item x="3"/>
        <item t="default"/>
      </items>
    </pivotField>
    <pivotField showAll="0"/>
    <pivotField showAll="0"/>
    <pivotField showAll="0"/>
    <pivotField showAll="0"/>
    <pivotField showAll="0"/>
    <pivotField showAll="0">
      <items count="3">
        <item x="0"/>
        <item x="1"/>
        <item t="default"/>
      </items>
    </pivotField>
    <pivotField numFmtId="14" showAll="0">
      <items count="405">
        <item x="207"/>
        <item x="47"/>
        <item x="398"/>
        <item x="372"/>
        <item x="71"/>
        <item x="169"/>
        <item x="228"/>
        <item x="245"/>
        <item x="386"/>
        <item x="348"/>
        <item x="171"/>
        <item x="240"/>
        <item x="287"/>
        <item x="10"/>
        <item x="112"/>
        <item x="132"/>
        <item x="376"/>
        <item x="94"/>
        <item x="23"/>
        <item x="64"/>
        <item x="219"/>
        <item x="324"/>
        <item x="227"/>
        <item x="90"/>
        <item x="310"/>
        <item x="314"/>
        <item x="296"/>
        <item x="365"/>
        <item x="78"/>
        <item x="7"/>
        <item x="4"/>
        <item x="242"/>
        <item x="357"/>
        <item x="328"/>
        <item x="123"/>
        <item x="302"/>
        <item x="200"/>
        <item x="380"/>
        <item x="111"/>
        <item x="50"/>
        <item x="183"/>
        <item x="139"/>
        <item x="66"/>
        <item x="93"/>
        <item x="269"/>
        <item x="58"/>
        <item x="40"/>
        <item x="321"/>
        <item x="385"/>
        <item x="88"/>
        <item x="309"/>
        <item x="339"/>
        <item x="103"/>
        <item x="191"/>
        <item x="313"/>
        <item x="354"/>
        <item x="55"/>
        <item x="233"/>
        <item x="147"/>
        <item x="311"/>
        <item x="265"/>
        <item x="301"/>
        <item x="224"/>
        <item x="41"/>
        <item x="235"/>
        <item x="271"/>
        <item x="195"/>
        <item x="362"/>
        <item x="5"/>
        <item x="318"/>
        <item x="383"/>
        <item x="244"/>
        <item x="197"/>
        <item x="190"/>
        <item x="239"/>
        <item x="168"/>
        <item x="282"/>
        <item x="237"/>
        <item x="253"/>
        <item x="294"/>
        <item x="104"/>
        <item x="75"/>
        <item x="221"/>
        <item x="161"/>
        <item x="157"/>
        <item x="335"/>
        <item x="299"/>
        <item x="32"/>
        <item x="284"/>
        <item x="117"/>
        <item x="166"/>
        <item x="122"/>
        <item x="226"/>
        <item x="370"/>
        <item x="254"/>
        <item x="344"/>
        <item x="329"/>
        <item x="275"/>
        <item x="107"/>
        <item x="152"/>
        <item x="397"/>
        <item x="393"/>
        <item x="34"/>
        <item x="59"/>
        <item x="143"/>
        <item x="390"/>
        <item x="298"/>
        <item x="177"/>
        <item x="98"/>
        <item x="19"/>
        <item x="30"/>
        <item x="199"/>
        <item x="167"/>
        <item x="384"/>
        <item x="396"/>
        <item x="251"/>
        <item x="225"/>
        <item x="35"/>
        <item x="401"/>
        <item x="185"/>
        <item x="134"/>
        <item x="61"/>
        <item x="97"/>
        <item x="31"/>
        <item x="121"/>
        <item x="326"/>
        <item x="194"/>
        <item x="188"/>
        <item x="211"/>
        <item x="52"/>
        <item x="6"/>
        <item x="1"/>
        <item x="346"/>
        <item x="212"/>
        <item x="394"/>
        <item x="136"/>
        <item x="153"/>
        <item x="293"/>
        <item x="124"/>
        <item x="44"/>
        <item x="2"/>
        <item x="285"/>
        <item x="288"/>
        <item x="114"/>
        <item x="356"/>
        <item x="232"/>
        <item x="102"/>
        <item x="281"/>
        <item x="198"/>
        <item x="46"/>
        <item x="156"/>
        <item x="260"/>
        <item x="203"/>
        <item x="358"/>
        <item x="155"/>
        <item x="238"/>
        <item x="250"/>
        <item x="138"/>
        <item x="91"/>
        <item x="246"/>
        <item x="149"/>
        <item x="26"/>
        <item x="164"/>
        <item x="267"/>
        <item x="38"/>
        <item x="13"/>
        <item x="243"/>
        <item x="14"/>
        <item x="148"/>
        <item x="373"/>
        <item x="359"/>
        <item x="336"/>
        <item x="320"/>
        <item x="353"/>
        <item x="118"/>
        <item x="289"/>
        <item x="144"/>
        <item x="131"/>
        <item x="290"/>
        <item x="334"/>
        <item x="145"/>
        <item x="79"/>
        <item x="68"/>
        <item x="127"/>
        <item x="126"/>
        <item x="306"/>
        <item x="113"/>
        <item x="3"/>
        <item x="180"/>
        <item x="248"/>
        <item x="151"/>
        <item x="142"/>
        <item x="210"/>
        <item x="186"/>
        <item x="400"/>
        <item x="331"/>
        <item x="105"/>
        <item x="231"/>
        <item x="18"/>
        <item x="150"/>
        <item x="51"/>
        <item x="257"/>
        <item x="95"/>
        <item x="72"/>
        <item x="137"/>
        <item x="42"/>
        <item x="12"/>
        <item x="25"/>
        <item x="352"/>
        <item x="181"/>
        <item x="300"/>
        <item x="165"/>
        <item x="272"/>
        <item x="0"/>
        <item x="141"/>
        <item x="236"/>
        <item x="57"/>
        <item x="333"/>
        <item x="350"/>
        <item x="16"/>
        <item x="76"/>
        <item x="234"/>
        <item x="187"/>
        <item x="159"/>
        <item x="39"/>
        <item x="92"/>
        <item x="330"/>
        <item x="116"/>
        <item x="209"/>
        <item x="249"/>
        <item x="86"/>
        <item x="340"/>
        <item x="280"/>
        <item x="170"/>
        <item x="360"/>
        <item x="176"/>
        <item x="74"/>
        <item x="56"/>
        <item x="371"/>
        <item x="85"/>
        <item x="395"/>
        <item x="206"/>
        <item x="382"/>
        <item x="135"/>
        <item x="279"/>
        <item x="87"/>
        <item x="270"/>
        <item x="389"/>
        <item x="172"/>
        <item x="69"/>
        <item x="316"/>
        <item x="8"/>
        <item x="337"/>
        <item x="278"/>
        <item x="264"/>
        <item x="99"/>
        <item x="154"/>
        <item x="378"/>
        <item x="273"/>
        <item x="268"/>
        <item x="73"/>
        <item x="20"/>
        <item x="375"/>
        <item x="229"/>
        <item x="241"/>
        <item x="247"/>
        <item x="179"/>
        <item x="374"/>
        <item x="392"/>
        <item x="403"/>
        <item x="317"/>
        <item x="83"/>
        <item x="36"/>
        <item x="364"/>
        <item x="388"/>
        <item x="283"/>
        <item x="120"/>
        <item x="133"/>
        <item x="33"/>
        <item x="193"/>
        <item x="62"/>
        <item x="24"/>
        <item x="338"/>
        <item x="387"/>
        <item x="208"/>
        <item x="53"/>
        <item x="163"/>
        <item x="220"/>
        <item x="312"/>
        <item x="108"/>
        <item x="327"/>
        <item x="130"/>
        <item x="368"/>
        <item x="295"/>
        <item x="274"/>
        <item x="67"/>
        <item x="303"/>
        <item x="259"/>
        <item x="205"/>
        <item x="82"/>
        <item x="196"/>
        <item x="182"/>
        <item x="277"/>
        <item x="347"/>
        <item x="379"/>
        <item x="266"/>
        <item x="263"/>
        <item x="322"/>
        <item x="213"/>
        <item x="189"/>
        <item x="160"/>
        <item x="43"/>
        <item x="22"/>
        <item x="77"/>
        <item x="146"/>
        <item x="291"/>
        <item x="297"/>
        <item x="45"/>
        <item x="367"/>
        <item x="216"/>
        <item x="63"/>
        <item x="28"/>
        <item x="9"/>
        <item x="323"/>
        <item x="15"/>
        <item x="84"/>
        <item x="48"/>
        <item x="109"/>
        <item x="81"/>
        <item x="162"/>
        <item x="100"/>
        <item x="101"/>
        <item x="369"/>
        <item x="115"/>
        <item x="355"/>
        <item x="399"/>
        <item x="351"/>
        <item x="276"/>
        <item x="366"/>
        <item x="54"/>
        <item x="158"/>
        <item x="345"/>
        <item x="175"/>
        <item x="204"/>
        <item x="17"/>
        <item x="202"/>
        <item x="402"/>
        <item x="223"/>
        <item x="377"/>
        <item x="319"/>
        <item x="192"/>
        <item x="60"/>
        <item x="332"/>
        <item x="27"/>
        <item x="96"/>
        <item x="307"/>
        <item x="261"/>
        <item x="252"/>
        <item x="343"/>
        <item x="174"/>
        <item x="128"/>
        <item x="65"/>
        <item x="315"/>
        <item x="70"/>
        <item x="308"/>
        <item x="256"/>
        <item x="217"/>
        <item x="363"/>
        <item x="215"/>
        <item x="349"/>
        <item x="29"/>
        <item x="89"/>
        <item x="178"/>
        <item x="184"/>
        <item x="218"/>
        <item x="230"/>
        <item x="173"/>
        <item x="255"/>
        <item x="201"/>
        <item x="361"/>
        <item x="262"/>
        <item x="129"/>
        <item x="140"/>
        <item x="305"/>
        <item x="37"/>
        <item x="258"/>
        <item x="11"/>
        <item x="304"/>
        <item x="80"/>
        <item x="106"/>
        <item x="119"/>
        <item x="110"/>
        <item x="49"/>
        <item x="381"/>
        <item x="391"/>
        <item x="292"/>
        <item x="21"/>
        <item x="325"/>
        <item x="341"/>
        <item x="214"/>
        <item x="342"/>
        <item x="125"/>
        <item x="286"/>
        <item x="222"/>
        <item t="default"/>
      </items>
    </pivotField>
    <pivotField showAll="0"/>
    <pivotField showAll="0"/>
    <pivotField showAll="0"/>
    <pivotField showAll="0"/>
    <pivotField showAll="0"/>
    <pivotField showAll="0"/>
    <pivotField showAll="0">
      <items count="38">
        <item x="26"/>
        <item x="7"/>
        <item x="16"/>
        <item x="3"/>
        <item x="28"/>
        <item x="23"/>
        <item x="24"/>
        <item x="4"/>
        <item x="20"/>
        <item x="35"/>
        <item x="21"/>
        <item x="13"/>
        <item x="1"/>
        <item x="25"/>
        <item x="34"/>
        <item x="10"/>
        <item x="32"/>
        <item x="2"/>
        <item x="12"/>
        <item x="9"/>
        <item x="0"/>
        <item x="29"/>
        <item x="33"/>
        <item x="5"/>
        <item x="36"/>
        <item x="22"/>
        <item x="17"/>
        <item x="31"/>
        <item x="15"/>
        <item x="6"/>
        <item x="27"/>
        <item x="11"/>
        <item x="18"/>
        <item x="30"/>
        <item x="19"/>
        <item x="8"/>
        <item x="14"/>
        <item t="default"/>
      </items>
    </pivotField>
    <pivotField showAll="0">
      <items count="6">
        <item x="2"/>
        <item x="1"/>
        <item x="3"/>
        <item x="4"/>
        <item x="0"/>
        <item t="default"/>
      </items>
    </pivotField>
    <pivotField showAll="0"/>
    <pivotField showAll="0"/>
    <pivotField axis="axisRow" dataField="1" showAll="0">
      <items count="3">
        <item x="0"/>
        <item x="1"/>
        <item t="default"/>
      </items>
    </pivotField>
  </pivotFields>
  <rowFields count="1">
    <field x="20"/>
  </rowFields>
  <rowItems count="2">
    <i>
      <x/>
    </i>
    <i t="grand">
      <x/>
    </i>
  </rowItems>
  <colItems count="1">
    <i/>
  </colItems>
  <dataFields count="1">
    <dataField name="Count of ErrorType" fld="2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dateBetween" evalOrder="-1" id="33" name="Updated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 fld="20" type="captionNotEqual" evalOrder="-1" id="1" stringValue1="OK">
      <autoFilter ref="A1">
        <filterColumn colId="0">
          <customFilters>
            <customFilter operator="notEqual" val="O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D6BB8B-3596-470D-AB97-493C6B3795AD}"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B40" firstHeaderRow="1" firstDataRow="1" firstDataCol="1"/>
  <pivotFields count="21">
    <pivotField showAll="0"/>
    <pivotField showAll="0"/>
    <pivotField showAll="0"/>
    <pivotField showAll="0"/>
    <pivotField showAll="0"/>
    <pivotField showAll="0"/>
    <pivotField showAll="0"/>
    <pivotField showAll="0"/>
    <pivotField showAll="0"/>
    <pivotField numFmtId="14" showAll="0">
      <items count="405">
        <item x="207"/>
        <item x="47"/>
        <item x="398"/>
        <item x="372"/>
        <item x="71"/>
        <item x="169"/>
        <item x="228"/>
        <item x="245"/>
        <item x="386"/>
        <item x="348"/>
        <item x="171"/>
        <item x="240"/>
        <item x="287"/>
        <item x="10"/>
        <item x="112"/>
        <item x="132"/>
        <item x="376"/>
        <item x="94"/>
        <item x="23"/>
        <item x="64"/>
        <item x="219"/>
        <item x="324"/>
        <item x="227"/>
        <item x="90"/>
        <item x="310"/>
        <item x="314"/>
        <item x="296"/>
        <item x="365"/>
        <item x="78"/>
        <item x="7"/>
        <item x="4"/>
        <item x="242"/>
        <item x="357"/>
        <item x="328"/>
        <item x="123"/>
        <item x="302"/>
        <item x="200"/>
        <item x="380"/>
        <item x="111"/>
        <item x="50"/>
        <item x="183"/>
        <item x="139"/>
        <item x="66"/>
        <item x="93"/>
        <item x="269"/>
        <item x="58"/>
        <item x="40"/>
        <item x="321"/>
        <item x="385"/>
        <item x="88"/>
        <item x="309"/>
        <item x="339"/>
        <item x="103"/>
        <item x="191"/>
        <item x="313"/>
        <item x="354"/>
        <item x="55"/>
        <item x="233"/>
        <item x="147"/>
        <item x="311"/>
        <item x="265"/>
        <item x="301"/>
        <item x="224"/>
        <item x="41"/>
        <item x="235"/>
        <item x="271"/>
        <item x="195"/>
        <item x="362"/>
        <item x="5"/>
        <item x="318"/>
        <item x="383"/>
        <item x="244"/>
        <item x="197"/>
        <item x="190"/>
        <item x="239"/>
        <item x="168"/>
        <item x="282"/>
        <item x="237"/>
        <item x="253"/>
        <item x="294"/>
        <item x="104"/>
        <item x="75"/>
        <item x="221"/>
        <item x="161"/>
        <item x="157"/>
        <item x="335"/>
        <item x="299"/>
        <item x="32"/>
        <item x="284"/>
        <item x="117"/>
        <item x="166"/>
        <item x="122"/>
        <item x="226"/>
        <item x="370"/>
        <item x="254"/>
        <item x="344"/>
        <item x="329"/>
        <item x="275"/>
        <item x="107"/>
        <item x="152"/>
        <item x="397"/>
        <item x="393"/>
        <item x="34"/>
        <item x="59"/>
        <item x="143"/>
        <item x="390"/>
        <item x="298"/>
        <item x="177"/>
        <item x="98"/>
        <item x="19"/>
        <item x="30"/>
        <item x="199"/>
        <item x="167"/>
        <item x="384"/>
        <item x="396"/>
        <item x="251"/>
        <item x="225"/>
        <item x="35"/>
        <item x="401"/>
        <item x="185"/>
        <item x="134"/>
        <item x="61"/>
        <item x="97"/>
        <item x="31"/>
        <item x="121"/>
        <item x="326"/>
        <item x="194"/>
        <item x="188"/>
        <item x="211"/>
        <item x="52"/>
        <item x="6"/>
        <item x="1"/>
        <item x="346"/>
        <item x="212"/>
        <item x="394"/>
        <item x="136"/>
        <item x="153"/>
        <item x="293"/>
        <item x="124"/>
        <item x="44"/>
        <item x="2"/>
        <item x="285"/>
        <item x="288"/>
        <item x="114"/>
        <item x="356"/>
        <item x="232"/>
        <item x="102"/>
        <item x="281"/>
        <item x="198"/>
        <item x="46"/>
        <item x="156"/>
        <item x="260"/>
        <item x="203"/>
        <item x="358"/>
        <item x="155"/>
        <item x="238"/>
        <item x="250"/>
        <item x="138"/>
        <item x="91"/>
        <item x="246"/>
        <item x="149"/>
        <item x="26"/>
        <item x="164"/>
        <item x="267"/>
        <item x="38"/>
        <item x="13"/>
        <item x="243"/>
        <item x="14"/>
        <item x="148"/>
        <item x="373"/>
        <item x="359"/>
        <item x="336"/>
        <item x="320"/>
        <item x="353"/>
        <item x="118"/>
        <item x="289"/>
        <item x="144"/>
        <item x="131"/>
        <item x="290"/>
        <item x="334"/>
        <item x="145"/>
        <item x="79"/>
        <item x="68"/>
        <item x="127"/>
        <item x="126"/>
        <item x="306"/>
        <item x="113"/>
        <item x="3"/>
        <item x="180"/>
        <item x="248"/>
        <item x="151"/>
        <item x="142"/>
        <item x="210"/>
        <item x="186"/>
        <item x="400"/>
        <item x="331"/>
        <item x="105"/>
        <item x="231"/>
        <item x="18"/>
        <item x="150"/>
        <item x="51"/>
        <item x="257"/>
        <item x="95"/>
        <item x="72"/>
        <item x="137"/>
        <item x="42"/>
        <item x="12"/>
        <item x="25"/>
        <item x="352"/>
        <item x="181"/>
        <item x="300"/>
        <item x="165"/>
        <item x="272"/>
        <item x="0"/>
        <item x="141"/>
        <item x="236"/>
        <item x="57"/>
        <item x="333"/>
        <item x="350"/>
        <item x="16"/>
        <item x="76"/>
        <item x="234"/>
        <item x="187"/>
        <item x="159"/>
        <item x="39"/>
        <item x="92"/>
        <item x="330"/>
        <item x="116"/>
        <item x="209"/>
        <item x="249"/>
        <item x="86"/>
        <item x="340"/>
        <item x="280"/>
        <item x="170"/>
        <item x="360"/>
        <item x="176"/>
        <item x="74"/>
        <item x="56"/>
        <item x="371"/>
        <item x="85"/>
        <item x="395"/>
        <item x="206"/>
        <item x="382"/>
        <item x="135"/>
        <item x="279"/>
        <item x="87"/>
        <item x="270"/>
        <item x="389"/>
        <item x="172"/>
        <item x="69"/>
        <item x="316"/>
        <item x="8"/>
        <item x="337"/>
        <item x="278"/>
        <item x="264"/>
        <item x="99"/>
        <item x="154"/>
        <item x="378"/>
        <item x="273"/>
        <item x="268"/>
        <item x="73"/>
        <item x="20"/>
        <item x="375"/>
        <item x="229"/>
        <item x="241"/>
        <item x="247"/>
        <item x="179"/>
        <item x="374"/>
        <item x="392"/>
        <item x="403"/>
        <item x="317"/>
        <item x="83"/>
        <item x="36"/>
        <item x="364"/>
        <item x="388"/>
        <item x="283"/>
        <item x="120"/>
        <item x="133"/>
        <item x="33"/>
        <item x="193"/>
        <item x="62"/>
        <item x="24"/>
        <item x="338"/>
        <item x="387"/>
        <item x="208"/>
        <item x="53"/>
        <item x="163"/>
        <item x="220"/>
        <item x="312"/>
        <item x="108"/>
        <item x="327"/>
        <item x="130"/>
        <item x="368"/>
        <item x="295"/>
        <item x="274"/>
        <item x="67"/>
        <item x="303"/>
        <item x="259"/>
        <item x="205"/>
        <item x="82"/>
        <item x="196"/>
        <item x="182"/>
        <item x="277"/>
        <item x="347"/>
        <item x="379"/>
        <item x="266"/>
        <item x="263"/>
        <item x="322"/>
        <item x="213"/>
        <item x="189"/>
        <item x="160"/>
        <item x="43"/>
        <item x="22"/>
        <item x="77"/>
        <item x="146"/>
        <item x="291"/>
        <item x="297"/>
        <item x="45"/>
        <item x="367"/>
        <item x="216"/>
        <item x="63"/>
        <item x="28"/>
        <item x="9"/>
        <item x="323"/>
        <item x="15"/>
        <item x="84"/>
        <item x="48"/>
        <item x="109"/>
        <item x="81"/>
        <item x="162"/>
        <item x="100"/>
        <item x="101"/>
        <item x="369"/>
        <item x="115"/>
        <item x="355"/>
        <item x="399"/>
        <item x="351"/>
        <item x="276"/>
        <item x="366"/>
        <item x="54"/>
        <item x="158"/>
        <item x="345"/>
        <item x="175"/>
        <item x="204"/>
        <item x="17"/>
        <item x="202"/>
        <item x="402"/>
        <item x="223"/>
        <item x="377"/>
        <item x="319"/>
        <item x="192"/>
        <item x="60"/>
        <item x="332"/>
        <item x="27"/>
        <item x="96"/>
        <item x="307"/>
        <item x="261"/>
        <item x="252"/>
        <item x="343"/>
        <item x="174"/>
        <item x="128"/>
        <item x="65"/>
        <item x="315"/>
        <item x="70"/>
        <item x="308"/>
        <item x="256"/>
        <item x="217"/>
        <item x="363"/>
        <item x="215"/>
        <item x="349"/>
        <item x="29"/>
        <item x="89"/>
        <item x="178"/>
        <item x="184"/>
        <item x="218"/>
        <item x="230"/>
        <item x="173"/>
        <item x="255"/>
        <item x="201"/>
        <item x="361"/>
        <item x="262"/>
        <item x="129"/>
        <item x="140"/>
        <item x="305"/>
        <item x="37"/>
        <item x="258"/>
        <item x="11"/>
        <item x="304"/>
        <item x="80"/>
        <item x="106"/>
        <item x="119"/>
        <item x="110"/>
        <item x="49"/>
        <item x="381"/>
        <item x="391"/>
        <item x="292"/>
        <item x="21"/>
        <item x="325"/>
        <item x="341"/>
        <item x="214"/>
        <item x="342"/>
        <item x="125"/>
        <item x="286"/>
        <item x="222"/>
        <item t="default"/>
      </items>
    </pivotField>
    <pivotField showAll="0"/>
    <pivotField showAll="0"/>
    <pivotField showAll="0"/>
    <pivotField showAll="0"/>
    <pivotField showAll="0"/>
    <pivotField showAll="0"/>
    <pivotField axis="axisRow" showAll="0" sortType="ascending">
      <items count="38">
        <item x="26"/>
        <item x="7"/>
        <item x="16"/>
        <item x="3"/>
        <item x="28"/>
        <item x="23"/>
        <item x="24"/>
        <item x="4"/>
        <item x="20"/>
        <item x="35"/>
        <item x="21"/>
        <item x="13"/>
        <item x="1"/>
        <item x="25"/>
        <item x="34"/>
        <item x="10"/>
        <item x="32"/>
        <item x="2"/>
        <item x="12"/>
        <item x="9"/>
        <item x="0"/>
        <item x="29"/>
        <item x="33"/>
        <item x="5"/>
        <item x="36"/>
        <item x="22"/>
        <item x="17"/>
        <item x="31"/>
        <item x="15"/>
        <item x="6"/>
        <item x="27"/>
        <item x="11"/>
        <item x="18"/>
        <item x="30"/>
        <item x="19"/>
        <item x="8"/>
        <item x="14"/>
        <item t="default"/>
      </items>
    </pivotField>
    <pivotField showAll="0"/>
    <pivotField dataField="1" showAll="0"/>
    <pivotField showAll="0"/>
    <pivotField showAll="0"/>
  </pivotFields>
  <rowFields count="1">
    <field x="16"/>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IsError"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32" name="Updated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0E01DD-B3BC-44A8-A3A1-5418BE7054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17">
    <pivotField showAll="0"/>
    <pivotField showAll="0"/>
    <pivotField showAll="0"/>
    <pivotField showAll="0"/>
    <pivotField showAll="0"/>
    <pivotField showAll="0"/>
    <pivotField showAll="0"/>
    <pivotField showAll="0"/>
    <pivotField axis="axisRow" showAll="0">
      <items count="3">
        <item x="0"/>
        <item x="1"/>
        <item t="default"/>
      </items>
    </pivotField>
    <pivotField numFmtId="14" showAll="0"/>
    <pivotField showAll="0"/>
    <pivotField showAll="0"/>
    <pivotField showAll="0"/>
    <pivotField showAll="0"/>
    <pivotField dataField="1" showAll="0">
      <items count="3">
        <item x="0"/>
        <item h="1" x="1"/>
        <item t="default"/>
      </items>
    </pivotField>
    <pivotField showAll="0"/>
    <pivotField showAll="0"/>
  </pivotFields>
  <rowFields count="1">
    <field x="8"/>
  </rowFields>
  <rowItems count="3">
    <i>
      <x/>
    </i>
    <i>
      <x v="1"/>
    </i>
    <i t="grand">
      <x/>
    </i>
  </rowItems>
  <colItems count="1">
    <i/>
  </colItems>
  <dataFields count="1">
    <dataField name="Count of AnyErro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9DFD91-7389-4AF0-9A1A-3BD63FE8A16E}" autoFormatId="16" applyNumberFormats="0" applyBorderFormats="0" applyFontFormats="0" applyPatternFormats="0" applyAlignmentFormats="0" applyWidthHeightFormats="0">
  <queryTableRefresh nextId="19">
    <queryTableFields count="18">
      <queryTableField id="1" name="Address" tableColumnId="1"/>
      <queryTableField id="2" name="PostalCode" tableColumnId="2"/>
      <queryTableField id="3" name="Phone" tableColumnId="3"/>
      <queryTableField id="4" name="Country" tableColumnId="4"/>
      <queryTableField id="5" name="CityInput" tableColumnId="5"/>
      <queryTableField id="6" name="PropertyID" tableColumnId="6"/>
      <queryTableField id="7" name="Status" tableColumnId="7"/>
      <queryTableField id="8" name="UpdatedDate" tableColumnId="8"/>
      <queryTableField id="9" name="SourceSystem" tableColumnId="9"/>
      <queryTableField id="10" name="Notes" tableColumnId="10"/>
      <queryTableField id="11" name="PostalCode_OK" tableColumnId="11"/>
      <queryTableField id="12" name="Phone_OK" tableColumnId="12"/>
      <queryTableField id="13" name="Street_extracted" tableColumnId="13"/>
      <queryTableField id="14" name="MissingStreet" tableColumnId="14"/>
      <queryTableField id="15" name="City_extracted" tableColumnId="15"/>
      <queryTableField id="16" name="City_Match" tableColumnId="16"/>
      <queryTableField id="17" name="AnyError" tableColumnId="17"/>
      <queryTableField id="18" name="ErrorCou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25BA377-C975-4A86-85F3-35CF7BB44D47}" sourceName="Status">
  <pivotTables>
    <pivotTable tabId="5" name="PivotTable3"/>
    <pivotTable tabId="7" name="PivotTable1"/>
  </pivotTables>
  <data>
    <tabular pivotCacheId="11100338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66C61AF-1B1D-45B0-85A2-BC33C93CFFAD}" sourceName="Country">
  <pivotTables>
    <pivotTable tabId="5" name="PivotTable3"/>
    <pivotTable tabId="7" name="PivotTable1"/>
  </pivotTables>
  <data>
    <tabular pivotCacheId="1110033866">
      <items count="10">
        <i x="2" s="1"/>
        <i x="6" s="1"/>
        <i x="7" s="1"/>
        <i x="0" s="1"/>
        <i x="4" s="1"/>
        <i x="8" s="1"/>
        <i x="9" s="1"/>
        <i x="5"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 xr10:uid="{967BC25D-5599-4BE6-96E0-C1A687FB7079}" sourceName="YearMonth">
  <pivotTables>
    <pivotTable tabId="5" name="PivotTable3"/>
    <pivotTable tabId="7" name="PivotTable1"/>
  </pivotTables>
  <data>
    <tabular pivotCacheId="1110033866">
      <items count="37">
        <i x="26" s="1"/>
        <i x="7" s="1"/>
        <i x="16" s="1"/>
        <i x="3" s="1"/>
        <i x="28" s="1"/>
        <i x="23" s="1"/>
        <i x="24" s="1"/>
        <i x="4" s="1"/>
        <i x="20" s="1"/>
        <i x="35" s="1"/>
        <i x="21" s="1"/>
        <i x="13" s="1"/>
        <i x="1" s="1"/>
        <i x="25" s="1"/>
        <i x="34" s="1"/>
        <i x="10" s="1"/>
        <i x="32" s="1"/>
        <i x="2" s="1"/>
        <i x="12" s="1"/>
        <i x="9" s="1"/>
        <i x="0" s="1"/>
        <i x="29" s="1"/>
        <i x="33" s="1"/>
        <i x="5" s="1"/>
        <i x="36" s="1"/>
        <i x="22" s="1"/>
        <i x="17" s="1"/>
        <i x="31" s="1"/>
        <i x="15" s="1"/>
        <i x="6" s="1"/>
        <i x="27" s="1"/>
        <i x="11" s="1"/>
        <i x="18" s="1"/>
        <i x="30" s="1"/>
        <i x="19" s="1"/>
        <i x="8"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System" xr10:uid="{85BFE1A2-37D3-4AEB-8463-E88DFA8CE00D}" sourceName="SourceSystem">
  <pivotTables>
    <pivotTable tabId="5" name="PivotTable3"/>
    <pivotTable tabId="7" name="PivotTable1"/>
  </pivotTables>
  <data>
    <tabular pivotCacheId="1110033866">
      <items count="5">
        <i x="2" s="1"/>
        <i x="1"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785B42E-7C44-499B-AE89-4CBADA1AADE0}" cache="Slicer_Status" caption="Status" rowHeight="432000"/>
  <slicer name="Country" xr10:uid="{5F35D5DC-C77F-4C78-A417-DDF5A26085E6}" cache="Slicer_Country" caption="Country" rowHeight="432000"/>
  <slicer name="YearMonth" xr10:uid="{17A30206-1218-47D9-855D-A03FDFF6ECB7}" cache="Slicer_YearMonth" caption="YearMonth" rowHeight="432000"/>
  <slicer name="SourceSystem" xr10:uid="{5EBC72C5-BCF5-481D-8BA9-E9931A4AD619}" cache="Slicer_SourceSystem" caption="SourceSystem"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8E735-C354-42B6-B1BC-CC3702822884}" name="Table1" displayName="Table1" ref="A1:J501" totalsRowShown="0" headerRowDxfId="56" dataDxfId="54" headerRowBorderDxfId="55" tableBorderDxfId="53" totalsRowBorderDxfId="52">
  <tableColumns count="10">
    <tableColumn id="1" xr3:uid="{4B5C3853-BEFB-4C19-8D18-748EDD65E49E}" name="Address" dataDxfId="51"/>
    <tableColumn id="2" xr3:uid="{20ED4102-575E-4B57-99BB-C2A68E9769FF}" name="PostalCode" dataDxfId="50"/>
    <tableColumn id="3" xr3:uid="{FE3D024D-D791-419A-AA84-45C9380AF680}" name="Phone" dataDxfId="49"/>
    <tableColumn id="4" xr3:uid="{0B6AE5D1-1BCC-47DC-90B7-2D1E6B5E66B4}" name="Country" dataDxfId="48"/>
    <tableColumn id="5" xr3:uid="{8C772004-9EF1-4C11-8971-737D2D76A4C4}" name="CityInput" dataDxfId="47"/>
    <tableColumn id="6" xr3:uid="{590539B9-FF15-424D-9D6B-B1AF071BB251}" name="PropertyID" dataDxfId="46"/>
    <tableColumn id="7" xr3:uid="{E1DD06EB-9913-4968-A6B4-CDC4538AAE58}" name="Status" dataDxfId="45"/>
    <tableColumn id="8" xr3:uid="{9AEF23CE-7398-4051-95BB-C6249320398C}" name="UpdatedDate" dataDxfId="44"/>
    <tableColumn id="9" xr3:uid="{5158FF4D-7760-4E8C-B6B6-65184C704228}" name="SourceSystem" dataDxfId="43"/>
    <tableColumn id="10" xr3:uid="{9CB0BC86-E6D4-461C-8C0B-FB24CEA56A5B}" name="Notes" dataDxfId="4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F30B37-0901-4591-85A5-9FF21058B549}" name="Table1_1" displayName="Table1_1" ref="A1:R501" tableType="queryTable" totalsRowShown="0">
  <tableColumns count="18">
    <tableColumn id="1" xr3:uid="{900DC042-227B-4833-A657-3732982CBB00}" uniqueName="1" name="Address" queryTableFieldId="1" dataDxfId="41"/>
    <tableColumn id="2" xr3:uid="{DE15468C-9E75-4898-83DD-A886335100BF}" uniqueName="2" name="PostalCode" queryTableFieldId="2" dataDxfId="40"/>
    <tableColumn id="3" xr3:uid="{822B27E8-7DAC-4A1E-922E-60A20F464240}" uniqueName="3" name="Phone" queryTableFieldId="3" dataDxfId="39"/>
    <tableColumn id="4" xr3:uid="{7860A358-8D28-4BB1-BC29-49BC639700AF}" uniqueName="4" name="Country" queryTableFieldId="4" dataDxfId="38"/>
    <tableColumn id="5" xr3:uid="{C07DABC7-5423-49C1-B5E4-9D6BE6A9992E}" uniqueName="5" name="CityInput" queryTableFieldId="5" dataDxfId="37"/>
    <tableColumn id="6" xr3:uid="{5EEC8DCC-3905-4671-A104-EFAF10250EB5}" uniqueName="6" name="PropertyID" queryTableFieldId="6" dataDxfId="36"/>
    <tableColumn id="7" xr3:uid="{271FD144-AB76-44CB-90A8-7F7992D42200}" uniqueName="7" name="Status" queryTableFieldId="7" dataDxfId="35"/>
    <tableColumn id="8" xr3:uid="{28A263FF-9A44-421D-8A43-CCDC1CA8B1F0}" uniqueName="8" name="UpdatedDate" queryTableFieldId="8" dataDxfId="34"/>
    <tableColumn id="9" xr3:uid="{EE343762-F595-4954-9C30-A596AE8A0363}" uniqueName="9" name="SourceSystem" queryTableFieldId="9" dataDxfId="33"/>
    <tableColumn id="10" xr3:uid="{31720F7C-5A71-45E7-ACA3-7394AD77B9D2}" uniqueName="10" name="Notes" queryTableFieldId="10" dataDxfId="32"/>
    <tableColumn id="11" xr3:uid="{AC27A1A0-80E7-4623-8275-D361B396B0C4}" uniqueName="11" name="PostalCode_OK" queryTableFieldId="11"/>
    <tableColumn id="12" xr3:uid="{29276455-4BE7-4848-98E2-AB0D68132558}" uniqueName="12" name="Phone_OK" queryTableFieldId="12"/>
    <tableColumn id="13" xr3:uid="{BABDF79F-702E-4F3B-B1C2-1F1CF4732ED2}" uniqueName="13" name="Street_extracted" queryTableFieldId="13"/>
    <tableColumn id="14" xr3:uid="{E7A73CEA-246E-4A65-B6C5-72D5C37FB80B}" uniqueName="14" name="MissingStreet" queryTableFieldId="14"/>
    <tableColumn id="15" xr3:uid="{18F9C5E8-0843-4C20-A364-E4207DDBEB28}" uniqueName="15" name="City_extracted" queryTableFieldId="15" dataDxfId="31"/>
    <tableColumn id="16" xr3:uid="{265EEE1B-86F2-4C1E-B53A-08A5E44956CE}" uniqueName="16" name="City_Match" queryTableFieldId="16"/>
    <tableColumn id="17" xr3:uid="{1C9EFA28-4F3B-4572-9AAA-40B52129FC8A}" uniqueName="17" name="AnyError" queryTableFieldId="17"/>
    <tableColumn id="18" xr3:uid="{4BE8A0E8-87CD-4A58-BE0D-3919C2FC6D26}" uniqueName="18" name="ErrorCount"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EE071E-FF57-4AC7-B057-24C8C35C8354}" name="tblChecks" displayName="tblChecks" ref="A1:U501" totalsRowShown="0" headerRowDxfId="30" headerRowBorderDxfId="29" tableBorderDxfId="28" totalsRowBorderDxfId="27">
  <autoFilter ref="A1:U501" xr:uid="{EEEE071E-FF57-4AC7-B057-24C8C35C8354}"/>
  <tableColumns count="21">
    <tableColumn id="1" xr3:uid="{D5A3D585-1C67-4374-AAC5-B742FFE412F8}" name="PropertyID" dataDxfId="26">
      <calculatedColumnFormula>CleanedData!F2</calculatedColumnFormula>
    </tableColumn>
    <tableColumn id="2" xr3:uid="{9AF77DA2-A5DF-40F6-AE53-A98F57F2BBCF}" name="Address" dataDxfId="25">
      <calculatedColumnFormula>CleanedData!A2</calculatedColumnFormula>
    </tableColumn>
    <tableColumn id="3" xr3:uid="{27A2B268-D70C-4121-96BC-899C04754DDB}" name="Country" dataDxfId="24">
      <calculatedColumnFormula>CleanedData!D2</calculatedColumnFormula>
    </tableColumn>
    <tableColumn id="4" xr3:uid="{4372FB41-44D3-4782-8454-B975465B77DA}" name="CityInput" dataDxfId="23">
      <calculatedColumnFormula>CleanedData!E2</calculatedColumnFormula>
    </tableColumn>
    <tableColumn id="5" xr3:uid="{FF1847EC-33FB-411B-9B29-A1AFD5B561AE}" name="City_extracted" dataDxfId="22">
      <calculatedColumnFormula>CleanedData!O2</calculatedColumnFormula>
    </tableColumn>
    <tableColumn id="6" xr3:uid="{8BF7303E-7471-461E-B929-045E64AE7AE7}" name="Street_extracted" dataDxfId="21">
      <calculatedColumnFormula>CleanedData!M2</calculatedColumnFormula>
    </tableColumn>
    <tableColumn id="7" xr3:uid="{5CE44DB8-C01F-49C8-A938-083F9FBF8B03}" name="PostalCode" dataDxfId="20">
      <calculatedColumnFormula>CleanedData!B2</calculatedColumnFormula>
    </tableColumn>
    <tableColumn id="8" xr3:uid="{610B6826-67F2-42E0-ADEB-A83CCDCE1DD3}" name="Phone" dataDxfId="19">
      <calculatedColumnFormula>CleanedData!C2</calculatedColumnFormula>
    </tableColumn>
    <tableColumn id="9" xr3:uid="{164FEC99-5AEE-480F-A0A2-A61BC6A037D8}" name="Status" dataDxfId="18">
      <calculatedColumnFormula>CleanedData!G2</calculatedColumnFormula>
    </tableColumn>
    <tableColumn id="10" xr3:uid="{C944D8A0-0233-4040-AF10-FE9CCC4A9B6A}" name="UpdatedDate" dataDxfId="17">
      <calculatedColumnFormula>CleanedData!H2</calculatedColumnFormula>
    </tableColumn>
    <tableColumn id="11" xr3:uid="{CEF6522D-E5A7-4242-803A-892429575EB9}" name="MissingStreet" dataDxfId="16">
      <calculatedColumnFormula>IF(TRIM(F2)="","MISSING","OK")</calculatedColumnFormula>
    </tableColumn>
    <tableColumn id="12" xr3:uid="{771D7904-3BE2-48BD-A04C-B458A63856CD}" name="PostalCode_OK" dataDxfId="15">
      <calculatedColumnFormula>IF(LEN(TRIM(G2))&lt;3,"INVALID","OK")</calculatedColumnFormula>
    </tableColumn>
    <tableColumn id="13" xr3:uid="{DC749CEA-F3BD-49C8-A022-791069783BBE}" name="Phone_OK" dataDxfId="14">
      <calculatedColumnFormula>IF(LEN(SUBSTITUTE(SUBSTITUTE(H2," ",""),"-",""))&gt;=7,"OK","INVALID")</calculatedColumnFormula>
    </tableColumn>
    <tableColumn id="14" xr3:uid="{9FE1E402-5365-4ABF-88AE-3BE15832AA5C}" name="City_Match" dataDxfId="13">
      <calculatedColumnFormula>IF(E2="","NO_EXTRACT",
 IF(LOWER(TRIM(E2))=LOWER(TRIM(D2)),"MATCH","CHECK"))</calculatedColumnFormula>
    </tableColumn>
    <tableColumn id="15" xr3:uid="{D8E3F094-CED1-43BC-8C03-10A7247A784E}" name="AnyError" dataDxfId="12">
      <calculatedColumnFormula>IF(OR(K2="MISSING",L2="INVALID",M2="INVALID"),"ERROR","OK")</calculatedColumnFormula>
    </tableColumn>
    <tableColumn id="16" xr3:uid="{25641FBA-BDE2-457A-B71E-A753B2D3DE7E}" name="ErrorCount" dataDxfId="11">
      <calculatedColumnFormula>(K2="MISSING")*1 + (L2="INVALID")*1 + (M2="INVALID")*1</calculatedColumnFormula>
    </tableColumn>
    <tableColumn id="17" xr3:uid="{8AD86C70-12C0-46FD-851B-8B33E07ABF4F}" name="YearMonth" dataDxfId="10">
      <calculatedColumnFormula>YEAR(J2) &amp; "-" &amp; TEXT(MONTH(J2),"00")</calculatedColumnFormula>
    </tableColumn>
    <tableColumn id="18" xr3:uid="{C064564C-BCE8-49AA-8864-1E0E30B04C32}" name="SourceSystem" dataDxfId="9"/>
    <tableColumn id="19" xr3:uid="{BAE23E93-F4FE-4652-90B6-4C6E66609164}" name="IsError" dataDxfId="8">
      <calculatedColumnFormula>IF(tblChecks[[#This Row],[AnyError]]="ERROR",1,0)</calculatedColumnFormula>
    </tableColumn>
    <tableColumn id="21" xr3:uid="{0019FB94-AE94-468F-8907-279CD48C44C9}" name="IsMissingStreet" dataDxfId="7">
      <calculatedColumnFormula>IF(tblChecks[[#This Row],[MissingStreet]]="MISSING",1,0)</calculatedColumnFormula>
    </tableColumn>
    <tableColumn id="20" xr3:uid="{CC1BCD86-AE87-4A2A-903F-12F27B6DD6B5}" name="ErrorType" dataDxfId="6">
      <calculatedColumnFormula>IF(K2="MISSING","MissingStreet",
IF(L2="INVALID","PostalCode_INVALID",
IF(M2="INVALID","Phone_INVALID","OK")))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UpdatedDate" xr10:uid="{FF45520B-1353-4A9D-BE1D-340D99AAC3CF}" sourceName="UpdatedDate">
  <pivotTables>
    <pivotTable tabId="9" name="PivotTable4"/>
    <pivotTable tabId="5" name="PivotTable3"/>
    <pivotTable tabId="7" name="PivotTable1"/>
  </pivotTables>
  <state minimalRefreshVersion="6" lastRefreshVersion="6" pivotCacheId="1110033866" filterType="dateBetween">
    <selection startDate="2022-01-01T00:00:00" endDate="2025-12-31T00:00:00"/>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UpdatedDate" xr10:uid="{D58D6F11-0C9E-41C0-B69A-BBC4D09F5D8F}" cache="NativeTimeline_UpdatedDate" caption="UpdatedDate" level="2"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C6C9-4FBF-49A5-B52E-02141078C838}">
  <dimension ref="A1:J501"/>
  <sheetViews>
    <sheetView tabSelected="1" zoomScale="120" zoomScaleNormal="120" workbookViewId="0">
      <selection activeCell="M7" sqref="M7"/>
    </sheetView>
  </sheetViews>
  <sheetFormatPr defaultRowHeight="14.4" x14ac:dyDescent="0.3"/>
  <cols>
    <col min="1" max="1" width="36.5546875" style="7" bestFit="1" customWidth="1"/>
    <col min="2" max="2" width="10.5546875" style="7" bestFit="1" customWidth="1"/>
    <col min="3" max="3" width="13.77734375" style="7" bestFit="1" customWidth="1"/>
    <col min="4" max="4" width="8.33203125" style="7" bestFit="1" customWidth="1"/>
    <col min="5" max="5" width="12" style="7" bestFit="1" customWidth="1"/>
    <col min="6" max="6" width="10.6640625" style="7" bestFit="1" customWidth="1"/>
    <col min="7" max="7" width="7.21875" style="7" bestFit="1" customWidth="1"/>
    <col min="8" max="8" width="12.109375" style="7" bestFit="1" customWidth="1"/>
    <col min="9" max="9" width="13.109375" style="7" bestFit="1" customWidth="1"/>
    <col min="10" max="10" width="24.109375" style="7" bestFit="1" customWidth="1"/>
    <col min="11" max="16384" width="8.88671875" style="7"/>
  </cols>
  <sheetData>
    <row r="1" spans="1:10" x14ac:dyDescent="0.3">
      <c r="A1" s="10" t="s">
        <v>0</v>
      </c>
      <c r="B1" s="11" t="s">
        <v>1</v>
      </c>
      <c r="C1" s="11" t="s">
        <v>2</v>
      </c>
      <c r="D1" s="11" t="s">
        <v>3</v>
      </c>
      <c r="E1" s="11" t="s">
        <v>4</v>
      </c>
      <c r="F1" s="11" t="s">
        <v>5</v>
      </c>
      <c r="G1" s="11" t="s">
        <v>6</v>
      </c>
      <c r="H1" s="11" t="s">
        <v>7</v>
      </c>
      <c r="I1" s="11" t="s">
        <v>8</v>
      </c>
      <c r="J1" s="12" t="s">
        <v>9</v>
      </c>
    </row>
    <row r="2" spans="1:10" x14ac:dyDescent="0.3">
      <c r="A2" s="8" t="s">
        <v>10</v>
      </c>
      <c r="B2" s="8">
        <v>32599</v>
      </c>
      <c r="C2" s="8" t="s">
        <v>11</v>
      </c>
      <c r="D2" s="8" t="s">
        <v>12</v>
      </c>
      <c r="E2" s="8" t="s">
        <v>13</v>
      </c>
      <c r="F2" s="8" t="s">
        <v>14</v>
      </c>
      <c r="G2" s="8" t="s">
        <v>15</v>
      </c>
      <c r="H2" s="9">
        <v>45482</v>
      </c>
      <c r="I2" s="8" t="s">
        <v>16</v>
      </c>
      <c r="J2" s="8" t="s">
        <v>17</v>
      </c>
    </row>
    <row r="3" spans="1:10" x14ac:dyDescent="0.3">
      <c r="A3" s="8" t="s">
        <v>18</v>
      </c>
      <c r="B3" s="8">
        <v>89197</v>
      </c>
      <c r="C3" s="8" t="s">
        <v>19</v>
      </c>
      <c r="D3" s="8" t="s">
        <v>12</v>
      </c>
      <c r="E3" s="8" t="s">
        <v>20</v>
      </c>
      <c r="F3" s="8" t="s">
        <v>21</v>
      </c>
      <c r="G3" s="8" t="s">
        <v>22</v>
      </c>
      <c r="H3" s="9">
        <v>45242</v>
      </c>
      <c r="I3" s="8" t="s">
        <v>23</v>
      </c>
      <c r="J3" s="8" t="s">
        <v>24</v>
      </c>
    </row>
    <row r="4" spans="1:10" x14ac:dyDescent="0.3">
      <c r="A4" s="8" t="s">
        <v>25</v>
      </c>
      <c r="B4" s="8">
        <v>4406</v>
      </c>
      <c r="C4" s="8" t="s">
        <v>26</v>
      </c>
      <c r="D4" s="8" t="s">
        <v>27</v>
      </c>
      <c r="E4" s="8" t="s">
        <v>28</v>
      </c>
      <c r="F4" s="8" t="s">
        <v>29</v>
      </c>
      <c r="G4" s="8" t="s">
        <v>22</v>
      </c>
      <c r="H4" s="9">
        <v>45259</v>
      </c>
      <c r="I4" s="8" t="s">
        <v>23</v>
      </c>
      <c r="J4" s="8"/>
    </row>
    <row r="5" spans="1:10" x14ac:dyDescent="0.3">
      <c r="A5" s="8" t="s">
        <v>30</v>
      </c>
      <c r="B5" s="8">
        <v>79408</v>
      </c>
      <c r="C5" s="8" t="s">
        <v>31</v>
      </c>
      <c r="D5" s="8" t="s">
        <v>12</v>
      </c>
      <c r="E5" s="8" t="s">
        <v>13</v>
      </c>
      <c r="F5" s="8" t="s">
        <v>32</v>
      </c>
      <c r="G5" s="8" t="s">
        <v>22</v>
      </c>
      <c r="H5" s="9">
        <v>45406</v>
      </c>
      <c r="I5" s="8" t="s">
        <v>33</v>
      </c>
      <c r="J5" s="8"/>
    </row>
    <row r="6" spans="1:10" x14ac:dyDescent="0.3">
      <c r="A6" s="8" t="s">
        <v>34</v>
      </c>
      <c r="B6" s="8">
        <v>85682</v>
      </c>
      <c r="C6" s="8" t="s">
        <v>35</v>
      </c>
      <c r="D6" s="8" t="s">
        <v>36</v>
      </c>
      <c r="E6" s="8" t="s">
        <v>37</v>
      </c>
      <c r="F6" s="8" t="s">
        <v>38</v>
      </c>
      <c r="G6" s="8" t="s">
        <v>15</v>
      </c>
      <c r="H6" s="9">
        <v>44973</v>
      </c>
      <c r="I6" s="8" t="s">
        <v>39</v>
      </c>
      <c r="J6" s="8" t="s">
        <v>17</v>
      </c>
    </row>
    <row r="7" spans="1:10" x14ac:dyDescent="0.3">
      <c r="A7" s="8" t="s">
        <v>40</v>
      </c>
      <c r="B7" s="8">
        <v>36964</v>
      </c>
      <c r="C7" s="8" t="s">
        <v>41</v>
      </c>
      <c r="D7" s="8" t="s">
        <v>42</v>
      </c>
      <c r="E7" s="8" t="s">
        <v>43</v>
      </c>
      <c r="F7" s="8" t="s">
        <v>44</v>
      </c>
      <c r="G7" s="8" t="s">
        <v>22</v>
      </c>
      <c r="H7" s="9">
        <v>45086</v>
      </c>
      <c r="I7" s="8" t="s">
        <v>23</v>
      </c>
      <c r="J7" s="8" t="s">
        <v>17</v>
      </c>
    </row>
    <row r="8" spans="1:10" x14ac:dyDescent="0.3">
      <c r="A8" s="8" t="s">
        <v>45</v>
      </c>
      <c r="B8" s="8">
        <v>92007</v>
      </c>
      <c r="C8" s="8" t="s">
        <v>46</v>
      </c>
      <c r="D8" s="8" t="s">
        <v>47</v>
      </c>
      <c r="E8" s="8" t="s">
        <v>48</v>
      </c>
      <c r="F8" s="8" t="s">
        <v>49</v>
      </c>
      <c r="G8" s="8" t="s">
        <v>15</v>
      </c>
      <c r="H8" s="9">
        <v>45240</v>
      </c>
      <c r="I8" s="8" t="s">
        <v>16</v>
      </c>
      <c r="J8" s="8" t="s">
        <v>50</v>
      </c>
    </row>
    <row r="9" spans="1:10" x14ac:dyDescent="0.3">
      <c r="A9" s="8" t="s">
        <v>51</v>
      </c>
      <c r="B9" s="8">
        <v>28722</v>
      </c>
      <c r="C9" s="8" t="s">
        <v>52</v>
      </c>
      <c r="D9" s="8" t="s">
        <v>47</v>
      </c>
      <c r="E9" s="8" t="s">
        <v>48</v>
      </c>
      <c r="F9" s="8" t="s">
        <v>53</v>
      </c>
      <c r="G9" s="8" t="s">
        <v>15</v>
      </c>
      <c r="H9" s="9">
        <v>44972</v>
      </c>
      <c r="I9" s="8" t="s">
        <v>54</v>
      </c>
      <c r="J9" s="8" t="s">
        <v>50</v>
      </c>
    </row>
    <row r="10" spans="1:10" x14ac:dyDescent="0.3">
      <c r="A10" s="8" t="s">
        <v>55</v>
      </c>
      <c r="B10" s="8">
        <v>13177</v>
      </c>
      <c r="C10" s="8" t="s">
        <v>56</v>
      </c>
      <c r="D10" s="8" t="s">
        <v>57</v>
      </c>
      <c r="E10" s="8" t="s">
        <v>58</v>
      </c>
      <c r="F10" s="8" t="s">
        <v>59</v>
      </c>
      <c r="G10" s="8" t="s">
        <v>22</v>
      </c>
      <c r="H10" s="9">
        <v>45573</v>
      </c>
      <c r="I10" s="8" t="s">
        <v>54</v>
      </c>
      <c r="J10" s="8" t="s">
        <v>50</v>
      </c>
    </row>
    <row r="11" spans="1:10" x14ac:dyDescent="0.3">
      <c r="A11" s="8" t="s">
        <v>60</v>
      </c>
      <c r="B11" s="8">
        <v>35172</v>
      </c>
      <c r="C11" s="8" t="s">
        <v>61</v>
      </c>
      <c r="D11" s="8" t="s">
        <v>62</v>
      </c>
      <c r="E11" s="8" t="s">
        <v>63</v>
      </c>
      <c r="F11" s="8" t="s">
        <v>64</v>
      </c>
      <c r="G11" s="8" t="s">
        <v>15</v>
      </c>
      <c r="H11" s="9">
        <v>45768</v>
      </c>
      <c r="I11" s="8" t="s">
        <v>33</v>
      </c>
      <c r="J11" s="8" t="s">
        <v>17</v>
      </c>
    </row>
    <row r="12" spans="1:10" x14ac:dyDescent="0.3">
      <c r="A12" s="8" t="s">
        <v>65</v>
      </c>
      <c r="B12" s="8">
        <v>16862</v>
      </c>
      <c r="C12" s="8" t="s">
        <v>66</v>
      </c>
      <c r="D12" s="8" t="s">
        <v>36</v>
      </c>
      <c r="E12" s="8" t="s">
        <v>67</v>
      </c>
      <c r="F12" s="8" t="s">
        <v>68</v>
      </c>
      <c r="G12" s="8" t="s">
        <v>15</v>
      </c>
      <c r="H12" s="9">
        <v>44924</v>
      </c>
      <c r="I12" s="8" t="s">
        <v>54</v>
      </c>
      <c r="J12" s="8" t="s">
        <v>17</v>
      </c>
    </row>
    <row r="13" spans="1:10" x14ac:dyDescent="0.3">
      <c r="A13" s="8" t="s">
        <v>69</v>
      </c>
      <c r="B13" s="8">
        <v>82898</v>
      </c>
      <c r="C13" s="8" t="s">
        <v>70</v>
      </c>
      <c r="D13" s="8" t="s">
        <v>71</v>
      </c>
      <c r="E13" s="8" t="s">
        <v>72</v>
      </c>
      <c r="F13" s="8" t="s">
        <v>73</v>
      </c>
      <c r="G13" s="8" t="s">
        <v>15</v>
      </c>
      <c r="H13" s="9">
        <v>45943</v>
      </c>
      <c r="I13" s="8" t="s">
        <v>39</v>
      </c>
      <c r="J13" s="8"/>
    </row>
    <row r="14" spans="1:10" x14ac:dyDescent="0.3">
      <c r="A14" s="8" t="s">
        <v>74</v>
      </c>
      <c r="B14" s="8">
        <v>9617</v>
      </c>
      <c r="C14" s="8" t="s">
        <v>75</v>
      </c>
      <c r="D14" s="8" t="s">
        <v>42</v>
      </c>
      <c r="E14" s="8" t="s">
        <v>76</v>
      </c>
      <c r="F14" s="8" t="s">
        <v>77</v>
      </c>
      <c r="G14" s="8" t="s">
        <v>15</v>
      </c>
      <c r="H14" s="9">
        <v>45465</v>
      </c>
      <c r="I14" s="8" t="s">
        <v>54</v>
      </c>
      <c r="J14" s="8" t="s">
        <v>78</v>
      </c>
    </row>
    <row r="15" spans="1:10" x14ac:dyDescent="0.3">
      <c r="A15" s="8" t="s">
        <v>79</v>
      </c>
      <c r="B15" s="8">
        <v>38431</v>
      </c>
      <c r="C15" s="8" t="s">
        <v>80</v>
      </c>
      <c r="D15" s="8" t="s">
        <v>27</v>
      </c>
      <c r="E15" s="8" t="s">
        <v>28</v>
      </c>
      <c r="F15" s="8" t="s">
        <v>81</v>
      </c>
      <c r="G15" s="8" t="s">
        <v>22</v>
      </c>
      <c r="H15" s="9">
        <v>45344</v>
      </c>
      <c r="I15" s="8" t="s">
        <v>33</v>
      </c>
      <c r="J15" s="8"/>
    </row>
    <row r="16" spans="1:10" x14ac:dyDescent="0.3">
      <c r="A16" s="8" t="s">
        <v>82</v>
      </c>
      <c r="B16" s="8">
        <v>13739</v>
      </c>
      <c r="C16" s="8" t="s">
        <v>83</v>
      </c>
      <c r="D16" s="8" t="s">
        <v>84</v>
      </c>
      <c r="E16" s="8" t="s">
        <v>85</v>
      </c>
      <c r="F16" s="8" t="s">
        <v>86</v>
      </c>
      <c r="G16" s="8" t="s">
        <v>22</v>
      </c>
      <c r="H16" s="9">
        <v>45347</v>
      </c>
      <c r="I16" s="8" t="s">
        <v>23</v>
      </c>
      <c r="J16" s="8"/>
    </row>
    <row r="17" spans="1:10" x14ac:dyDescent="0.3">
      <c r="A17" s="8" t="s">
        <v>87</v>
      </c>
      <c r="B17" s="8">
        <v>48320</v>
      </c>
      <c r="C17" s="8" t="s">
        <v>88</v>
      </c>
      <c r="D17" s="8" t="s">
        <v>62</v>
      </c>
      <c r="E17" s="8" t="s">
        <v>89</v>
      </c>
      <c r="F17" s="8" t="s">
        <v>90</v>
      </c>
      <c r="G17" s="8" t="s">
        <v>22</v>
      </c>
      <c r="H17" s="9">
        <v>45771</v>
      </c>
      <c r="I17" s="8" t="s">
        <v>33</v>
      </c>
      <c r="J17" s="8"/>
    </row>
    <row r="18" spans="1:10" x14ac:dyDescent="0.3">
      <c r="A18" s="8" t="s">
        <v>91</v>
      </c>
      <c r="B18" s="8">
        <v>88342</v>
      </c>
      <c r="C18" s="8" t="s">
        <v>92</v>
      </c>
      <c r="D18" s="8" t="s">
        <v>71</v>
      </c>
      <c r="E18" s="8" t="s">
        <v>93</v>
      </c>
      <c r="F18" s="8" t="s">
        <v>94</v>
      </c>
      <c r="G18" s="8" t="s">
        <v>15</v>
      </c>
      <c r="H18" s="9">
        <v>45494</v>
      </c>
      <c r="I18" s="8" t="s">
        <v>39</v>
      </c>
      <c r="J18" s="8" t="s">
        <v>95</v>
      </c>
    </row>
    <row r="19" spans="1:10" x14ac:dyDescent="0.3">
      <c r="A19" s="8" t="s">
        <v>96</v>
      </c>
      <c r="B19" s="8">
        <v>85440</v>
      </c>
      <c r="C19" s="8" t="s">
        <v>97</v>
      </c>
      <c r="D19" s="8" t="s">
        <v>27</v>
      </c>
      <c r="E19" s="8" t="s">
        <v>98</v>
      </c>
      <c r="F19" s="8" t="s">
        <v>99</v>
      </c>
      <c r="G19" s="8" t="s">
        <v>22</v>
      </c>
      <c r="H19" s="9">
        <v>45832</v>
      </c>
      <c r="I19" s="8" t="s">
        <v>54</v>
      </c>
      <c r="J19" s="8" t="s">
        <v>24</v>
      </c>
    </row>
    <row r="20" spans="1:10" x14ac:dyDescent="0.3">
      <c r="A20" s="8" t="s">
        <v>100</v>
      </c>
      <c r="B20" s="8">
        <v>70511</v>
      </c>
      <c r="C20" s="8" t="s">
        <v>101</v>
      </c>
      <c r="D20" s="8" t="s">
        <v>62</v>
      </c>
      <c r="E20" s="8" t="s">
        <v>63</v>
      </c>
      <c r="F20" s="8" t="s">
        <v>102</v>
      </c>
      <c r="G20" s="8" t="s">
        <v>15</v>
      </c>
      <c r="H20" s="9">
        <v>45430</v>
      </c>
      <c r="I20" s="8" t="s">
        <v>39</v>
      </c>
      <c r="J20" s="8"/>
    </row>
    <row r="21" spans="1:10" x14ac:dyDescent="0.3">
      <c r="A21" s="8" t="s">
        <v>103</v>
      </c>
      <c r="B21" s="8">
        <v>35883</v>
      </c>
      <c r="C21" s="8" t="s">
        <v>104</v>
      </c>
      <c r="D21" s="8" t="s">
        <v>71</v>
      </c>
      <c r="E21" s="8" t="s">
        <v>93</v>
      </c>
      <c r="F21" s="8" t="s">
        <v>105</v>
      </c>
      <c r="G21" s="8" t="s">
        <v>15</v>
      </c>
      <c r="H21" s="9">
        <v>45200</v>
      </c>
      <c r="I21" s="8" t="s">
        <v>39</v>
      </c>
      <c r="J21" s="8" t="s">
        <v>50</v>
      </c>
    </row>
    <row r="22" spans="1:10" x14ac:dyDescent="0.3">
      <c r="A22" s="8" t="s">
        <v>106</v>
      </c>
      <c r="B22" s="8">
        <v>7832</v>
      </c>
      <c r="C22" s="8" t="s">
        <v>107</v>
      </c>
      <c r="D22" s="8" t="s">
        <v>42</v>
      </c>
      <c r="E22" s="8" t="s">
        <v>108</v>
      </c>
      <c r="F22" s="8" t="s">
        <v>109</v>
      </c>
      <c r="G22" s="8" t="s">
        <v>15</v>
      </c>
      <c r="H22" s="9">
        <v>45595</v>
      </c>
      <c r="I22" s="8" t="s">
        <v>33</v>
      </c>
      <c r="J22" s="8"/>
    </row>
    <row r="23" spans="1:10" x14ac:dyDescent="0.3">
      <c r="A23" s="8" t="s">
        <v>110</v>
      </c>
      <c r="B23" s="8">
        <v>41848</v>
      </c>
      <c r="C23" s="8" t="s">
        <v>111</v>
      </c>
      <c r="D23" s="8" t="s">
        <v>47</v>
      </c>
      <c r="E23" s="8" t="s">
        <v>112</v>
      </c>
      <c r="F23" s="8" t="s">
        <v>113</v>
      </c>
      <c r="G23" s="8" t="s">
        <v>15</v>
      </c>
      <c r="H23" s="9">
        <v>45965</v>
      </c>
      <c r="I23" s="8" t="s">
        <v>33</v>
      </c>
      <c r="J23" s="8"/>
    </row>
    <row r="24" spans="1:10" x14ac:dyDescent="0.3">
      <c r="A24" s="8" t="s">
        <v>114</v>
      </c>
      <c r="B24" s="8">
        <v>74842</v>
      </c>
      <c r="C24" s="8" t="s">
        <v>115</v>
      </c>
      <c r="D24" s="8" t="s">
        <v>47</v>
      </c>
      <c r="E24" s="8" t="s">
        <v>48</v>
      </c>
      <c r="F24" s="8" t="s">
        <v>116</v>
      </c>
      <c r="G24" s="8" t="s">
        <v>15</v>
      </c>
      <c r="H24" s="9">
        <v>45742</v>
      </c>
      <c r="I24" s="8" t="s">
        <v>16</v>
      </c>
      <c r="J24" s="8"/>
    </row>
    <row r="25" spans="1:10" x14ac:dyDescent="0.3">
      <c r="A25" s="8" t="s">
        <v>117</v>
      </c>
      <c r="B25" s="8">
        <v>52357</v>
      </c>
      <c r="C25" s="8" t="s">
        <v>118</v>
      </c>
      <c r="D25" s="8" t="s">
        <v>84</v>
      </c>
      <c r="E25" s="8" t="s">
        <v>119</v>
      </c>
      <c r="F25" s="8" t="s">
        <v>120</v>
      </c>
      <c r="G25" s="8" t="s">
        <v>22</v>
      </c>
      <c r="H25" s="9">
        <v>44943</v>
      </c>
      <c r="I25" s="8" t="s">
        <v>23</v>
      </c>
      <c r="J25" s="8" t="s">
        <v>50</v>
      </c>
    </row>
    <row r="26" spans="1:10" x14ac:dyDescent="0.3">
      <c r="A26" s="8" t="s">
        <v>121</v>
      </c>
      <c r="B26" s="8">
        <v>32826</v>
      </c>
      <c r="C26" s="8" t="s">
        <v>122</v>
      </c>
      <c r="D26" s="8" t="s">
        <v>12</v>
      </c>
      <c r="E26" s="8" t="s">
        <v>123</v>
      </c>
      <c r="F26" s="8" t="s">
        <v>124</v>
      </c>
      <c r="G26" s="8" t="s">
        <v>15</v>
      </c>
      <c r="H26" s="9">
        <v>45674</v>
      </c>
      <c r="I26" s="8" t="s">
        <v>33</v>
      </c>
      <c r="J26" s="8"/>
    </row>
    <row r="27" spans="1:10" x14ac:dyDescent="0.3">
      <c r="A27" s="8" t="s">
        <v>125</v>
      </c>
      <c r="B27" s="8">
        <v>76985</v>
      </c>
      <c r="C27" s="8" t="s">
        <v>126</v>
      </c>
      <c r="D27" s="8" t="s">
        <v>36</v>
      </c>
      <c r="E27" s="8" t="s">
        <v>127</v>
      </c>
      <c r="F27" s="8" t="s">
        <v>128</v>
      </c>
      <c r="G27" s="8" t="s">
        <v>22</v>
      </c>
      <c r="H27" s="9">
        <v>45468</v>
      </c>
      <c r="I27" s="8" t="s">
        <v>16</v>
      </c>
      <c r="J27" s="8"/>
    </row>
    <row r="28" spans="1:10" x14ac:dyDescent="0.3">
      <c r="A28" s="8" t="s">
        <v>129</v>
      </c>
      <c r="B28" s="8">
        <v>67285</v>
      </c>
      <c r="C28" s="8" t="s">
        <v>130</v>
      </c>
      <c r="D28" s="8" t="s">
        <v>36</v>
      </c>
      <c r="E28" s="8" t="s">
        <v>131</v>
      </c>
      <c r="F28" s="8" t="s">
        <v>132</v>
      </c>
      <c r="G28" s="8" t="s">
        <v>15</v>
      </c>
      <c r="H28" s="9">
        <v>45326</v>
      </c>
      <c r="I28" s="8" t="s">
        <v>54</v>
      </c>
      <c r="J28" s="8"/>
    </row>
    <row r="29" spans="1:10" x14ac:dyDescent="0.3">
      <c r="A29" s="8" t="s">
        <v>133</v>
      </c>
      <c r="B29" s="8">
        <v>14872</v>
      </c>
      <c r="C29" s="8" t="s">
        <v>134</v>
      </c>
      <c r="D29" s="8" t="s">
        <v>27</v>
      </c>
      <c r="E29" s="8" t="s">
        <v>28</v>
      </c>
      <c r="F29" s="8" t="s">
        <v>135</v>
      </c>
      <c r="G29" s="8" t="s">
        <v>22</v>
      </c>
      <c r="H29" s="9">
        <v>45864</v>
      </c>
      <c r="I29" s="8" t="s">
        <v>54</v>
      </c>
      <c r="J29" s="8" t="s">
        <v>50</v>
      </c>
    </row>
    <row r="30" spans="1:10" x14ac:dyDescent="0.3">
      <c r="A30" s="8" t="s">
        <v>136</v>
      </c>
      <c r="B30" s="8">
        <v>89693</v>
      </c>
      <c r="C30" s="8" t="s">
        <v>137</v>
      </c>
      <c r="D30" s="8" t="s">
        <v>12</v>
      </c>
      <c r="E30" s="8" t="s">
        <v>138</v>
      </c>
      <c r="F30" s="8" t="s">
        <v>139</v>
      </c>
      <c r="G30" s="8" t="s">
        <v>15</v>
      </c>
      <c r="H30" s="9">
        <v>45767</v>
      </c>
      <c r="I30" s="8" t="s">
        <v>39</v>
      </c>
      <c r="J30" s="8" t="s">
        <v>17</v>
      </c>
    </row>
    <row r="31" spans="1:10" x14ac:dyDescent="0.3">
      <c r="A31" s="8" t="s">
        <v>140</v>
      </c>
      <c r="B31" s="8">
        <v>50520</v>
      </c>
      <c r="C31" s="8" t="s">
        <v>141</v>
      </c>
      <c r="D31" s="8" t="s">
        <v>47</v>
      </c>
      <c r="E31" s="8" t="s">
        <v>48</v>
      </c>
      <c r="F31" s="8" t="s">
        <v>142</v>
      </c>
      <c r="G31" s="8" t="s">
        <v>22</v>
      </c>
      <c r="H31" s="9">
        <v>45909</v>
      </c>
      <c r="I31" s="8" t="s">
        <v>33</v>
      </c>
      <c r="J31" s="8"/>
    </row>
    <row r="32" spans="1:10" x14ac:dyDescent="0.3">
      <c r="A32" s="8" t="s">
        <v>143</v>
      </c>
      <c r="B32" s="8">
        <v>2005</v>
      </c>
      <c r="C32" s="8" t="s">
        <v>144</v>
      </c>
      <c r="D32" s="8" t="s">
        <v>71</v>
      </c>
      <c r="E32" s="8" t="s">
        <v>72</v>
      </c>
      <c r="F32" s="8" t="s">
        <v>145</v>
      </c>
      <c r="G32" s="8" t="s">
        <v>22</v>
      </c>
      <c r="H32" s="9">
        <v>45201</v>
      </c>
      <c r="I32" s="8" t="s">
        <v>39</v>
      </c>
      <c r="J32" s="8"/>
    </row>
    <row r="33" spans="1:10" x14ac:dyDescent="0.3">
      <c r="A33" s="8" t="s">
        <v>146</v>
      </c>
      <c r="B33" s="8">
        <v>98920</v>
      </c>
      <c r="C33" s="8" t="s">
        <v>147</v>
      </c>
      <c r="D33" s="8" t="s">
        <v>27</v>
      </c>
      <c r="E33" s="8" t="s">
        <v>98</v>
      </c>
      <c r="F33" s="8" t="s">
        <v>148</v>
      </c>
      <c r="G33" s="8" t="s">
        <v>15</v>
      </c>
      <c r="H33" s="9">
        <v>45225</v>
      </c>
      <c r="I33" s="8" t="s">
        <v>16</v>
      </c>
      <c r="J33" s="8" t="s">
        <v>95</v>
      </c>
    </row>
    <row r="34" spans="1:10" x14ac:dyDescent="0.3">
      <c r="A34" s="8" t="s">
        <v>149</v>
      </c>
      <c r="B34" s="8">
        <v>15122</v>
      </c>
      <c r="C34" s="8" t="s">
        <v>150</v>
      </c>
      <c r="D34" s="8" t="s">
        <v>47</v>
      </c>
      <c r="E34" s="8" t="s">
        <v>112</v>
      </c>
      <c r="F34" s="8" t="s">
        <v>151</v>
      </c>
      <c r="G34" s="8" t="s">
        <v>15</v>
      </c>
      <c r="H34" s="9">
        <v>45132</v>
      </c>
      <c r="I34" s="8" t="s">
        <v>39</v>
      </c>
      <c r="J34" s="8" t="s">
        <v>50</v>
      </c>
    </row>
    <row r="35" spans="1:10" x14ac:dyDescent="0.3">
      <c r="A35" s="8" t="s">
        <v>152</v>
      </c>
      <c r="B35" s="8">
        <v>926</v>
      </c>
      <c r="C35" s="8" t="s">
        <v>153</v>
      </c>
      <c r="D35" s="8" t="s">
        <v>62</v>
      </c>
      <c r="E35" s="8" t="s">
        <v>154</v>
      </c>
      <c r="F35" s="8" t="s">
        <v>155</v>
      </c>
      <c r="G35" s="8" t="s">
        <v>15</v>
      </c>
      <c r="H35" s="9">
        <v>45662</v>
      </c>
      <c r="I35" s="8" t="s">
        <v>54</v>
      </c>
      <c r="J35" s="8" t="s">
        <v>17</v>
      </c>
    </row>
    <row r="36" spans="1:10" x14ac:dyDescent="0.3">
      <c r="A36" s="8" t="s">
        <v>156</v>
      </c>
      <c r="B36" s="8">
        <v>23917</v>
      </c>
      <c r="C36" s="8" t="s">
        <v>157</v>
      </c>
      <c r="D36" s="8" t="s">
        <v>27</v>
      </c>
      <c r="E36" s="8" t="s">
        <v>158</v>
      </c>
      <c r="F36" s="8" t="s">
        <v>159</v>
      </c>
      <c r="G36" s="8" t="s">
        <v>15</v>
      </c>
      <c r="H36" s="9">
        <v>45181</v>
      </c>
      <c r="I36" s="8" t="s">
        <v>54</v>
      </c>
      <c r="J36" s="8"/>
    </row>
    <row r="37" spans="1:10" x14ac:dyDescent="0.3">
      <c r="A37" s="8" t="s">
        <v>160</v>
      </c>
      <c r="B37" s="8">
        <v>84249</v>
      </c>
      <c r="C37" s="8" t="s">
        <v>161</v>
      </c>
      <c r="D37" s="8" t="s">
        <v>36</v>
      </c>
      <c r="E37" s="8" t="s">
        <v>162</v>
      </c>
      <c r="F37" s="8" t="s">
        <v>163</v>
      </c>
      <c r="G37" s="8" t="s">
        <v>15</v>
      </c>
      <c r="H37" s="9">
        <v>45219</v>
      </c>
      <c r="I37" s="8" t="s">
        <v>39</v>
      </c>
      <c r="J37" s="8"/>
    </row>
    <row r="38" spans="1:10" x14ac:dyDescent="0.3">
      <c r="A38" s="8" t="s">
        <v>164</v>
      </c>
      <c r="B38" s="8">
        <v>21675</v>
      </c>
      <c r="C38" s="8" t="s">
        <v>165</v>
      </c>
      <c r="D38" s="8" t="s">
        <v>12</v>
      </c>
      <c r="E38" s="8" t="s">
        <v>166</v>
      </c>
      <c r="F38" s="8" t="s">
        <v>167</v>
      </c>
      <c r="G38" s="8" t="s">
        <v>22</v>
      </c>
      <c r="H38" s="9">
        <v>45643</v>
      </c>
      <c r="I38" s="8" t="s">
        <v>23</v>
      </c>
      <c r="J38" s="8"/>
    </row>
    <row r="39" spans="1:10" x14ac:dyDescent="0.3">
      <c r="A39" s="8" t="s">
        <v>168</v>
      </c>
      <c r="B39" s="8">
        <v>3053</v>
      </c>
      <c r="C39" s="8" t="s">
        <v>169</v>
      </c>
      <c r="D39" s="8" t="s">
        <v>36</v>
      </c>
      <c r="E39" s="8" t="s">
        <v>131</v>
      </c>
      <c r="F39" s="8" t="s">
        <v>170</v>
      </c>
      <c r="G39" s="8" t="s">
        <v>22</v>
      </c>
      <c r="H39" s="9">
        <v>45939</v>
      </c>
      <c r="I39" s="8" t="s">
        <v>54</v>
      </c>
      <c r="J39" s="8" t="s">
        <v>24</v>
      </c>
    </row>
    <row r="40" spans="1:10" x14ac:dyDescent="0.3">
      <c r="A40" s="8" t="s">
        <v>171</v>
      </c>
      <c r="B40" s="8">
        <v>40807</v>
      </c>
      <c r="C40" s="8" t="s">
        <v>172</v>
      </c>
      <c r="D40" s="8" t="s">
        <v>173</v>
      </c>
      <c r="E40" s="8" t="s">
        <v>174</v>
      </c>
      <c r="F40" s="8" t="s">
        <v>175</v>
      </c>
      <c r="G40" s="8" t="s">
        <v>22</v>
      </c>
      <c r="H40" s="9">
        <v>45339</v>
      </c>
      <c r="I40" s="8" t="s">
        <v>16</v>
      </c>
      <c r="J40" s="8" t="s">
        <v>95</v>
      </c>
    </row>
    <row r="41" spans="1:10" x14ac:dyDescent="0.3">
      <c r="A41" s="8" t="s">
        <v>176</v>
      </c>
      <c r="B41" s="8">
        <v>74865</v>
      </c>
      <c r="C41" s="8" t="s">
        <v>177</v>
      </c>
      <c r="D41" s="8" t="s">
        <v>47</v>
      </c>
      <c r="E41" s="8" t="s">
        <v>48</v>
      </c>
      <c r="F41" s="8" t="s">
        <v>178</v>
      </c>
      <c r="G41" s="8" t="s">
        <v>15</v>
      </c>
      <c r="H41" s="9">
        <v>45503</v>
      </c>
      <c r="I41" s="8" t="s">
        <v>39</v>
      </c>
      <c r="J41" s="8"/>
    </row>
    <row r="42" spans="1:10" x14ac:dyDescent="0.3">
      <c r="A42" s="8" t="s">
        <v>179</v>
      </c>
      <c r="B42" s="8">
        <v>9572</v>
      </c>
      <c r="C42" s="8" t="s">
        <v>180</v>
      </c>
      <c r="D42" s="8" t="s">
        <v>47</v>
      </c>
      <c r="E42" s="8" t="s">
        <v>181</v>
      </c>
      <c r="F42" s="8" t="s">
        <v>182</v>
      </c>
      <c r="G42" s="8" t="s">
        <v>22</v>
      </c>
      <c r="H42" s="9">
        <v>45028</v>
      </c>
      <c r="I42" s="8" t="s">
        <v>33</v>
      </c>
      <c r="J42" s="8" t="s">
        <v>95</v>
      </c>
    </row>
    <row r="43" spans="1:10" x14ac:dyDescent="0.3">
      <c r="A43" s="8" t="s">
        <v>183</v>
      </c>
      <c r="B43" s="8">
        <v>72564</v>
      </c>
      <c r="C43" s="8" t="s">
        <v>184</v>
      </c>
      <c r="D43" s="8" t="s">
        <v>12</v>
      </c>
      <c r="E43" s="8" t="s">
        <v>13</v>
      </c>
      <c r="F43" s="8" t="s">
        <v>185</v>
      </c>
      <c r="G43" s="8" t="s">
        <v>22</v>
      </c>
      <c r="H43" s="9">
        <v>45067</v>
      </c>
      <c r="I43" s="8" t="s">
        <v>33</v>
      </c>
      <c r="J43" s="8"/>
    </row>
    <row r="44" spans="1:10" x14ac:dyDescent="0.3">
      <c r="A44" s="8" t="s">
        <v>186</v>
      </c>
      <c r="B44" s="8">
        <v>80008</v>
      </c>
      <c r="C44" s="8" t="s">
        <v>187</v>
      </c>
      <c r="D44" s="8" t="s">
        <v>62</v>
      </c>
      <c r="E44" s="8" t="s">
        <v>89</v>
      </c>
      <c r="F44" s="8" t="s">
        <v>188</v>
      </c>
      <c r="G44" s="8" t="s">
        <v>22</v>
      </c>
      <c r="H44" s="9">
        <v>45464</v>
      </c>
      <c r="I44" s="8" t="s">
        <v>33</v>
      </c>
      <c r="J44" s="8" t="s">
        <v>78</v>
      </c>
    </row>
    <row r="45" spans="1:10" x14ac:dyDescent="0.3">
      <c r="A45" s="8" t="s">
        <v>189</v>
      </c>
      <c r="B45" s="8">
        <v>99495</v>
      </c>
      <c r="C45" s="8" t="s">
        <v>190</v>
      </c>
      <c r="D45" s="8" t="s">
        <v>173</v>
      </c>
      <c r="E45" s="8" t="s">
        <v>191</v>
      </c>
      <c r="F45" s="8" t="s">
        <v>192</v>
      </c>
      <c r="G45" s="8" t="s">
        <v>15</v>
      </c>
      <c r="H45" s="9">
        <v>45741</v>
      </c>
      <c r="I45" s="8" t="s">
        <v>23</v>
      </c>
      <c r="J45" s="8" t="s">
        <v>50</v>
      </c>
    </row>
    <row r="46" spans="1:10" x14ac:dyDescent="0.3">
      <c r="A46" s="8" t="s">
        <v>193</v>
      </c>
      <c r="B46" s="8">
        <v>88540</v>
      </c>
      <c r="C46" s="8" t="s">
        <v>194</v>
      </c>
      <c r="D46" s="8" t="s">
        <v>173</v>
      </c>
      <c r="E46" s="8" t="s">
        <v>191</v>
      </c>
      <c r="F46" s="8" t="s">
        <v>195</v>
      </c>
      <c r="G46" s="8" t="s">
        <v>22</v>
      </c>
      <c r="H46" s="9">
        <v>45257</v>
      </c>
      <c r="I46" s="8" t="s">
        <v>39</v>
      </c>
      <c r="J46" s="8"/>
    </row>
    <row r="47" spans="1:10" x14ac:dyDescent="0.3">
      <c r="A47" s="8" t="s">
        <v>196</v>
      </c>
      <c r="B47" s="8">
        <v>59678</v>
      </c>
      <c r="C47" s="8" t="s">
        <v>197</v>
      </c>
      <c r="D47" s="8" t="s">
        <v>36</v>
      </c>
      <c r="E47" s="8" t="s">
        <v>37</v>
      </c>
      <c r="F47" s="8" t="s">
        <v>198</v>
      </c>
      <c r="G47" s="8" t="s">
        <v>15</v>
      </c>
      <c r="H47" s="9">
        <v>45751</v>
      </c>
      <c r="I47" s="8" t="s">
        <v>54</v>
      </c>
      <c r="J47" s="8" t="s">
        <v>17</v>
      </c>
    </row>
    <row r="48" spans="1:10" x14ac:dyDescent="0.3">
      <c r="A48" s="8" t="s">
        <v>199</v>
      </c>
      <c r="B48" s="8">
        <v>44814</v>
      </c>
      <c r="C48" s="8" t="s">
        <v>200</v>
      </c>
      <c r="D48" s="8" t="s">
        <v>84</v>
      </c>
      <c r="E48" s="8" t="s">
        <v>201</v>
      </c>
      <c r="F48" s="8" t="s">
        <v>202</v>
      </c>
      <c r="G48" s="8" t="s">
        <v>22</v>
      </c>
      <c r="H48" s="9">
        <v>45278</v>
      </c>
      <c r="I48" s="8" t="s">
        <v>39</v>
      </c>
      <c r="J48" s="8"/>
    </row>
    <row r="49" spans="1:10" x14ac:dyDescent="0.3">
      <c r="A49" s="8" t="s">
        <v>203</v>
      </c>
      <c r="B49" s="8">
        <v>77629</v>
      </c>
      <c r="C49" s="8" t="s">
        <v>204</v>
      </c>
      <c r="D49" s="8" t="s">
        <v>62</v>
      </c>
      <c r="E49" s="8" t="s">
        <v>63</v>
      </c>
      <c r="F49" s="8" t="s">
        <v>205</v>
      </c>
      <c r="G49" s="8" t="s">
        <v>22</v>
      </c>
      <c r="H49" s="9">
        <v>44894</v>
      </c>
      <c r="I49" s="8" t="s">
        <v>39</v>
      </c>
      <c r="J49" s="8"/>
    </row>
    <row r="50" spans="1:10" x14ac:dyDescent="0.3">
      <c r="A50" s="8" t="s">
        <v>206</v>
      </c>
      <c r="B50" s="8">
        <v>83220</v>
      </c>
      <c r="C50" s="8" t="s">
        <v>207</v>
      </c>
      <c r="D50" s="8" t="s">
        <v>173</v>
      </c>
      <c r="E50" s="8" t="s">
        <v>191</v>
      </c>
      <c r="F50" s="8" t="s">
        <v>208</v>
      </c>
      <c r="G50" s="8" t="s">
        <v>15</v>
      </c>
      <c r="H50" s="9">
        <v>45785</v>
      </c>
      <c r="I50" s="8" t="s">
        <v>33</v>
      </c>
      <c r="J50" s="8"/>
    </row>
    <row r="51" spans="1:10" x14ac:dyDescent="0.3">
      <c r="A51" s="8" t="s">
        <v>209</v>
      </c>
      <c r="B51" s="8">
        <v>43810</v>
      </c>
      <c r="C51" s="8" t="s">
        <v>210</v>
      </c>
      <c r="D51" s="8" t="s">
        <v>36</v>
      </c>
      <c r="E51" s="8" t="s">
        <v>131</v>
      </c>
      <c r="F51" s="8" t="s">
        <v>211</v>
      </c>
      <c r="G51" s="8" t="s">
        <v>22</v>
      </c>
      <c r="H51" s="9">
        <v>45959</v>
      </c>
      <c r="I51" s="8" t="s">
        <v>33</v>
      </c>
      <c r="J51" s="8" t="s">
        <v>50</v>
      </c>
    </row>
    <row r="52" spans="1:10" x14ac:dyDescent="0.3">
      <c r="A52" s="8" t="s">
        <v>212</v>
      </c>
      <c r="B52" s="8">
        <v>88185</v>
      </c>
      <c r="C52" s="8" t="s">
        <v>213</v>
      </c>
      <c r="D52" s="8" t="s">
        <v>47</v>
      </c>
      <c r="E52" s="8" t="s">
        <v>48</v>
      </c>
      <c r="F52" s="8" t="s">
        <v>214</v>
      </c>
      <c r="G52" s="8" t="s">
        <v>22</v>
      </c>
      <c r="H52" s="9">
        <v>45007</v>
      </c>
      <c r="I52" s="8" t="s">
        <v>16</v>
      </c>
      <c r="J52" s="8"/>
    </row>
    <row r="53" spans="1:10" x14ac:dyDescent="0.3">
      <c r="A53" s="8" t="s">
        <v>215</v>
      </c>
      <c r="B53" s="8">
        <v>95312</v>
      </c>
      <c r="C53" s="8" t="s">
        <v>216</v>
      </c>
      <c r="D53" s="8" t="s">
        <v>84</v>
      </c>
      <c r="E53" s="8" t="s">
        <v>85</v>
      </c>
      <c r="F53" s="8" t="s">
        <v>217</v>
      </c>
      <c r="G53" s="8" t="s">
        <v>15</v>
      </c>
      <c r="H53" s="9">
        <v>45439</v>
      </c>
      <c r="I53" s="8" t="s">
        <v>33</v>
      </c>
      <c r="J53" s="8"/>
    </row>
    <row r="54" spans="1:10" x14ac:dyDescent="0.3">
      <c r="A54" s="8" t="s">
        <v>218</v>
      </c>
      <c r="B54" s="8">
        <v>53855</v>
      </c>
      <c r="C54" s="8" t="s">
        <v>219</v>
      </c>
      <c r="D54" s="8" t="s">
        <v>62</v>
      </c>
      <c r="E54" s="8" t="s">
        <v>89</v>
      </c>
      <c r="F54" s="8" t="s">
        <v>220</v>
      </c>
      <c r="G54" s="8" t="s">
        <v>22</v>
      </c>
      <c r="H54" s="9">
        <v>45238</v>
      </c>
      <c r="I54" s="8" t="s">
        <v>16</v>
      </c>
      <c r="J54" s="8" t="s">
        <v>50</v>
      </c>
    </row>
    <row r="55" spans="1:10" x14ac:dyDescent="0.3">
      <c r="A55" s="8" t="s">
        <v>221</v>
      </c>
      <c r="B55" s="8">
        <v>56999</v>
      </c>
      <c r="C55" s="8" t="s">
        <v>222</v>
      </c>
      <c r="D55" s="8" t="s">
        <v>57</v>
      </c>
      <c r="E55" s="8" t="s">
        <v>223</v>
      </c>
      <c r="F55" s="8" t="s">
        <v>224</v>
      </c>
      <c r="G55" s="8" t="s">
        <v>15</v>
      </c>
      <c r="H55" s="9">
        <v>45680</v>
      </c>
      <c r="I55" s="8" t="s">
        <v>33</v>
      </c>
      <c r="J55" s="8"/>
    </row>
    <row r="56" spans="1:10" x14ac:dyDescent="0.3">
      <c r="A56" s="8" t="s">
        <v>225</v>
      </c>
      <c r="B56" s="8">
        <v>96062</v>
      </c>
      <c r="C56" s="8" t="s">
        <v>226</v>
      </c>
      <c r="D56" s="8" t="s">
        <v>42</v>
      </c>
      <c r="E56" s="8" t="s">
        <v>76</v>
      </c>
      <c r="F56" s="8" t="s">
        <v>227</v>
      </c>
      <c r="G56" s="8" t="s">
        <v>15</v>
      </c>
      <c r="H56" s="9">
        <v>45817</v>
      </c>
      <c r="I56" s="8" t="s">
        <v>16</v>
      </c>
      <c r="J56" s="8"/>
    </row>
    <row r="57" spans="1:10" x14ac:dyDescent="0.3">
      <c r="A57" s="8" t="s">
        <v>228</v>
      </c>
      <c r="B57" s="8">
        <v>13400</v>
      </c>
      <c r="C57" s="8" t="s">
        <v>229</v>
      </c>
      <c r="D57" s="8" t="s">
        <v>27</v>
      </c>
      <c r="E57" s="8" t="s">
        <v>230</v>
      </c>
      <c r="F57" s="8" t="s">
        <v>231</v>
      </c>
      <c r="G57" s="8" t="s">
        <v>22</v>
      </c>
      <c r="H57" s="9">
        <v>45055</v>
      </c>
      <c r="I57" s="8" t="s">
        <v>16</v>
      </c>
      <c r="J57" s="8" t="s">
        <v>50</v>
      </c>
    </row>
    <row r="58" spans="1:10" x14ac:dyDescent="0.3">
      <c r="A58" s="8" t="s">
        <v>232</v>
      </c>
      <c r="B58" s="8">
        <v>14823</v>
      </c>
      <c r="C58" s="8" t="s">
        <v>233</v>
      </c>
      <c r="D58" s="8" t="s">
        <v>84</v>
      </c>
      <c r="E58" s="8" t="s">
        <v>234</v>
      </c>
      <c r="F58" s="8" t="s">
        <v>235</v>
      </c>
      <c r="G58" s="8" t="s">
        <v>15</v>
      </c>
      <c r="H58" s="9">
        <v>45535</v>
      </c>
      <c r="I58" s="8" t="s">
        <v>39</v>
      </c>
      <c r="J58" s="8" t="s">
        <v>24</v>
      </c>
    </row>
    <row r="59" spans="1:10" x14ac:dyDescent="0.3">
      <c r="A59" s="8" t="s">
        <v>236</v>
      </c>
      <c r="B59" s="8">
        <v>59301</v>
      </c>
      <c r="C59" s="8" t="s">
        <v>237</v>
      </c>
      <c r="D59" s="8" t="s">
        <v>47</v>
      </c>
      <c r="E59" s="8" t="s">
        <v>112</v>
      </c>
      <c r="F59" s="8" t="s">
        <v>238</v>
      </c>
      <c r="G59" s="8" t="s">
        <v>15</v>
      </c>
      <c r="H59" s="9">
        <v>45490</v>
      </c>
      <c r="I59" s="8" t="s">
        <v>39</v>
      </c>
      <c r="J59" s="8"/>
    </row>
    <row r="60" spans="1:10" x14ac:dyDescent="0.3">
      <c r="A60" s="8" t="s">
        <v>239</v>
      </c>
      <c r="B60" s="8">
        <v>61138</v>
      </c>
      <c r="C60" s="8" t="s">
        <v>240</v>
      </c>
      <c r="D60" s="8" t="s">
        <v>27</v>
      </c>
      <c r="E60" s="8" t="s">
        <v>241</v>
      </c>
      <c r="F60" s="8" t="s">
        <v>242</v>
      </c>
      <c r="G60" s="8" t="s">
        <v>22</v>
      </c>
      <c r="H60" s="9">
        <v>45027</v>
      </c>
      <c r="I60" s="8" t="s">
        <v>54</v>
      </c>
      <c r="J60" s="8"/>
    </row>
    <row r="61" spans="1:10" x14ac:dyDescent="0.3">
      <c r="A61" s="8" t="s">
        <v>243</v>
      </c>
      <c r="B61" s="8">
        <v>58583</v>
      </c>
      <c r="C61" s="8" t="s">
        <v>244</v>
      </c>
      <c r="D61" s="8" t="s">
        <v>36</v>
      </c>
      <c r="E61" s="8" t="s">
        <v>162</v>
      </c>
      <c r="F61" s="8" t="s">
        <v>245</v>
      </c>
      <c r="G61" s="8" t="s">
        <v>15</v>
      </c>
      <c r="H61" s="9">
        <v>45183</v>
      </c>
      <c r="I61" s="8" t="s">
        <v>39</v>
      </c>
      <c r="J61" s="8"/>
    </row>
    <row r="62" spans="1:10" x14ac:dyDescent="0.3">
      <c r="A62" s="8" t="s">
        <v>246</v>
      </c>
      <c r="B62" s="8">
        <v>2435</v>
      </c>
      <c r="C62" s="8" t="s">
        <v>247</v>
      </c>
      <c r="D62" s="8" t="s">
        <v>84</v>
      </c>
      <c r="E62" s="8" t="s">
        <v>248</v>
      </c>
      <c r="F62" s="8" t="s">
        <v>249</v>
      </c>
      <c r="G62" s="8" t="s">
        <v>15</v>
      </c>
      <c r="H62" s="9">
        <v>45858</v>
      </c>
      <c r="I62" s="8" t="s">
        <v>54</v>
      </c>
      <c r="J62" s="8" t="s">
        <v>50</v>
      </c>
    </row>
    <row r="63" spans="1:10" x14ac:dyDescent="0.3">
      <c r="A63" s="8" t="s">
        <v>250</v>
      </c>
      <c r="B63" s="8">
        <v>31483</v>
      </c>
      <c r="C63" s="8" t="s">
        <v>251</v>
      </c>
      <c r="D63" s="8" t="s">
        <v>57</v>
      </c>
      <c r="E63" s="8" t="s">
        <v>252</v>
      </c>
      <c r="F63" s="8" t="s">
        <v>253</v>
      </c>
      <c r="G63" s="8" t="s">
        <v>15</v>
      </c>
      <c r="H63" s="9">
        <v>45223</v>
      </c>
      <c r="I63" s="8" t="s">
        <v>39</v>
      </c>
      <c r="J63" s="8"/>
    </row>
    <row r="64" spans="1:10" x14ac:dyDescent="0.3">
      <c r="A64" s="8" t="s">
        <v>254</v>
      </c>
      <c r="B64" s="8">
        <v>28517</v>
      </c>
      <c r="C64" s="8" t="s">
        <v>255</v>
      </c>
      <c r="D64" s="8" t="s">
        <v>62</v>
      </c>
      <c r="E64" s="8" t="s">
        <v>154</v>
      </c>
      <c r="F64" s="8" t="s">
        <v>256</v>
      </c>
      <c r="G64" s="8" t="s">
        <v>22</v>
      </c>
      <c r="H64" s="9">
        <v>45673</v>
      </c>
      <c r="I64" s="8" t="s">
        <v>23</v>
      </c>
      <c r="J64" s="8" t="s">
        <v>17</v>
      </c>
    </row>
    <row r="65" spans="1:10" x14ac:dyDescent="0.3">
      <c r="A65" s="8" t="s">
        <v>257</v>
      </c>
      <c r="B65" s="8">
        <v>50173</v>
      </c>
      <c r="C65" s="8" t="s">
        <v>258</v>
      </c>
      <c r="D65" s="8" t="s">
        <v>84</v>
      </c>
      <c r="E65" s="8" t="s">
        <v>119</v>
      </c>
      <c r="F65" s="8" t="s">
        <v>259</v>
      </c>
      <c r="G65" s="8" t="s">
        <v>22</v>
      </c>
      <c r="H65" s="9">
        <v>45766</v>
      </c>
      <c r="I65" s="8" t="s">
        <v>16</v>
      </c>
      <c r="J65" s="8"/>
    </row>
    <row r="66" spans="1:10" x14ac:dyDescent="0.3">
      <c r="A66" s="8" t="s">
        <v>260</v>
      </c>
      <c r="B66" s="8">
        <v>60139</v>
      </c>
      <c r="C66" s="8" t="s">
        <v>261</v>
      </c>
      <c r="D66" s="8" t="s">
        <v>27</v>
      </c>
      <c r="E66" s="8" t="s">
        <v>230</v>
      </c>
      <c r="F66" s="8" t="s">
        <v>262</v>
      </c>
      <c r="G66" s="8" t="s">
        <v>22</v>
      </c>
      <c r="H66" s="9">
        <v>44944</v>
      </c>
      <c r="I66" s="8" t="s">
        <v>33</v>
      </c>
      <c r="J66" s="8" t="s">
        <v>17</v>
      </c>
    </row>
    <row r="67" spans="1:10" x14ac:dyDescent="0.3">
      <c r="A67" s="8" t="s">
        <v>263</v>
      </c>
      <c r="B67" s="8">
        <v>73346</v>
      </c>
      <c r="C67" s="8" t="s">
        <v>264</v>
      </c>
      <c r="D67" s="8" t="s">
        <v>42</v>
      </c>
      <c r="E67" s="8" t="s">
        <v>108</v>
      </c>
      <c r="F67" s="8" t="s">
        <v>265</v>
      </c>
      <c r="G67" s="8" t="s">
        <v>15</v>
      </c>
      <c r="H67" s="9">
        <v>45890</v>
      </c>
      <c r="I67" s="8" t="s">
        <v>23</v>
      </c>
      <c r="J67" s="8" t="s">
        <v>78</v>
      </c>
    </row>
    <row r="68" spans="1:10" x14ac:dyDescent="0.3">
      <c r="A68" s="8" t="s">
        <v>82</v>
      </c>
      <c r="B68" s="8">
        <v>29035</v>
      </c>
      <c r="C68" s="8" t="s">
        <v>266</v>
      </c>
      <c r="D68" s="8" t="s">
        <v>84</v>
      </c>
      <c r="E68" s="8" t="s">
        <v>85</v>
      </c>
      <c r="F68" s="8" t="s">
        <v>267</v>
      </c>
      <c r="G68" s="8" t="s">
        <v>15</v>
      </c>
      <c r="H68" s="9">
        <v>45020</v>
      </c>
      <c r="I68" s="8" t="s">
        <v>39</v>
      </c>
      <c r="J68" s="8" t="s">
        <v>78</v>
      </c>
    </row>
    <row r="69" spans="1:10" x14ac:dyDescent="0.3">
      <c r="A69" s="8" t="s">
        <v>268</v>
      </c>
      <c r="B69" s="8">
        <v>8490</v>
      </c>
      <c r="C69" s="8" t="s">
        <v>269</v>
      </c>
      <c r="D69" s="8" t="s">
        <v>173</v>
      </c>
      <c r="E69" s="8" t="s">
        <v>270</v>
      </c>
      <c r="F69" s="8" t="s">
        <v>271</v>
      </c>
      <c r="G69" s="8" t="s">
        <v>15</v>
      </c>
      <c r="H69" s="9">
        <v>45240</v>
      </c>
      <c r="I69" s="8" t="s">
        <v>16</v>
      </c>
      <c r="J69" s="8"/>
    </row>
    <row r="70" spans="1:10" x14ac:dyDescent="0.3">
      <c r="A70" s="8" t="s">
        <v>272</v>
      </c>
      <c r="B70" s="8">
        <v>62994</v>
      </c>
      <c r="C70" s="8" t="s">
        <v>273</v>
      </c>
      <c r="D70" s="8" t="s">
        <v>173</v>
      </c>
      <c r="E70" s="8" t="s">
        <v>270</v>
      </c>
      <c r="F70" s="8" t="s">
        <v>274</v>
      </c>
      <c r="G70" s="8" t="s">
        <v>15</v>
      </c>
      <c r="H70" s="9">
        <v>45709</v>
      </c>
      <c r="I70" s="8" t="s">
        <v>39</v>
      </c>
      <c r="J70" s="8" t="s">
        <v>24</v>
      </c>
    </row>
    <row r="71" spans="1:10" x14ac:dyDescent="0.3">
      <c r="A71" s="8" t="s">
        <v>275</v>
      </c>
      <c r="B71" s="8">
        <v>11001</v>
      </c>
      <c r="C71" s="8" t="s">
        <v>276</v>
      </c>
      <c r="D71" s="8" t="s">
        <v>71</v>
      </c>
      <c r="E71" s="8" t="s">
        <v>277</v>
      </c>
      <c r="F71" s="8" t="s">
        <v>278</v>
      </c>
      <c r="G71" s="8" t="s">
        <v>15</v>
      </c>
      <c r="H71" s="9">
        <v>45382</v>
      </c>
      <c r="I71" s="8" t="s">
        <v>33</v>
      </c>
      <c r="J71" s="8" t="s">
        <v>50</v>
      </c>
    </row>
    <row r="72" spans="1:10" x14ac:dyDescent="0.3">
      <c r="A72" s="8" t="s">
        <v>279</v>
      </c>
      <c r="B72" s="8">
        <v>89002</v>
      </c>
      <c r="C72" s="8" t="s">
        <v>280</v>
      </c>
      <c r="D72" s="8" t="s">
        <v>36</v>
      </c>
      <c r="E72" s="8" t="s">
        <v>131</v>
      </c>
      <c r="F72" s="8" t="s">
        <v>281</v>
      </c>
      <c r="G72" s="8" t="s">
        <v>15</v>
      </c>
      <c r="H72" s="9">
        <v>45568</v>
      </c>
      <c r="I72" s="8" t="s">
        <v>16</v>
      </c>
      <c r="J72" s="8"/>
    </row>
    <row r="73" spans="1:10" x14ac:dyDescent="0.3">
      <c r="A73" s="8" t="s">
        <v>282</v>
      </c>
      <c r="B73" s="8">
        <v>32772</v>
      </c>
      <c r="C73" s="8" t="s">
        <v>283</v>
      </c>
      <c r="D73" s="8" t="s">
        <v>47</v>
      </c>
      <c r="E73" s="8" t="s">
        <v>112</v>
      </c>
      <c r="F73" s="8" t="s">
        <v>284</v>
      </c>
      <c r="G73" s="8" t="s">
        <v>15</v>
      </c>
      <c r="H73" s="9">
        <v>45892</v>
      </c>
      <c r="I73" s="8" t="s">
        <v>39</v>
      </c>
      <c r="J73" s="8" t="s">
        <v>95</v>
      </c>
    </row>
    <row r="74" spans="1:10" x14ac:dyDescent="0.3">
      <c r="A74" s="8" t="s">
        <v>285</v>
      </c>
      <c r="B74" s="8">
        <v>86664</v>
      </c>
      <c r="C74" s="8" t="s">
        <v>286</v>
      </c>
      <c r="D74" s="8" t="s">
        <v>47</v>
      </c>
      <c r="E74" s="8" t="s">
        <v>48</v>
      </c>
      <c r="F74" s="8" t="s">
        <v>287</v>
      </c>
      <c r="G74" s="8" t="s">
        <v>15</v>
      </c>
      <c r="H74" s="9">
        <v>44903</v>
      </c>
      <c r="I74" s="8" t="s">
        <v>33</v>
      </c>
      <c r="J74" s="8" t="s">
        <v>50</v>
      </c>
    </row>
    <row r="75" spans="1:10" x14ac:dyDescent="0.3">
      <c r="A75" s="8" t="s">
        <v>288</v>
      </c>
      <c r="B75" s="8">
        <v>88283</v>
      </c>
      <c r="C75" s="8" t="s">
        <v>289</v>
      </c>
      <c r="D75" s="8" t="s">
        <v>42</v>
      </c>
      <c r="E75" s="8" t="s">
        <v>76</v>
      </c>
      <c r="F75" s="8" t="s">
        <v>290</v>
      </c>
      <c r="G75" s="8" t="s">
        <v>15</v>
      </c>
      <c r="H75" s="9">
        <v>45448</v>
      </c>
      <c r="I75" s="8" t="s">
        <v>39</v>
      </c>
      <c r="J75" s="8" t="s">
        <v>95</v>
      </c>
    </row>
    <row r="76" spans="1:10" x14ac:dyDescent="0.3">
      <c r="A76" s="8" t="s">
        <v>291</v>
      </c>
      <c r="B76" s="8">
        <v>17655</v>
      </c>
      <c r="C76" s="8" t="s">
        <v>292</v>
      </c>
      <c r="D76" s="8" t="s">
        <v>84</v>
      </c>
      <c r="E76" s="8" t="s">
        <v>85</v>
      </c>
      <c r="F76" s="8" t="s">
        <v>293</v>
      </c>
      <c r="G76" s="8" t="s">
        <v>15</v>
      </c>
      <c r="H76" s="9">
        <v>45594</v>
      </c>
      <c r="I76" s="8" t="s">
        <v>23</v>
      </c>
      <c r="J76" s="8"/>
    </row>
    <row r="77" spans="1:10" x14ac:dyDescent="0.3">
      <c r="A77" s="8" t="s">
        <v>294</v>
      </c>
      <c r="B77" s="8">
        <v>10009</v>
      </c>
      <c r="C77" s="8" t="s">
        <v>295</v>
      </c>
      <c r="D77" s="8" t="s">
        <v>47</v>
      </c>
      <c r="E77" s="8" t="s">
        <v>112</v>
      </c>
      <c r="F77" s="8" t="s">
        <v>296</v>
      </c>
      <c r="G77" s="8" t="s">
        <v>22</v>
      </c>
      <c r="H77" s="9">
        <v>45526</v>
      </c>
      <c r="I77" s="8" t="s">
        <v>39</v>
      </c>
      <c r="J77" s="8" t="s">
        <v>78</v>
      </c>
    </row>
    <row r="78" spans="1:10" x14ac:dyDescent="0.3">
      <c r="A78" s="8" t="s">
        <v>297</v>
      </c>
      <c r="B78" s="8">
        <v>13605</v>
      </c>
      <c r="C78" s="8" t="s">
        <v>298</v>
      </c>
      <c r="D78" s="8" t="s">
        <v>71</v>
      </c>
      <c r="E78" s="8" t="s">
        <v>93</v>
      </c>
      <c r="F78" s="8" t="s">
        <v>299</v>
      </c>
      <c r="G78" s="8" t="s">
        <v>22</v>
      </c>
      <c r="H78" s="9">
        <v>45113</v>
      </c>
      <c r="I78" s="8" t="s">
        <v>16</v>
      </c>
      <c r="J78" s="8" t="s">
        <v>78</v>
      </c>
    </row>
    <row r="79" spans="1:10" x14ac:dyDescent="0.3">
      <c r="A79" s="8" t="s">
        <v>300</v>
      </c>
      <c r="B79" s="8">
        <v>35261</v>
      </c>
      <c r="C79" s="8" t="s">
        <v>301</v>
      </c>
      <c r="D79" s="8" t="s">
        <v>57</v>
      </c>
      <c r="E79" s="8" t="s">
        <v>58</v>
      </c>
      <c r="F79" s="8" t="s">
        <v>302</v>
      </c>
      <c r="G79" s="8" t="s">
        <v>15</v>
      </c>
      <c r="H79" s="9">
        <v>45495</v>
      </c>
      <c r="I79" s="8" t="s">
        <v>39</v>
      </c>
      <c r="J79" s="8" t="s">
        <v>24</v>
      </c>
    </row>
    <row r="80" spans="1:10" x14ac:dyDescent="0.3">
      <c r="A80" s="8" t="s">
        <v>303</v>
      </c>
      <c r="B80" s="8">
        <v>32519</v>
      </c>
      <c r="C80" s="8" t="s">
        <v>304</v>
      </c>
      <c r="D80" s="8" t="s">
        <v>42</v>
      </c>
      <c r="E80" s="8" t="s">
        <v>305</v>
      </c>
      <c r="F80" s="8" t="s">
        <v>306</v>
      </c>
      <c r="G80" s="8" t="s">
        <v>15</v>
      </c>
      <c r="H80" s="9">
        <v>45744</v>
      </c>
      <c r="I80" s="8" t="s">
        <v>16</v>
      </c>
      <c r="J80" s="8"/>
    </row>
    <row r="81" spans="1:10" x14ac:dyDescent="0.3">
      <c r="A81" s="8" t="s">
        <v>307</v>
      </c>
      <c r="B81" s="8">
        <v>71701</v>
      </c>
      <c r="C81" s="8" t="s">
        <v>308</v>
      </c>
      <c r="D81" s="8" t="s">
        <v>12</v>
      </c>
      <c r="E81" s="8" t="s">
        <v>138</v>
      </c>
      <c r="F81" s="8" t="s">
        <v>309</v>
      </c>
      <c r="G81" s="8" t="s">
        <v>15</v>
      </c>
      <c r="H81" s="9">
        <v>44970</v>
      </c>
      <c r="I81" s="8" t="s">
        <v>39</v>
      </c>
      <c r="J81" s="8" t="s">
        <v>95</v>
      </c>
    </row>
    <row r="82" spans="1:10" x14ac:dyDescent="0.3">
      <c r="A82" s="8" t="s">
        <v>310</v>
      </c>
      <c r="B82" s="8">
        <v>86218</v>
      </c>
      <c r="C82" s="8" t="s">
        <v>311</v>
      </c>
      <c r="D82" s="8" t="s">
        <v>57</v>
      </c>
      <c r="E82" s="8" t="s">
        <v>312</v>
      </c>
      <c r="F82" s="8" t="s">
        <v>313</v>
      </c>
      <c r="G82" s="8" t="s">
        <v>22</v>
      </c>
      <c r="H82" s="9">
        <v>45381</v>
      </c>
      <c r="I82" s="8" t="s">
        <v>23</v>
      </c>
      <c r="J82" s="8"/>
    </row>
    <row r="83" spans="1:10" x14ac:dyDescent="0.3">
      <c r="A83" s="8" t="s">
        <v>314</v>
      </c>
      <c r="B83" s="8">
        <v>39741</v>
      </c>
      <c r="C83" s="8" t="s">
        <v>315</v>
      </c>
      <c r="D83" s="8" t="s">
        <v>62</v>
      </c>
      <c r="E83" s="8" t="s">
        <v>316</v>
      </c>
      <c r="F83" s="8" t="s">
        <v>317</v>
      </c>
      <c r="G83" s="8" t="s">
        <v>15</v>
      </c>
      <c r="H83" s="9">
        <v>45946</v>
      </c>
      <c r="I83" s="8" t="s">
        <v>54</v>
      </c>
      <c r="J83" s="8" t="s">
        <v>95</v>
      </c>
    </row>
    <row r="84" spans="1:10" x14ac:dyDescent="0.3">
      <c r="A84" s="8" t="s">
        <v>314</v>
      </c>
      <c r="B84" s="8">
        <v>35165</v>
      </c>
      <c r="C84" s="8" t="s">
        <v>318</v>
      </c>
      <c r="D84" s="8" t="s">
        <v>62</v>
      </c>
      <c r="E84" s="8" t="s">
        <v>316</v>
      </c>
      <c r="F84" s="8" t="s">
        <v>319</v>
      </c>
      <c r="G84" s="8" t="s">
        <v>22</v>
      </c>
      <c r="H84" s="9">
        <v>45791</v>
      </c>
      <c r="I84" s="8" t="s">
        <v>54</v>
      </c>
      <c r="J84" s="8"/>
    </row>
    <row r="85" spans="1:10" x14ac:dyDescent="0.3">
      <c r="A85" s="8" t="s">
        <v>320</v>
      </c>
      <c r="B85" s="8">
        <v>73013</v>
      </c>
      <c r="C85" s="8" t="s">
        <v>321</v>
      </c>
      <c r="D85" s="8" t="s">
        <v>42</v>
      </c>
      <c r="E85" s="8" t="s">
        <v>76</v>
      </c>
      <c r="F85" s="8" t="s">
        <v>322</v>
      </c>
      <c r="G85" s="8" t="s">
        <v>22</v>
      </c>
      <c r="H85" s="9">
        <v>45718</v>
      </c>
      <c r="I85" s="8" t="s">
        <v>16</v>
      </c>
      <c r="J85" s="8" t="s">
        <v>95</v>
      </c>
    </row>
    <row r="86" spans="1:10" x14ac:dyDescent="0.3">
      <c r="A86" s="8" t="s">
        <v>323</v>
      </c>
      <c r="B86" s="8">
        <v>28108</v>
      </c>
      <c r="C86" s="8" t="s">
        <v>324</v>
      </c>
      <c r="D86" s="8" t="s">
        <v>12</v>
      </c>
      <c r="E86" s="8" t="s">
        <v>13</v>
      </c>
      <c r="F86" s="8" t="s">
        <v>325</v>
      </c>
      <c r="G86" s="8" t="s">
        <v>22</v>
      </c>
      <c r="H86" s="9">
        <v>45639</v>
      </c>
      <c r="I86" s="8" t="s">
        <v>39</v>
      </c>
      <c r="J86" s="8"/>
    </row>
    <row r="87" spans="1:10" x14ac:dyDescent="0.3">
      <c r="A87" s="8" t="s">
        <v>326</v>
      </c>
      <c r="B87" s="8">
        <v>35101</v>
      </c>
      <c r="C87" s="8" t="s">
        <v>327</v>
      </c>
      <c r="D87" s="8" t="s">
        <v>173</v>
      </c>
      <c r="E87" s="8" t="s">
        <v>328</v>
      </c>
      <c r="F87" s="8" t="s">
        <v>329</v>
      </c>
      <c r="G87" s="8" t="s">
        <v>15</v>
      </c>
      <c r="H87" s="9">
        <v>45027</v>
      </c>
      <c r="I87" s="8" t="s">
        <v>16</v>
      </c>
      <c r="J87" s="8"/>
    </row>
    <row r="88" spans="1:10" x14ac:dyDescent="0.3">
      <c r="A88" s="8" t="s">
        <v>330</v>
      </c>
      <c r="B88" s="8">
        <v>7159</v>
      </c>
      <c r="C88" s="8" t="s">
        <v>331</v>
      </c>
      <c r="D88" s="8" t="s">
        <v>36</v>
      </c>
      <c r="E88" s="8" t="s">
        <v>131</v>
      </c>
      <c r="F88" s="8" t="s">
        <v>332</v>
      </c>
      <c r="G88" s="8" t="s">
        <v>22</v>
      </c>
      <c r="H88" s="9">
        <v>45781</v>
      </c>
      <c r="I88" s="8" t="s">
        <v>54</v>
      </c>
      <c r="J88" s="8" t="s">
        <v>50</v>
      </c>
    </row>
    <row r="89" spans="1:10" x14ac:dyDescent="0.3">
      <c r="A89" s="8" t="s">
        <v>333</v>
      </c>
      <c r="B89" s="8">
        <v>36766</v>
      </c>
      <c r="C89" s="8" t="s">
        <v>334</v>
      </c>
      <c r="D89" s="8" t="s">
        <v>47</v>
      </c>
      <c r="E89" s="8" t="s">
        <v>112</v>
      </c>
      <c r="F89" s="8" t="s">
        <v>335</v>
      </c>
      <c r="G89" s="8" t="s">
        <v>22</v>
      </c>
      <c r="H89" s="9">
        <v>45545</v>
      </c>
      <c r="I89" s="8" t="s">
        <v>54</v>
      </c>
      <c r="J89" s="8" t="s">
        <v>24</v>
      </c>
    </row>
    <row r="90" spans="1:10" x14ac:dyDescent="0.3">
      <c r="A90" s="8" t="s">
        <v>336</v>
      </c>
      <c r="B90" s="8">
        <v>17647</v>
      </c>
      <c r="C90" s="8" t="s">
        <v>337</v>
      </c>
      <c r="D90" s="8" t="s">
        <v>173</v>
      </c>
      <c r="E90" s="8" t="s">
        <v>270</v>
      </c>
      <c r="F90" s="8" t="s">
        <v>338</v>
      </c>
      <c r="G90" s="8" t="s">
        <v>15</v>
      </c>
      <c r="H90" s="9">
        <v>45515</v>
      </c>
      <c r="I90" s="8" t="s">
        <v>16</v>
      </c>
      <c r="J90" s="8" t="s">
        <v>95</v>
      </c>
    </row>
    <row r="91" spans="1:10" x14ac:dyDescent="0.3">
      <c r="A91" s="8" t="s">
        <v>339</v>
      </c>
      <c r="B91" s="8">
        <v>72810</v>
      </c>
      <c r="C91" s="8" t="s">
        <v>340</v>
      </c>
      <c r="D91" s="8" t="s">
        <v>71</v>
      </c>
      <c r="E91" s="8" t="s">
        <v>93</v>
      </c>
      <c r="F91" s="8" t="s">
        <v>341</v>
      </c>
      <c r="G91" s="8" t="s">
        <v>15</v>
      </c>
      <c r="H91" s="9">
        <v>45554</v>
      </c>
      <c r="I91" s="8" t="s">
        <v>16</v>
      </c>
      <c r="J91" s="8" t="s">
        <v>78</v>
      </c>
    </row>
    <row r="92" spans="1:10" x14ac:dyDescent="0.3">
      <c r="A92" s="8" t="s">
        <v>342</v>
      </c>
      <c r="B92" s="8">
        <v>10363</v>
      </c>
      <c r="C92" s="8" t="s">
        <v>343</v>
      </c>
      <c r="D92" s="8" t="s">
        <v>62</v>
      </c>
      <c r="E92" s="8" t="s">
        <v>154</v>
      </c>
      <c r="F92" s="8" t="s">
        <v>344</v>
      </c>
      <c r="G92" s="8" t="s">
        <v>22</v>
      </c>
      <c r="H92" s="9">
        <v>45027</v>
      </c>
      <c r="I92" s="8" t="s">
        <v>39</v>
      </c>
      <c r="J92" s="8" t="s">
        <v>78</v>
      </c>
    </row>
    <row r="93" spans="1:10" x14ac:dyDescent="0.3">
      <c r="A93" s="8" t="s">
        <v>345</v>
      </c>
      <c r="B93" s="8">
        <v>48894</v>
      </c>
      <c r="C93" s="8" t="s">
        <v>346</v>
      </c>
      <c r="D93" s="8" t="s">
        <v>12</v>
      </c>
      <c r="E93" s="8" t="s">
        <v>123</v>
      </c>
      <c r="F93" s="8" t="s">
        <v>347</v>
      </c>
      <c r="G93" s="8" t="s">
        <v>15</v>
      </c>
      <c r="H93" s="9">
        <v>45042</v>
      </c>
      <c r="I93" s="8" t="s">
        <v>33</v>
      </c>
      <c r="J93" s="8" t="s">
        <v>17</v>
      </c>
    </row>
    <row r="94" spans="1:10" x14ac:dyDescent="0.3">
      <c r="A94" s="8" t="s">
        <v>348</v>
      </c>
      <c r="B94" s="8">
        <v>40905</v>
      </c>
      <c r="C94" s="8" t="s">
        <v>349</v>
      </c>
      <c r="D94" s="8" t="s">
        <v>27</v>
      </c>
      <c r="E94" s="8" t="s">
        <v>28</v>
      </c>
      <c r="F94" s="8" t="s">
        <v>350</v>
      </c>
      <c r="G94" s="8" t="s">
        <v>15</v>
      </c>
      <c r="H94" s="9">
        <v>45910</v>
      </c>
      <c r="I94" s="8" t="s">
        <v>23</v>
      </c>
      <c r="J94" s="8" t="s">
        <v>17</v>
      </c>
    </row>
    <row r="95" spans="1:10" x14ac:dyDescent="0.3">
      <c r="A95" s="8" t="s">
        <v>351</v>
      </c>
      <c r="B95" s="8">
        <v>5730</v>
      </c>
      <c r="C95" s="8" t="s">
        <v>352</v>
      </c>
      <c r="D95" s="8" t="s">
        <v>62</v>
      </c>
      <c r="E95" s="8" t="s">
        <v>63</v>
      </c>
      <c r="F95" s="8" t="s">
        <v>353</v>
      </c>
      <c r="G95" s="8" t="s">
        <v>22</v>
      </c>
      <c r="H95" s="9">
        <v>44954</v>
      </c>
      <c r="I95" s="8" t="s">
        <v>33</v>
      </c>
      <c r="J95" s="8" t="s">
        <v>78</v>
      </c>
    </row>
    <row r="96" spans="1:10" x14ac:dyDescent="0.3">
      <c r="A96" s="8" t="s">
        <v>354</v>
      </c>
      <c r="B96" s="8">
        <v>87917</v>
      </c>
      <c r="C96" s="8" t="s">
        <v>355</v>
      </c>
      <c r="D96" s="8" t="s">
        <v>71</v>
      </c>
      <c r="E96" s="8" t="s">
        <v>277</v>
      </c>
      <c r="F96" s="8" t="s">
        <v>356</v>
      </c>
      <c r="G96" s="8" t="s">
        <v>22</v>
      </c>
      <c r="H96" s="9">
        <v>45305</v>
      </c>
      <c r="I96" s="8" t="s">
        <v>54</v>
      </c>
      <c r="J96" s="8"/>
    </row>
    <row r="97" spans="1:10" x14ac:dyDescent="0.3">
      <c r="A97" s="8" t="s">
        <v>357</v>
      </c>
      <c r="B97" s="8">
        <v>53765</v>
      </c>
      <c r="C97" s="8" t="s">
        <v>358</v>
      </c>
      <c r="D97" s="8" t="s">
        <v>12</v>
      </c>
      <c r="E97" s="8" t="s">
        <v>20</v>
      </c>
      <c r="F97" s="8" t="s">
        <v>359</v>
      </c>
      <c r="G97" s="8" t="s">
        <v>22</v>
      </c>
      <c r="H97" s="9">
        <v>45504</v>
      </c>
      <c r="I97" s="8" t="s">
        <v>23</v>
      </c>
      <c r="J97" s="8"/>
    </row>
    <row r="98" spans="1:10" x14ac:dyDescent="0.3">
      <c r="A98" s="8" t="s">
        <v>360</v>
      </c>
      <c r="B98" s="8">
        <v>21800</v>
      </c>
      <c r="C98" s="8" t="s">
        <v>361</v>
      </c>
      <c r="D98" s="8" t="s">
        <v>12</v>
      </c>
      <c r="E98" s="8" t="s">
        <v>166</v>
      </c>
      <c r="F98" s="8" t="s">
        <v>362</v>
      </c>
      <c r="G98" s="8" t="s">
        <v>22</v>
      </c>
      <c r="H98" s="9">
        <v>45022</v>
      </c>
      <c r="I98" s="8" t="s">
        <v>39</v>
      </c>
      <c r="J98" s="8"/>
    </row>
    <row r="99" spans="1:10" x14ac:dyDescent="0.3">
      <c r="A99" s="8" t="s">
        <v>363</v>
      </c>
      <c r="B99" s="8">
        <v>24010</v>
      </c>
      <c r="C99" s="8" t="s">
        <v>364</v>
      </c>
      <c r="D99" s="8" t="s">
        <v>27</v>
      </c>
      <c r="E99" s="8" t="s">
        <v>98</v>
      </c>
      <c r="F99" s="8" t="s">
        <v>365</v>
      </c>
      <c r="G99" s="8" t="s">
        <v>15</v>
      </c>
      <c r="H99" s="9">
        <v>44940</v>
      </c>
      <c r="I99" s="8" t="s">
        <v>16</v>
      </c>
      <c r="J99" s="8" t="s">
        <v>50</v>
      </c>
    </row>
    <row r="100" spans="1:10" x14ac:dyDescent="0.3">
      <c r="A100" s="8" t="s">
        <v>366</v>
      </c>
      <c r="B100" s="8">
        <v>88307</v>
      </c>
      <c r="C100" s="8" t="s">
        <v>367</v>
      </c>
      <c r="D100" s="8" t="s">
        <v>62</v>
      </c>
      <c r="E100" s="8" t="s">
        <v>154</v>
      </c>
      <c r="F100" s="8" t="s">
        <v>368</v>
      </c>
      <c r="G100" s="8" t="s">
        <v>15</v>
      </c>
      <c r="H100" s="9">
        <v>45447</v>
      </c>
      <c r="I100" s="8" t="s">
        <v>54</v>
      </c>
      <c r="J100" s="8" t="s">
        <v>24</v>
      </c>
    </row>
    <row r="101" spans="1:10" x14ac:dyDescent="0.3">
      <c r="A101" s="8" t="s">
        <v>369</v>
      </c>
      <c r="B101" s="8">
        <v>92418</v>
      </c>
      <c r="C101" s="8" t="s">
        <v>370</v>
      </c>
      <c r="D101" s="8" t="s">
        <v>71</v>
      </c>
      <c r="E101" s="8" t="s">
        <v>72</v>
      </c>
      <c r="F101" s="8" t="s">
        <v>371</v>
      </c>
      <c r="G101" s="8" t="s">
        <v>15</v>
      </c>
      <c r="H101" s="9">
        <v>45871</v>
      </c>
      <c r="I101" s="8" t="s">
        <v>39</v>
      </c>
      <c r="J101" s="8"/>
    </row>
    <row r="102" spans="1:10" x14ac:dyDescent="0.3">
      <c r="A102" s="8" t="s">
        <v>372</v>
      </c>
      <c r="B102" s="8">
        <v>62195</v>
      </c>
      <c r="C102" s="8" t="s">
        <v>373</v>
      </c>
      <c r="D102" s="8" t="s">
        <v>71</v>
      </c>
      <c r="E102" s="8" t="s">
        <v>374</v>
      </c>
      <c r="F102" s="8" t="s">
        <v>375</v>
      </c>
      <c r="G102" s="8" t="s">
        <v>22</v>
      </c>
      <c r="H102" s="9">
        <v>45224</v>
      </c>
      <c r="I102" s="8" t="s">
        <v>33</v>
      </c>
      <c r="J102" s="8"/>
    </row>
    <row r="103" spans="1:10" x14ac:dyDescent="0.3">
      <c r="A103" s="8" t="s">
        <v>215</v>
      </c>
      <c r="B103" s="8">
        <v>46331</v>
      </c>
      <c r="C103" s="8" t="s">
        <v>376</v>
      </c>
      <c r="D103" s="8" t="s">
        <v>84</v>
      </c>
      <c r="E103" s="8" t="s">
        <v>85</v>
      </c>
      <c r="F103" s="8" t="s">
        <v>377</v>
      </c>
      <c r="G103" s="8" t="s">
        <v>15</v>
      </c>
      <c r="H103" s="9">
        <v>45197</v>
      </c>
      <c r="I103" s="8" t="s">
        <v>23</v>
      </c>
      <c r="J103" s="8"/>
    </row>
    <row r="104" spans="1:10" x14ac:dyDescent="0.3">
      <c r="A104" s="8" t="s">
        <v>378</v>
      </c>
      <c r="B104" s="8">
        <v>30332</v>
      </c>
      <c r="C104" s="8" t="s">
        <v>379</v>
      </c>
      <c r="D104" s="8" t="s">
        <v>71</v>
      </c>
      <c r="E104" s="8" t="s">
        <v>277</v>
      </c>
      <c r="F104" s="8" t="s">
        <v>380</v>
      </c>
      <c r="G104" s="8" t="s">
        <v>15</v>
      </c>
      <c r="H104" s="9">
        <v>45581</v>
      </c>
      <c r="I104" s="8" t="s">
        <v>39</v>
      </c>
      <c r="J104" s="8" t="s">
        <v>95</v>
      </c>
    </row>
    <row r="105" spans="1:10" x14ac:dyDescent="0.3">
      <c r="A105" s="8" t="s">
        <v>381</v>
      </c>
      <c r="B105" s="8">
        <v>52728</v>
      </c>
      <c r="C105" s="8" t="s">
        <v>382</v>
      </c>
      <c r="D105" s="8" t="s">
        <v>47</v>
      </c>
      <c r="E105" s="8" t="s">
        <v>48</v>
      </c>
      <c r="F105" s="8" t="s">
        <v>383</v>
      </c>
      <c r="G105" s="8" t="s">
        <v>15</v>
      </c>
      <c r="H105" s="9">
        <v>45793</v>
      </c>
      <c r="I105" s="8" t="s">
        <v>33</v>
      </c>
      <c r="J105" s="8" t="s">
        <v>78</v>
      </c>
    </row>
    <row r="106" spans="1:10" x14ac:dyDescent="0.3">
      <c r="A106" s="8" t="s">
        <v>384</v>
      </c>
      <c r="B106" s="8">
        <v>37086</v>
      </c>
      <c r="C106" s="8" t="s">
        <v>385</v>
      </c>
      <c r="D106" s="8" t="s">
        <v>84</v>
      </c>
      <c r="E106" s="8" t="s">
        <v>201</v>
      </c>
      <c r="F106" s="8" t="s">
        <v>386</v>
      </c>
      <c r="G106" s="8" t="s">
        <v>22</v>
      </c>
      <c r="H106" s="9">
        <v>45795</v>
      </c>
      <c r="I106" s="8" t="s">
        <v>23</v>
      </c>
      <c r="J106" s="8"/>
    </row>
    <row r="107" spans="1:10" x14ac:dyDescent="0.3">
      <c r="A107" s="8" t="s">
        <v>387</v>
      </c>
      <c r="B107" s="8">
        <v>89566</v>
      </c>
      <c r="C107" s="8" t="s">
        <v>388</v>
      </c>
      <c r="D107" s="8" t="s">
        <v>71</v>
      </c>
      <c r="E107" s="8" t="s">
        <v>374</v>
      </c>
      <c r="F107" s="8" t="s">
        <v>389</v>
      </c>
      <c r="G107" s="8" t="s">
        <v>15</v>
      </c>
      <c r="H107" s="9">
        <v>45274</v>
      </c>
      <c r="I107" s="8" t="s">
        <v>16</v>
      </c>
      <c r="J107" s="8"/>
    </row>
    <row r="108" spans="1:10" x14ac:dyDescent="0.3">
      <c r="A108" s="8" t="s">
        <v>390</v>
      </c>
      <c r="B108" s="8">
        <v>34738</v>
      </c>
      <c r="C108" s="8" t="s">
        <v>391</v>
      </c>
      <c r="D108" s="8" t="s">
        <v>36</v>
      </c>
      <c r="E108" s="8" t="s">
        <v>127</v>
      </c>
      <c r="F108" s="8" t="s">
        <v>392</v>
      </c>
      <c r="G108" s="8" t="s">
        <v>22</v>
      </c>
      <c r="H108" s="9">
        <v>45048</v>
      </c>
      <c r="I108" s="8" t="s">
        <v>23</v>
      </c>
      <c r="J108" s="8" t="s">
        <v>17</v>
      </c>
    </row>
    <row r="109" spans="1:10" x14ac:dyDescent="0.3">
      <c r="A109" s="8" t="s">
        <v>393</v>
      </c>
      <c r="B109" s="8">
        <v>5515</v>
      </c>
      <c r="C109" s="8" t="s">
        <v>394</v>
      </c>
      <c r="D109" s="8" t="s">
        <v>36</v>
      </c>
      <c r="E109" s="8" t="s">
        <v>67</v>
      </c>
      <c r="F109" s="8" t="s">
        <v>395</v>
      </c>
      <c r="G109" s="8" t="s">
        <v>15</v>
      </c>
      <c r="H109" s="9">
        <v>45108</v>
      </c>
      <c r="I109" s="8" t="s">
        <v>16</v>
      </c>
      <c r="J109" s="8"/>
    </row>
    <row r="110" spans="1:10" x14ac:dyDescent="0.3">
      <c r="A110" s="8" t="s">
        <v>396</v>
      </c>
      <c r="B110" s="8">
        <v>95992</v>
      </c>
      <c r="C110" s="8" t="s">
        <v>397</v>
      </c>
      <c r="D110" s="8" t="s">
        <v>173</v>
      </c>
      <c r="E110" s="8" t="s">
        <v>398</v>
      </c>
      <c r="F110" s="8" t="s">
        <v>399</v>
      </c>
      <c r="G110" s="8" t="s">
        <v>22</v>
      </c>
      <c r="H110" s="9">
        <v>45428</v>
      </c>
      <c r="I110" s="8" t="s">
        <v>54</v>
      </c>
      <c r="J110" s="8" t="s">
        <v>50</v>
      </c>
    </row>
    <row r="111" spans="1:10" x14ac:dyDescent="0.3">
      <c r="A111" s="8" t="s">
        <v>400</v>
      </c>
      <c r="B111" s="8">
        <v>15658</v>
      </c>
      <c r="C111" s="8" t="s">
        <v>401</v>
      </c>
      <c r="D111" s="8" t="s">
        <v>47</v>
      </c>
      <c r="E111" s="8" t="s">
        <v>181</v>
      </c>
      <c r="F111" s="8" t="s">
        <v>402</v>
      </c>
      <c r="G111" s="8" t="s">
        <v>22</v>
      </c>
      <c r="H111" s="9">
        <v>45948</v>
      </c>
      <c r="I111" s="8" t="s">
        <v>39</v>
      </c>
      <c r="J111" s="8"/>
    </row>
    <row r="112" spans="1:10" x14ac:dyDescent="0.3">
      <c r="A112" s="8" t="s">
        <v>403</v>
      </c>
      <c r="B112" s="8">
        <v>33887</v>
      </c>
      <c r="C112" s="8" t="s">
        <v>404</v>
      </c>
      <c r="D112" s="8" t="s">
        <v>27</v>
      </c>
      <c r="E112" s="8" t="s">
        <v>241</v>
      </c>
      <c r="F112" s="8" t="s">
        <v>405</v>
      </c>
      <c r="G112" s="8" t="s">
        <v>15</v>
      </c>
      <c r="H112" s="9">
        <v>45170</v>
      </c>
      <c r="I112" s="8" t="s">
        <v>39</v>
      </c>
      <c r="J112" s="8" t="s">
        <v>95</v>
      </c>
    </row>
    <row r="113" spans="1:10" x14ac:dyDescent="0.3">
      <c r="A113" s="8" t="s">
        <v>406</v>
      </c>
      <c r="B113" s="8">
        <v>68647</v>
      </c>
      <c r="C113" s="8" t="s">
        <v>407</v>
      </c>
      <c r="D113" s="8" t="s">
        <v>173</v>
      </c>
      <c r="E113" s="8" t="s">
        <v>398</v>
      </c>
      <c r="F113" s="8" t="s">
        <v>408</v>
      </c>
      <c r="G113" s="8" t="s">
        <v>15</v>
      </c>
      <c r="H113" s="9">
        <v>45688</v>
      </c>
      <c r="I113" s="8" t="s">
        <v>54</v>
      </c>
      <c r="J113" s="8" t="s">
        <v>78</v>
      </c>
    </row>
    <row r="114" spans="1:10" x14ac:dyDescent="0.3">
      <c r="A114" s="8" t="s">
        <v>183</v>
      </c>
      <c r="B114" s="8">
        <v>87563</v>
      </c>
      <c r="C114" s="8" t="s">
        <v>409</v>
      </c>
      <c r="D114" s="8" t="s">
        <v>12</v>
      </c>
      <c r="E114" s="8" t="s">
        <v>13</v>
      </c>
      <c r="F114" s="8" t="s">
        <v>410</v>
      </c>
      <c r="G114" s="8" t="s">
        <v>15</v>
      </c>
      <c r="H114" s="9">
        <v>45788</v>
      </c>
      <c r="I114" s="8" t="s">
        <v>33</v>
      </c>
      <c r="J114" s="8"/>
    </row>
    <row r="115" spans="1:10" x14ac:dyDescent="0.3">
      <c r="A115" s="8" t="s">
        <v>411</v>
      </c>
      <c r="B115" s="8">
        <v>16835</v>
      </c>
      <c r="C115" s="8" t="s">
        <v>412</v>
      </c>
      <c r="D115" s="8" t="s">
        <v>84</v>
      </c>
      <c r="E115" s="8" t="s">
        <v>85</v>
      </c>
      <c r="F115" s="8" t="s">
        <v>413</v>
      </c>
      <c r="G115" s="8" t="s">
        <v>22</v>
      </c>
      <c r="H115" s="9">
        <v>45954</v>
      </c>
      <c r="I115" s="8" t="s">
        <v>16</v>
      </c>
      <c r="J115" s="8" t="s">
        <v>17</v>
      </c>
    </row>
    <row r="116" spans="1:10" x14ac:dyDescent="0.3">
      <c r="A116" s="8" t="s">
        <v>414</v>
      </c>
      <c r="B116" s="8">
        <v>54029</v>
      </c>
      <c r="C116" s="8" t="s">
        <v>415</v>
      </c>
      <c r="D116" s="8" t="s">
        <v>173</v>
      </c>
      <c r="E116" s="8" t="s">
        <v>270</v>
      </c>
      <c r="F116" s="8" t="s">
        <v>416</v>
      </c>
      <c r="G116" s="8" t="s">
        <v>15</v>
      </c>
      <c r="H116" s="9">
        <v>45006</v>
      </c>
      <c r="I116" s="8" t="s">
        <v>16</v>
      </c>
      <c r="J116" s="8" t="s">
        <v>17</v>
      </c>
    </row>
    <row r="117" spans="1:10" x14ac:dyDescent="0.3">
      <c r="A117" s="8" t="s">
        <v>417</v>
      </c>
      <c r="B117" s="8">
        <v>73168</v>
      </c>
      <c r="C117" s="8" t="s">
        <v>418</v>
      </c>
      <c r="D117" s="8" t="s">
        <v>57</v>
      </c>
      <c r="E117" s="8" t="s">
        <v>252</v>
      </c>
      <c r="F117" s="8" t="s">
        <v>419</v>
      </c>
      <c r="G117" s="8" t="s">
        <v>15</v>
      </c>
      <c r="H117" s="9">
        <v>44925</v>
      </c>
      <c r="I117" s="8" t="s">
        <v>54</v>
      </c>
      <c r="J117" s="8"/>
    </row>
    <row r="118" spans="1:10" x14ac:dyDescent="0.3">
      <c r="A118" s="8" t="s">
        <v>420</v>
      </c>
      <c r="B118" s="8">
        <v>50196</v>
      </c>
      <c r="C118" s="8" t="s">
        <v>421</v>
      </c>
      <c r="D118" s="8" t="s">
        <v>42</v>
      </c>
      <c r="E118" s="8" t="s">
        <v>43</v>
      </c>
      <c r="F118" s="8" t="s">
        <v>422</v>
      </c>
      <c r="G118" s="8" t="s">
        <v>22</v>
      </c>
      <c r="H118" s="9">
        <v>45405</v>
      </c>
      <c r="I118" s="8" t="s">
        <v>54</v>
      </c>
      <c r="J118" s="8" t="s">
        <v>95</v>
      </c>
    </row>
    <row r="119" spans="1:10" x14ac:dyDescent="0.3">
      <c r="A119" s="8" t="s">
        <v>423</v>
      </c>
      <c r="B119" s="8">
        <v>53726</v>
      </c>
      <c r="C119" s="8" t="s">
        <v>424</v>
      </c>
      <c r="D119" s="8" t="s">
        <v>47</v>
      </c>
      <c r="E119" s="8" t="s">
        <v>425</v>
      </c>
      <c r="F119" s="8" t="s">
        <v>426</v>
      </c>
      <c r="G119" s="8" t="s">
        <v>22</v>
      </c>
      <c r="H119" s="9">
        <v>45266</v>
      </c>
      <c r="I119" s="8" t="s">
        <v>54</v>
      </c>
      <c r="J119" s="8" t="s">
        <v>95</v>
      </c>
    </row>
    <row r="120" spans="1:10" x14ac:dyDescent="0.3">
      <c r="A120" s="8" t="s">
        <v>427</v>
      </c>
      <c r="B120" s="8">
        <v>56847</v>
      </c>
      <c r="C120" s="8" t="s">
        <v>428</v>
      </c>
      <c r="D120" s="8" t="s">
        <v>42</v>
      </c>
      <c r="E120" s="8" t="s">
        <v>76</v>
      </c>
      <c r="F120" s="8" t="s">
        <v>429</v>
      </c>
      <c r="G120" s="8" t="s">
        <v>22</v>
      </c>
      <c r="H120" s="9">
        <v>45805</v>
      </c>
      <c r="I120" s="8" t="s">
        <v>23</v>
      </c>
      <c r="J120" s="8"/>
    </row>
    <row r="121" spans="1:10" x14ac:dyDescent="0.3">
      <c r="A121" s="8" t="s">
        <v>430</v>
      </c>
      <c r="B121" s="8">
        <v>89056</v>
      </c>
      <c r="C121" s="8" t="s">
        <v>431</v>
      </c>
      <c r="D121" s="8" t="s">
        <v>84</v>
      </c>
      <c r="E121" s="8" t="s">
        <v>201</v>
      </c>
      <c r="F121" s="8" t="s">
        <v>432</v>
      </c>
      <c r="G121" s="8" t="s">
        <v>22</v>
      </c>
      <c r="H121" s="9">
        <v>45510</v>
      </c>
      <c r="I121" s="8" t="s">
        <v>54</v>
      </c>
      <c r="J121" s="8" t="s">
        <v>24</v>
      </c>
    </row>
    <row r="122" spans="1:10" x14ac:dyDescent="0.3">
      <c r="A122" s="8" t="s">
        <v>433</v>
      </c>
      <c r="B122" s="8">
        <v>96964</v>
      </c>
      <c r="C122" s="8" t="s">
        <v>434</v>
      </c>
      <c r="D122" s="8" t="s">
        <v>27</v>
      </c>
      <c r="E122" s="8" t="s">
        <v>98</v>
      </c>
      <c r="F122" s="8" t="s">
        <v>435</v>
      </c>
      <c r="G122" s="8" t="s">
        <v>22</v>
      </c>
      <c r="H122" s="9">
        <v>45134</v>
      </c>
      <c r="I122" s="8" t="s">
        <v>54</v>
      </c>
      <c r="J122" s="8"/>
    </row>
    <row r="123" spans="1:10" x14ac:dyDescent="0.3">
      <c r="A123" s="8" t="s">
        <v>436</v>
      </c>
      <c r="B123" s="8">
        <v>68062</v>
      </c>
      <c r="C123" s="8" t="s">
        <v>437</v>
      </c>
      <c r="D123" s="8" t="s">
        <v>36</v>
      </c>
      <c r="E123" s="8" t="s">
        <v>37</v>
      </c>
      <c r="F123" s="8" t="s">
        <v>438</v>
      </c>
      <c r="G123" s="8" t="s">
        <v>15</v>
      </c>
      <c r="H123" s="9">
        <v>45369</v>
      </c>
      <c r="I123" s="8" t="s">
        <v>33</v>
      </c>
      <c r="J123" s="8"/>
    </row>
    <row r="124" spans="1:10" x14ac:dyDescent="0.3">
      <c r="A124" s="8" t="s">
        <v>439</v>
      </c>
      <c r="B124" s="8">
        <v>31285</v>
      </c>
      <c r="C124" s="8" t="s">
        <v>440</v>
      </c>
      <c r="D124" s="8" t="s">
        <v>71</v>
      </c>
      <c r="E124" s="8" t="s">
        <v>374</v>
      </c>
      <c r="F124" s="8" t="s">
        <v>441</v>
      </c>
      <c r="G124" s="8" t="s">
        <v>15</v>
      </c>
      <c r="H124" s="9">
        <v>45949</v>
      </c>
      <c r="I124" s="8" t="s">
        <v>39</v>
      </c>
      <c r="J124" s="8" t="s">
        <v>24</v>
      </c>
    </row>
    <row r="125" spans="1:10" x14ac:dyDescent="0.3">
      <c r="A125" s="8" t="s">
        <v>442</v>
      </c>
      <c r="B125" s="8">
        <v>19814</v>
      </c>
      <c r="C125" s="8" t="s">
        <v>443</v>
      </c>
      <c r="D125" s="8" t="s">
        <v>71</v>
      </c>
      <c r="E125" s="8" t="s">
        <v>93</v>
      </c>
      <c r="F125" s="8" t="s">
        <v>444</v>
      </c>
      <c r="G125" s="8" t="s">
        <v>22</v>
      </c>
      <c r="H125" s="9">
        <v>45655</v>
      </c>
      <c r="I125" s="8" t="s">
        <v>39</v>
      </c>
      <c r="J125" s="8" t="s">
        <v>50</v>
      </c>
    </row>
    <row r="126" spans="1:10" x14ac:dyDescent="0.3">
      <c r="A126" s="8" t="s">
        <v>445</v>
      </c>
      <c r="B126" s="8">
        <v>80621</v>
      </c>
      <c r="C126" s="8" t="s">
        <v>446</v>
      </c>
      <c r="D126" s="8" t="s">
        <v>47</v>
      </c>
      <c r="E126" s="8" t="s">
        <v>425</v>
      </c>
      <c r="F126" s="8" t="s">
        <v>447</v>
      </c>
      <c r="G126" s="8" t="s">
        <v>22</v>
      </c>
      <c r="H126" s="9">
        <v>45227</v>
      </c>
      <c r="I126" s="8" t="s">
        <v>16</v>
      </c>
      <c r="J126" s="8" t="s">
        <v>95</v>
      </c>
    </row>
    <row r="127" spans="1:10" x14ac:dyDescent="0.3">
      <c r="A127" s="8" t="s">
        <v>140</v>
      </c>
      <c r="B127" s="8">
        <v>75955</v>
      </c>
      <c r="C127" s="8" t="s">
        <v>448</v>
      </c>
      <c r="D127" s="8" t="s">
        <v>47</v>
      </c>
      <c r="E127" s="8" t="s">
        <v>48</v>
      </c>
      <c r="F127" s="8" t="s">
        <v>449</v>
      </c>
      <c r="G127" s="8" t="s">
        <v>15</v>
      </c>
      <c r="H127" s="9">
        <v>45147</v>
      </c>
      <c r="I127" s="8" t="s">
        <v>54</v>
      </c>
      <c r="J127" s="8"/>
    </row>
    <row r="128" spans="1:10" x14ac:dyDescent="0.3">
      <c r="A128" s="8" t="s">
        <v>450</v>
      </c>
      <c r="B128" s="8">
        <v>65300</v>
      </c>
      <c r="C128" s="8" t="s">
        <v>451</v>
      </c>
      <c r="D128" s="8" t="s">
        <v>57</v>
      </c>
      <c r="E128" s="8" t="s">
        <v>223</v>
      </c>
      <c r="F128" s="8" t="s">
        <v>452</v>
      </c>
      <c r="G128" s="8" t="s">
        <v>15</v>
      </c>
      <c r="H128" s="9">
        <v>44993</v>
      </c>
      <c r="I128" s="8" t="s">
        <v>54</v>
      </c>
      <c r="J128" s="8"/>
    </row>
    <row r="129" spans="1:10" x14ac:dyDescent="0.3">
      <c r="A129" s="8" t="s">
        <v>453</v>
      </c>
      <c r="B129" s="8">
        <v>90629</v>
      </c>
      <c r="C129" s="8" t="s">
        <v>454</v>
      </c>
      <c r="D129" s="8" t="s">
        <v>57</v>
      </c>
      <c r="E129" s="8" t="s">
        <v>223</v>
      </c>
      <c r="F129" s="8" t="s">
        <v>455</v>
      </c>
      <c r="G129" s="8" t="s">
        <v>22</v>
      </c>
      <c r="H129" s="9">
        <v>45256</v>
      </c>
      <c r="I129" s="8" t="s">
        <v>23</v>
      </c>
      <c r="J129" s="8" t="s">
        <v>50</v>
      </c>
    </row>
    <row r="130" spans="1:10" x14ac:dyDescent="0.3">
      <c r="A130" s="8" t="s">
        <v>456</v>
      </c>
      <c r="B130" s="8">
        <v>14471</v>
      </c>
      <c r="C130" s="8" t="s">
        <v>457</v>
      </c>
      <c r="D130" s="8" t="s">
        <v>71</v>
      </c>
      <c r="E130" s="8" t="s">
        <v>93</v>
      </c>
      <c r="F130" s="8" t="s">
        <v>458</v>
      </c>
      <c r="G130" s="8" t="s">
        <v>22</v>
      </c>
      <c r="H130" s="9">
        <v>45981</v>
      </c>
      <c r="I130" s="8" t="s">
        <v>33</v>
      </c>
      <c r="J130" s="8"/>
    </row>
    <row r="131" spans="1:10" x14ac:dyDescent="0.3">
      <c r="A131" s="8" t="s">
        <v>459</v>
      </c>
      <c r="B131" s="8">
        <v>91715</v>
      </c>
      <c r="C131" s="8" t="s">
        <v>460</v>
      </c>
      <c r="D131" s="8" t="s">
        <v>84</v>
      </c>
      <c r="E131" s="8" t="s">
        <v>248</v>
      </c>
      <c r="F131" s="8" t="s">
        <v>461</v>
      </c>
      <c r="G131" s="8" t="s">
        <v>15</v>
      </c>
      <c r="H131" s="9">
        <v>45399</v>
      </c>
      <c r="I131" s="8" t="s">
        <v>39</v>
      </c>
      <c r="J131" s="8" t="s">
        <v>95</v>
      </c>
    </row>
    <row r="132" spans="1:10" x14ac:dyDescent="0.3">
      <c r="A132" s="8" t="s">
        <v>462</v>
      </c>
      <c r="B132" s="8">
        <v>16407</v>
      </c>
      <c r="C132" s="8" t="s">
        <v>463</v>
      </c>
      <c r="D132" s="8" t="s">
        <v>84</v>
      </c>
      <c r="E132" s="8" t="s">
        <v>234</v>
      </c>
      <c r="F132" s="8" t="s">
        <v>464</v>
      </c>
      <c r="G132" s="8" t="s">
        <v>15</v>
      </c>
      <c r="H132" s="9">
        <v>45278</v>
      </c>
      <c r="I132" s="8" t="s">
        <v>33</v>
      </c>
      <c r="J132" s="8" t="s">
        <v>17</v>
      </c>
    </row>
    <row r="133" spans="1:10" x14ac:dyDescent="0.3">
      <c r="A133" s="8" t="s">
        <v>465</v>
      </c>
      <c r="B133" s="8">
        <v>88001</v>
      </c>
      <c r="C133" s="8" t="s">
        <v>466</v>
      </c>
      <c r="D133" s="8" t="s">
        <v>42</v>
      </c>
      <c r="E133" s="8" t="s">
        <v>108</v>
      </c>
      <c r="F133" s="8" t="s">
        <v>467</v>
      </c>
      <c r="G133" s="8" t="s">
        <v>15</v>
      </c>
      <c r="H133" s="9">
        <v>45394</v>
      </c>
      <c r="I133" s="8" t="s">
        <v>39</v>
      </c>
      <c r="J133" s="8"/>
    </row>
    <row r="134" spans="1:10" x14ac:dyDescent="0.3">
      <c r="A134" s="8" t="s">
        <v>468</v>
      </c>
      <c r="B134" s="8">
        <v>80802</v>
      </c>
      <c r="C134" s="8" t="s">
        <v>469</v>
      </c>
      <c r="D134" s="8" t="s">
        <v>42</v>
      </c>
      <c r="E134" s="8" t="s">
        <v>305</v>
      </c>
      <c r="F134" s="8" t="s">
        <v>470</v>
      </c>
      <c r="G134" s="8" t="s">
        <v>22</v>
      </c>
      <c r="H134" s="9">
        <v>45889</v>
      </c>
      <c r="I134" s="8" t="s">
        <v>39</v>
      </c>
      <c r="J134" s="8" t="s">
        <v>78</v>
      </c>
    </row>
    <row r="135" spans="1:10" x14ac:dyDescent="0.3">
      <c r="A135" s="8" t="s">
        <v>143</v>
      </c>
      <c r="B135" s="8">
        <v>58947</v>
      </c>
      <c r="C135" s="8" t="s">
        <v>471</v>
      </c>
      <c r="D135" s="8" t="s">
        <v>71</v>
      </c>
      <c r="E135" s="8" t="s">
        <v>72</v>
      </c>
      <c r="F135" s="8" t="s">
        <v>472</v>
      </c>
      <c r="G135" s="8" t="s">
        <v>22</v>
      </c>
      <c r="H135" s="9">
        <v>45929</v>
      </c>
      <c r="I135" s="8" t="s">
        <v>54</v>
      </c>
      <c r="J135" s="8" t="s">
        <v>50</v>
      </c>
    </row>
    <row r="136" spans="1:10" x14ac:dyDescent="0.3">
      <c r="A136" s="8" t="s">
        <v>473</v>
      </c>
      <c r="B136" s="8">
        <v>59492</v>
      </c>
      <c r="C136" s="8" t="s">
        <v>474</v>
      </c>
      <c r="D136" s="8" t="s">
        <v>57</v>
      </c>
      <c r="E136" s="8" t="s">
        <v>252</v>
      </c>
      <c r="F136" s="8" t="s">
        <v>475</v>
      </c>
      <c r="G136" s="8" t="s">
        <v>15</v>
      </c>
      <c r="H136" s="9">
        <v>45696</v>
      </c>
      <c r="I136" s="8" t="s">
        <v>16</v>
      </c>
      <c r="J136" s="8"/>
    </row>
    <row r="137" spans="1:10" x14ac:dyDescent="0.3">
      <c r="A137" s="8" t="s">
        <v>476</v>
      </c>
      <c r="B137" s="8">
        <v>84080</v>
      </c>
      <c r="C137" s="8" t="s">
        <v>477</v>
      </c>
      <c r="D137" s="8" t="s">
        <v>57</v>
      </c>
      <c r="E137" s="8" t="s">
        <v>223</v>
      </c>
      <c r="F137" s="8" t="s">
        <v>478</v>
      </c>
      <c r="G137" s="8" t="s">
        <v>15</v>
      </c>
      <c r="H137" s="9">
        <v>45376</v>
      </c>
      <c r="I137" s="8" t="s">
        <v>39</v>
      </c>
      <c r="J137" s="8"/>
    </row>
    <row r="138" spans="1:10" x14ac:dyDescent="0.3">
      <c r="A138" s="8" t="s">
        <v>479</v>
      </c>
      <c r="B138" s="8">
        <v>64018</v>
      </c>
      <c r="C138" s="8" t="s">
        <v>480</v>
      </c>
      <c r="D138" s="8" t="s">
        <v>57</v>
      </c>
      <c r="E138" s="8" t="s">
        <v>481</v>
      </c>
      <c r="F138" s="8" t="s">
        <v>482</v>
      </c>
      <c r="G138" s="8" t="s">
        <v>15</v>
      </c>
      <c r="H138" s="9">
        <v>44931</v>
      </c>
      <c r="I138" s="8" t="s">
        <v>39</v>
      </c>
      <c r="J138" s="8"/>
    </row>
    <row r="139" spans="1:10" x14ac:dyDescent="0.3">
      <c r="A139" s="8" t="s">
        <v>483</v>
      </c>
      <c r="B139" s="8">
        <v>94026</v>
      </c>
      <c r="C139" s="8" t="s">
        <v>484</v>
      </c>
      <c r="D139" s="8" t="s">
        <v>12</v>
      </c>
      <c r="E139" s="8" t="s">
        <v>20</v>
      </c>
      <c r="F139" s="8" t="s">
        <v>485</v>
      </c>
      <c r="G139" s="8" t="s">
        <v>15</v>
      </c>
      <c r="H139" s="9">
        <v>45657</v>
      </c>
      <c r="I139" s="8" t="s">
        <v>39</v>
      </c>
      <c r="J139" s="8"/>
    </row>
    <row r="140" spans="1:10" x14ac:dyDescent="0.3">
      <c r="A140" s="8" t="s">
        <v>486</v>
      </c>
      <c r="B140" s="8">
        <v>42405</v>
      </c>
      <c r="C140" s="8" t="s">
        <v>487</v>
      </c>
      <c r="D140" s="8" t="s">
        <v>84</v>
      </c>
      <c r="E140" s="8" t="s">
        <v>234</v>
      </c>
      <c r="F140" s="8" t="s">
        <v>488</v>
      </c>
      <c r="G140" s="8" t="s">
        <v>22</v>
      </c>
      <c r="H140" s="9">
        <v>45222</v>
      </c>
      <c r="I140" s="8" t="s">
        <v>16</v>
      </c>
      <c r="J140" s="8"/>
    </row>
    <row r="141" spans="1:10" x14ac:dyDescent="0.3">
      <c r="A141" s="8" t="s">
        <v>489</v>
      </c>
      <c r="B141" s="8">
        <v>50706</v>
      </c>
      <c r="C141" s="8" t="s">
        <v>490</v>
      </c>
      <c r="D141" s="8" t="s">
        <v>62</v>
      </c>
      <c r="E141" s="8" t="s">
        <v>89</v>
      </c>
      <c r="F141" s="8" t="s">
        <v>491</v>
      </c>
      <c r="G141" s="8" t="s">
        <v>15</v>
      </c>
      <c r="H141" s="9">
        <v>45550</v>
      </c>
      <c r="I141" s="8" t="s">
        <v>54</v>
      </c>
      <c r="J141" s="8" t="s">
        <v>95</v>
      </c>
    </row>
    <row r="142" spans="1:10" x14ac:dyDescent="0.3">
      <c r="A142" s="8" t="s">
        <v>492</v>
      </c>
      <c r="B142" s="8">
        <v>54878</v>
      </c>
      <c r="C142" s="8" t="s">
        <v>493</v>
      </c>
      <c r="D142" s="8" t="s">
        <v>62</v>
      </c>
      <c r="E142" s="8" t="s">
        <v>154</v>
      </c>
      <c r="F142" s="8" t="s">
        <v>494</v>
      </c>
      <c r="G142" s="8" t="s">
        <v>22</v>
      </c>
      <c r="H142" s="9">
        <v>45251</v>
      </c>
      <c r="I142" s="8" t="s">
        <v>33</v>
      </c>
      <c r="J142" s="8"/>
    </row>
    <row r="143" spans="1:10" x14ac:dyDescent="0.3">
      <c r="A143" s="8" t="s">
        <v>495</v>
      </c>
      <c r="B143" s="8">
        <v>54997</v>
      </c>
      <c r="C143" s="8" t="s">
        <v>496</v>
      </c>
      <c r="D143" s="8" t="s">
        <v>36</v>
      </c>
      <c r="E143" s="8" t="s">
        <v>127</v>
      </c>
      <c r="F143" s="8" t="s">
        <v>497</v>
      </c>
      <c r="G143" s="8" t="s">
        <v>22</v>
      </c>
      <c r="H143" s="9">
        <v>45458</v>
      </c>
      <c r="I143" s="8" t="s">
        <v>54</v>
      </c>
      <c r="J143" s="8" t="s">
        <v>50</v>
      </c>
    </row>
    <row r="144" spans="1:10" x14ac:dyDescent="0.3">
      <c r="A144" s="8" t="s">
        <v>498</v>
      </c>
      <c r="B144" s="8">
        <v>51550</v>
      </c>
      <c r="C144" s="8" t="s">
        <v>499</v>
      </c>
      <c r="D144" s="8" t="s">
        <v>27</v>
      </c>
      <c r="E144" s="8" t="s">
        <v>230</v>
      </c>
      <c r="F144" s="8" t="s">
        <v>500</v>
      </c>
      <c r="G144" s="8" t="s">
        <v>15</v>
      </c>
      <c r="H144" s="9">
        <v>45304</v>
      </c>
      <c r="I144" s="8" t="s">
        <v>39</v>
      </c>
      <c r="J144" s="8"/>
    </row>
    <row r="145" spans="1:10" x14ac:dyDescent="0.3">
      <c r="A145" s="8" t="s">
        <v>501</v>
      </c>
      <c r="B145" s="8">
        <v>75957</v>
      </c>
      <c r="C145" s="8" t="s">
        <v>502</v>
      </c>
      <c r="D145" s="8" t="s">
        <v>42</v>
      </c>
      <c r="E145" s="8" t="s">
        <v>503</v>
      </c>
      <c r="F145" s="8" t="s">
        <v>504</v>
      </c>
      <c r="G145" s="8" t="s">
        <v>15</v>
      </c>
      <c r="H145" s="9">
        <v>45012</v>
      </c>
      <c r="I145" s="8" t="s">
        <v>39</v>
      </c>
      <c r="J145" s="8"/>
    </row>
    <row r="146" spans="1:10" x14ac:dyDescent="0.3">
      <c r="A146" s="8" t="s">
        <v>505</v>
      </c>
      <c r="B146" s="8">
        <v>39640</v>
      </c>
      <c r="C146" s="8" t="s">
        <v>506</v>
      </c>
      <c r="D146" s="8" t="s">
        <v>27</v>
      </c>
      <c r="E146" s="8" t="s">
        <v>158</v>
      </c>
      <c r="F146" s="8" t="s">
        <v>507</v>
      </c>
      <c r="G146" s="8" t="s">
        <v>15</v>
      </c>
      <c r="H146" s="9">
        <v>45935</v>
      </c>
      <c r="I146" s="8" t="s">
        <v>54</v>
      </c>
      <c r="J146" s="8" t="s">
        <v>78</v>
      </c>
    </row>
    <row r="147" spans="1:10" x14ac:dyDescent="0.3">
      <c r="A147" s="8" t="s">
        <v>508</v>
      </c>
      <c r="B147" s="8">
        <v>55422</v>
      </c>
      <c r="C147" s="8" t="s">
        <v>509</v>
      </c>
      <c r="D147" s="8" t="s">
        <v>62</v>
      </c>
      <c r="E147" s="8" t="s">
        <v>510</v>
      </c>
      <c r="F147" s="8" t="s">
        <v>511</v>
      </c>
      <c r="G147" s="8" t="s">
        <v>22</v>
      </c>
      <c r="H147" s="9">
        <v>45485</v>
      </c>
      <c r="I147" s="8" t="s">
        <v>33</v>
      </c>
      <c r="J147" s="8" t="s">
        <v>17</v>
      </c>
    </row>
    <row r="148" spans="1:10" x14ac:dyDescent="0.3">
      <c r="A148" s="8" t="s">
        <v>512</v>
      </c>
      <c r="B148" s="8">
        <v>57626</v>
      </c>
      <c r="C148" s="8" t="s">
        <v>513</v>
      </c>
      <c r="D148" s="8" t="s">
        <v>36</v>
      </c>
      <c r="E148" s="8" t="s">
        <v>131</v>
      </c>
      <c r="F148" s="8" t="s">
        <v>514</v>
      </c>
      <c r="G148" s="8" t="s">
        <v>15</v>
      </c>
      <c r="H148" s="9">
        <v>45414</v>
      </c>
      <c r="I148" s="8" t="s">
        <v>39</v>
      </c>
      <c r="J148" s="8" t="s">
        <v>78</v>
      </c>
    </row>
    <row r="149" spans="1:10" x14ac:dyDescent="0.3">
      <c r="A149" s="8" t="s">
        <v>515</v>
      </c>
      <c r="B149" s="8">
        <v>88171</v>
      </c>
      <c r="C149" s="8" t="s">
        <v>516</v>
      </c>
      <c r="D149" s="8" t="s">
        <v>173</v>
      </c>
      <c r="E149" s="8" t="s">
        <v>328</v>
      </c>
      <c r="F149" s="8" t="s">
        <v>517</v>
      </c>
      <c r="G149" s="8" t="s">
        <v>22</v>
      </c>
      <c r="H149" s="9">
        <v>45959</v>
      </c>
      <c r="I149" s="8" t="s">
        <v>39</v>
      </c>
      <c r="J149" s="8" t="s">
        <v>50</v>
      </c>
    </row>
    <row r="150" spans="1:10" x14ac:dyDescent="0.3">
      <c r="A150" s="8" t="s">
        <v>518</v>
      </c>
      <c r="B150" s="8">
        <v>61762</v>
      </c>
      <c r="C150" s="8" t="s">
        <v>519</v>
      </c>
      <c r="D150" s="8" t="s">
        <v>27</v>
      </c>
      <c r="E150" s="8" t="s">
        <v>158</v>
      </c>
      <c r="F150" s="8" t="s">
        <v>520</v>
      </c>
      <c r="G150" s="8" t="s">
        <v>22</v>
      </c>
      <c r="H150" s="9">
        <v>45188</v>
      </c>
      <c r="I150" s="8" t="s">
        <v>54</v>
      </c>
      <c r="J150" s="8"/>
    </row>
    <row r="151" spans="1:10" x14ac:dyDescent="0.3">
      <c r="A151" s="8" t="s">
        <v>307</v>
      </c>
      <c r="B151" s="8">
        <v>4035</v>
      </c>
      <c r="C151" s="8" t="s">
        <v>521</v>
      </c>
      <c r="D151" s="8" t="s">
        <v>12</v>
      </c>
      <c r="E151" s="8" t="s">
        <v>138</v>
      </c>
      <c r="F151" s="8" t="s">
        <v>522</v>
      </c>
      <c r="G151" s="8" t="s">
        <v>15</v>
      </c>
      <c r="H151" s="9">
        <v>45375</v>
      </c>
      <c r="I151" s="8" t="s">
        <v>54</v>
      </c>
      <c r="J151" s="8"/>
    </row>
    <row r="152" spans="1:10" x14ac:dyDescent="0.3">
      <c r="A152" s="8" t="s">
        <v>403</v>
      </c>
      <c r="B152" s="8">
        <v>4053</v>
      </c>
      <c r="C152" s="8" t="s">
        <v>523</v>
      </c>
      <c r="D152" s="8" t="s">
        <v>27</v>
      </c>
      <c r="E152" s="8" t="s">
        <v>241</v>
      </c>
      <c r="F152" s="8" t="s">
        <v>524</v>
      </c>
      <c r="G152" s="8" t="s">
        <v>22</v>
      </c>
      <c r="H152" s="9">
        <v>45222</v>
      </c>
      <c r="I152" s="8" t="s">
        <v>16</v>
      </c>
      <c r="J152" s="8" t="s">
        <v>17</v>
      </c>
    </row>
    <row r="153" spans="1:10" x14ac:dyDescent="0.3">
      <c r="A153" s="8" t="s">
        <v>525</v>
      </c>
      <c r="B153" s="8">
        <v>61016</v>
      </c>
      <c r="C153" s="8" t="s">
        <v>526</v>
      </c>
      <c r="D153" s="8" t="s">
        <v>36</v>
      </c>
      <c r="E153" s="8" t="s">
        <v>37</v>
      </c>
      <c r="F153" s="8" t="s">
        <v>527</v>
      </c>
      <c r="G153" s="8" t="s">
        <v>22</v>
      </c>
      <c r="H153" s="9">
        <v>45785</v>
      </c>
      <c r="I153" s="8" t="s">
        <v>39</v>
      </c>
      <c r="J153" s="8" t="s">
        <v>95</v>
      </c>
    </row>
    <row r="154" spans="1:10" x14ac:dyDescent="0.3">
      <c r="A154" s="8" t="s">
        <v>528</v>
      </c>
      <c r="B154" s="8">
        <v>43407</v>
      </c>
      <c r="C154" s="8" t="s">
        <v>529</v>
      </c>
      <c r="D154" s="8" t="s">
        <v>173</v>
      </c>
      <c r="E154" s="8" t="s">
        <v>174</v>
      </c>
      <c r="F154" s="8" t="s">
        <v>530</v>
      </c>
      <c r="G154" s="8" t="s">
        <v>15</v>
      </c>
      <c r="H154" s="9">
        <v>45380</v>
      </c>
      <c r="I154" s="8" t="s">
        <v>23</v>
      </c>
      <c r="J154" s="8" t="s">
        <v>24</v>
      </c>
    </row>
    <row r="155" spans="1:10" x14ac:dyDescent="0.3">
      <c r="A155" s="8" t="s">
        <v>531</v>
      </c>
      <c r="B155" s="8">
        <v>50193</v>
      </c>
      <c r="C155" s="8" t="s">
        <v>532</v>
      </c>
      <c r="D155" s="8" t="s">
        <v>71</v>
      </c>
      <c r="E155" s="8" t="s">
        <v>277</v>
      </c>
      <c r="F155" s="8" t="s">
        <v>533</v>
      </c>
      <c r="G155" s="8" t="s">
        <v>15</v>
      </c>
      <c r="H155" s="9">
        <v>45745</v>
      </c>
      <c r="I155" s="8" t="s">
        <v>23</v>
      </c>
      <c r="J155" s="8" t="s">
        <v>78</v>
      </c>
    </row>
    <row r="156" spans="1:10" x14ac:dyDescent="0.3">
      <c r="A156" s="8" t="s">
        <v>534</v>
      </c>
      <c r="B156" s="8">
        <v>55756</v>
      </c>
      <c r="C156" s="8" t="s">
        <v>535</v>
      </c>
      <c r="D156" s="8" t="s">
        <v>71</v>
      </c>
      <c r="E156" s="8" t="s">
        <v>536</v>
      </c>
      <c r="F156" s="8" t="s">
        <v>537</v>
      </c>
      <c r="G156" s="8" t="s">
        <v>22</v>
      </c>
      <c r="H156" s="9">
        <v>45059</v>
      </c>
      <c r="I156" s="8" t="s">
        <v>39</v>
      </c>
      <c r="J156" s="8"/>
    </row>
    <row r="157" spans="1:10" x14ac:dyDescent="0.3">
      <c r="A157" s="8" t="s">
        <v>538</v>
      </c>
      <c r="B157" s="8">
        <v>3041</v>
      </c>
      <c r="C157" s="8" t="s">
        <v>539</v>
      </c>
      <c r="D157" s="8" t="s">
        <v>71</v>
      </c>
      <c r="E157" s="8" t="s">
        <v>536</v>
      </c>
      <c r="F157" s="8" t="s">
        <v>540</v>
      </c>
      <c r="G157" s="8" t="s">
        <v>15</v>
      </c>
      <c r="H157" s="9">
        <v>45349</v>
      </c>
      <c r="I157" s="8" t="s">
        <v>33</v>
      </c>
      <c r="J157" s="8" t="s">
        <v>95</v>
      </c>
    </row>
    <row r="158" spans="1:10" x14ac:dyDescent="0.3">
      <c r="A158" s="8" t="s">
        <v>541</v>
      </c>
      <c r="B158" s="8">
        <v>29890</v>
      </c>
      <c r="C158" s="8" t="s">
        <v>542</v>
      </c>
      <c r="D158" s="8" t="s">
        <v>47</v>
      </c>
      <c r="E158" s="8" t="s">
        <v>425</v>
      </c>
      <c r="F158" s="8" t="s">
        <v>543</v>
      </c>
      <c r="G158" s="8" t="s">
        <v>22</v>
      </c>
      <c r="H158" s="9">
        <v>45147</v>
      </c>
      <c r="I158" s="8" t="s">
        <v>16</v>
      </c>
      <c r="J158" s="8"/>
    </row>
    <row r="159" spans="1:10" x14ac:dyDescent="0.3">
      <c r="A159" s="8" t="s">
        <v>544</v>
      </c>
      <c r="B159" s="8">
        <v>5777</v>
      </c>
      <c r="C159" s="8" t="s">
        <v>545</v>
      </c>
      <c r="D159" s="8" t="s">
        <v>47</v>
      </c>
      <c r="E159" s="8" t="s">
        <v>112</v>
      </c>
      <c r="F159" s="8" t="s">
        <v>546</v>
      </c>
      <c r="G159" s="8" t="s">
        <v>15</v>
      </c>
      <c r="H159" s="9">
        <v>45309</v>
      </c>
      <c r="I159" s="8" t="s">
        <v>23</v>
      </c>
      <c r="J159" s="8" t="s">
        <v>50</v>
      </c>
    </row>
    <row r="160" spans="1:10" x14ac:dyDescent="0.3">
      <c r="A160" s="8" t="s">
        <v>547</v>
      </c>
      <c r="B160" s="8">
        <v>3172</v>
      </c>
      <c r="C160" s="8" t="s">
        <v>548</v>
      </c>
      <c r="D160" s="8" t="s">
        <v>12</v>
      </c>
      <c r="E160" s="8" t="s">
        <v>166</v>
      </c>
      <c r="F160" s="8" t="s">
        <v>549</v>
      </c>
      <c r="G160" s="8" t="s">
        <v>22</v>
      </c>
      <c r="H160" s="9">
        <v>45437</v>
      </c>
      <c r="I160" s="8" t="s">
        <v>23</v>
      </c>
      <c r="J160" s="8" t="s">
        <v>24</v>
      </c>
    </row>
    <row r="161" spans="1:10" x14ac:dyDescent="0.3">
      <c r="A161" s="8" t="s">
        <v>40</v>
      </c>
      <c r="B161" s="8">
        <v>88248</v>
      </c>
      <c r="C161" s="8" t="s">
        <v>550</v>
      </c>
      <c r="D161" s="8" t="s">
        <v>42</v>
      </c>
      <c r="E161" s="8" t="s">
        <v>43</v>
      </c>
      <c r="F161" s="8" t="s">
        <v>551</v>
      </c>
      <c r="G161" s="8" t="s">
        <v>15</v>
      </c>
      <c r="H161" s="9">
        <v>45413</v>
      </c>
      <c r="I161" s="8" t="s">
        <v>54</v>
      </c>
      <c r="J161" s="8" t="s">
        <v>17</v>
      </c>
    </row>
    <row r="162" spans="1:10" x14ac:dyDescent="0.3">
      <c r="A162" s="8" t="s">
        <v>552</v>
      </c>
      <c r="B162" s="8">
        <v>61453</v>
      </c>
      <c r="C162" s="8" t="s">
        <v>553</v>
      </c>
      <c r="D162" s="8" t="s">
        <v>173</v>
      </c>
      <c r="E162" s="8" t="s">
        <v>328</v>
      </c>
      <c r="F162" s="8" t="s">
        <v>554</v>
      </c>
      <c r="G162" s="8" t="s">
        <v>15</v>
      </c>
      <c r="H162" s="9">
        <v>45171</v>
      </c>
      <c r="I162" s="8" t="s">
        <v>23</v>
      </c>
      <c r="J162" s="8" t="s">
        <v>50</v>
      </c>
    </row>
    <row r="163" spans="1:10" x14ac:dyDescent="0.3">
      <c r="A163" s="8" t="s">
        <v>555</v>
      </c>
      <c r="B163" s="8">
        <v>79916</v>
      </c>
      <c r="C163" s="8" t="s">
        <v>556</v>
      </c>
      <c r="D163" s="8" t="s">
        <v>27</v>
      </c>
      <c r="E163" s="8" t="s">
        <v>158</v>
      </c>
      <c r="F163" s="8" t="s">
        <v>557</v>
      </c>
      <c r="G163" s="8" t="s">
        <v>22</v>
      </c>
      <c r="H163" s="9">
        <v>45254</v>
      </c>
      <c r="I163" s="8" t="s">
        <v>54</v>
      </c>
      <c r="J163" s="8" t="s">
        <v>24</v>
      </c>
    </row>
    <row r="164" spans="1:10" x14ac:dyDescent="0.3">
      <c r="A164" s="8" t="s">
        <v>558</v>
      </c>
      <c r="B164" s="8">
        <v>41269</v>
      </c>
      <c r="C164" s="8" t="s">
        <v>559</v>
      </c>
      <c r="D164" s="8" t="s">
        <v>57</v>
      </c>
      <c r="E164" s="8" t="s">
        <v>312</v>
      </c>
      <c r="F164" s="8" t="s">
        <v>560</v>
      </c>
      <c r="G164" s="8" t="s">
        <v>22</v>
      </c>
      <c r="H164" s="9">
        <v>45587</v>
      </c>
      <c r="I164" s="8" t="s">
        <v>39</v>
      </c>
      <c r="J164" s="8" t="s">
        <v>78</v>
      </c>
    </row>
    <row r="165" spans="1:10" x14ac:dyDescent="0.3">
      <c r="A165" s="8" t="s">
        <v>561</v>
      </c>
      <c r="B165" s="8">
        <v>75971</v>
      </c>
      <c r="C165" s="8" t="s">
        <v>562</v>
      </c>
      <c r="D165" s="8" t="s">
        <v>173</v>
      </c>
      <c r="E165" s="8" t="s">
        <v>191</v>
      </c>
      <c r="F165" s="8" t="s">
        <v>563</v>
      </c>
      <c r="G165" s="8" t="s">
        <v>15</v>
      </c>
      <c r="H165" s="9">
        <v>45299</v>
      </c>
      <c r="I165" s="8" t="s">
        <v>23</v>
      </c>
      <c r="J165" s="8" t="s">
        <v>95</v>
      </c>
    </row>
    <row r="166" spans="1:10" x14ac:dyDescent="0.3">
      <c r="A166" s="8" t="s">
        <v>564</v>
      </c>
      <c r="B166" s="8">
        <v>26496</v>
      </c>
      <c r="C166" s="8" t="s">
        <v>565</v>
      </c>
      <c r="D166" s="8" t="s">
        <v>84</v>
      </c>
      <c r="E166" s="8" t="s">
        <v>248</v>
      </c>
      <c r="F166" s="8" t="s">
        <v>566</v>
      </c>
      <c r="G166" s="8" t="s">
        <v>15</v>
      </c>
      <c r="H166" s="9">
        <v>45817</v>
      </c>
      <c r="I166" s="8" t="s">
        <v>39</v>
      </c>
      <c r="J166" s="8" t="s">
        <v>24</v>
      </c>
    </row>
    <row r="167" spans="1:10" x14ac:dyDescent="0.3">
      <c r="A167" s="8" t="s">
        <v>567</v>
      </c>
      <c r="B167" s="8">
        <v>82714</v>
      </c>
      <c r="C167" s="8" t="s">
        <v>568</v>
      </c>
      <c r="D167" s="8" t="s">
        <v>71</v>
      </c>
      <c r="E167" s="8" t="s">
        <v>536</v>
      </c>
      <c r="F167" s="8" t="s">
        <v>569</v>
      </c>
      <c r="G167" s="8" t="s">
        <v>15</v>
      </c>
      <c r="H167" s="9">
        <v>45286</v>
      </c>
      <c r="I167" s="8" t="s">
        <v>33</v>
      </c>
      <c r="J167" s="8" t="s">
        <v>17</v>
      </c>
    </row>
    <row r="168" spans="1:10" x14ac:dyDescent="0.3">
      <c r="A168" s="8" t="s">
        <v>570</v>
      </c>
      <c r="B168" s="8">
        <v>40030</v>
      </c>
      <c r="C168" s="8" t="s">
        <v>571</v>
      </c>
      <c r="D168" s="8" t="s">
        <v>84</v>
      </c>
      <c r="E168" s="8" t="s">
        <v>248</v>
      </c>
      <c r="F168" s="8" t="s">
        <v>572</v>
      </c>
      <c r="G168" s="8" t="s">
        <v>22</v>
      </c>
      <c r="H168" s="9">
        <v>45124</v>
      </c>
      <c r="I168" s="8" t="s">
        <v>23</v>
      </c>
      <c r="J168" s="8" t="s">
        <v>78</v>
      </c>
    </row>
    <row r="169" spans="1:10" x14ac:dyDescent="0.3">
      <c r="A169" s="8" t="s">
        <v>573</v>
      </c>
      <c r="B169" s="8">
        <v>5884</v>
      </c>
      <c r="C169" s="8" t="s">
        <v>574</v>
      </c>
      <c r="D169" s="8" t="s">
        <v>47</v>
      </c>
      <c r="E169" s="8" t="s">
        <v>575</v>
      </c>
      <c r="F169" s="8" t="s">
        <v>576</v>
      </c>
      <c r="G169" s="8" t="s">
        <v>22</v>
      </c>
      <c r="H169" s="9">
        <v>45822</v>
      </c>
      <c r="I169" s="8" t="s">
        <v>23</v>
      </c>
      <c r="J169" s="8" t="s">
        <v>50</v>
      </c>
    </row>
    <row r="170" spans="1:10" x14ac:dyDescent="0.3">
      <c r="A170" s="8" t="s">
        <v>577</v>
      </c>
      <c r="B170" s="8">
        <v>49072</v>
      </c>
      <c r="C170" s="8" t="s">
        <v>578</v>
      </c>
      <c r="D170" s="8" t="s">
        <v>71</v>
      </c>
      <c r="E170" s="8" t="s">
        <v>93</v>
      </c>
      <c r="F170" s="8" t="s">
        <v>579</v>
      </c>
      <c r="G170" s="8" t="s">
        <v>15</v>
      </c>
      <c r="H170" s="9">
        <v>45502</v>
      </c>
      <c r="I170" s="8" t="s">
        <v>16</v>
      </c>
      <c r="J170" s="8"/>
    </row>
    <row r="171" spans="1:10" x14ac:dyDescent="0.3">
      <c r="A171" s="8" t="s">
        <v>580</v>
      </c>
      <c r="B171" s="8">
        <v>2159</v>
      </c>
      <c r="C171" s="8" t="s">
        <v>581</v>
      </c>
      <c r="D171" s="8" t="s">
        <v>36</v>
      </c>
      <c r="E171" s="8" t="s">
        <v>37</v>
      </c>
      <c r="F171" s="8" t="s">
        <v>582</v>
      </c>
      <c r="G171" s="8" t="s">
        <v>22</v>
      </c>
      <c r="H171" s="9">
        <v>45739</v>
      </c>
      <c r="I171" s="8" t="s">
        <v>54</v>
      </c>
      <c r="J171" s="8"/>
    </row>
    <row r="172" spans="1:10" x14ac:dyDescent="0.3">
      <c r="A172" s="8" t="s">
        <v>583</v>
      </c>
      <c r="B172" s="8">
        <v>57323</v>
      </c>
      <c r="C172" s="8" t="s">
        <v>584</v>
      </c>
      <c r="D172" s="8" t="s">
        <v>27</v>
      </c>
      <c r="E172" s="8" t="s">
        <v>98</v>
      </c>
      <c r="F172" s="8" t="s">
        <v>585</v>
      </c>
      <c r="G172" s="8" t="s">
        <v>15</v>
      </c>
      <c r="H172" s="9">
        <v>45120</v>
      </c>
      <c r="I172" s="8" t="s">
        <v>54</v>
      </c>
      <c r="J172" s="8" t="s">
        <v>78</v>
      </c>
    </row>
    <row r="173" spans="1:10" x14ac:dyDescent="0.3">
      <c r="A173" s="8" t="s">
        <v>531</v>
      </c>
      <c r="B173" s="8">
        <v>60759</v>
      </c>
      <c r="C173" s="8" t="s">
        <v>586</v>
      </c>
      <c r="D173" s="8" t="s">
        <v>71</v>
      </c>
      <c r="E173" s="8" t="s">
        <v>277</v>
      </c>
      <c r="F173" s="8" t="s">
        <v>587</v>
      </c>
      <c r="G173" s="8" t="s">
        <v>22</v>
      </c>
      <c r="H173" s="9">
        <v>45792</v>
      </c>
      <c r="I173" s="8" t="s">
        <v>39</v>
      </c>
      <c r="J173" s="8" t="s">
        <v>78</v>
      </c>
    </row>
    <row r="174" spans="1:10" x14ac:dyDescent="0.3">
      <c r="A174" s="8" t="s">
        <v>588</v>
      </c>
      <c r="B174" s="8">
        <v>68887</v>
      </c>
      <c r="C174" s="8" t="s">
        <v>589</v>
      </c>
      <c r="D174" s="8" t="s">
        <v>27</v>
      </c>
      <c r="E174" s="8" t="s">
        <v>230</v>
      </c>
      <c r="F174" s="8" t="s">
        <v>590</v>
      </c>
      <c r="G174" s="8" t="s">
        <v>15</v>
      </c>
      <c r="H174" s="9">
        <v>45681</v>
      </c>
      <c r="I174" s="8" t="s">
        <v>54</v>
      </c>
      <c r="J174" s="8" t="s">
        <v>78</v>
      </c>
    </row>
    <row r="175" spans="1:10" x14ac:dyDescent="0.3">
      <c r="A175" s="8" t="s">
        <v>591</v>
      </c>
      <c r="B175" s="8">
        <v>63873</v>
      </c>
      <c r="C175" s="8" t="s">
        <v>592</v>
      </c>
      <c r="D175" s="8" t="s">
        <v>36</v>
      </c>
      <c r="E175" s="8" t="s">
        <v>67</v>
      </c>
      <c r="F175" s="8" t="s">
        <v>593</v>
      </c>
      <c r="G175" s="8" t="s">
        <v>22</v>
      </c>
      <c r="H175" s="9">
        <v>45329</v>
      </c>
      <c r="I175" s="8" t="s">
        <v>39</v>
      </c>
      <c r="J175" s="8"/>
    </row>
    <row r="176" spans="1:10" x14ac:dyDescent="0.3">
      <c r="A176" s="8" t="s">
        <v>594</v>
      </c>
      <c r="B176" s="8">
        <v>78157</v>
      </c>
      <c r="C176" s="8" t="s">
        <v>595</v>
      </c>
      <c r="D176" s="8" t="s">
        <v>47</v>
      </c>
      <c r="E176" s="8" t="s">
        <v>48</v>
      </c>
      <c r="F176" s="8" t="s">
        <v>596</v>
      </c>
      <c r="G176" s="8" t="s">
        <v>22</v>
      </c>
      <c r="H176" s="9">
        <v>45477</v>
      </c>
      <c r="I176" s="8" t="s">
        <v>39</v>
      </c>
      <c r="J176" s="8" t="s">
        <v>78</v>
      </c>
    </row>
    <row r="177" spans="1:10" x14ac:dyDescent="0.3">
      <c r="A177" s="8" t="s">
        <v>597</v>
      </c>
      <c r="B177" s="8">
        <v>11860</v>
      </c>
      <c r="C177" s="8" t="s">
        <v>598</v>
      </c>
      <c r="D177" s="8" t="s">
        <v>42</v>
      </c>
      <c r="E177" s="8" t="s">
        <v>76</v>
      </c>
      <c r="F177" s="8" t="s">
        <v>599</v>
      </c>
      <c r="G177" s="8" t="s">
        <v>15</v>
      </c>
      <c r="H177" s="9">
        <v>45143</v>
      </c>
      <c r="I177" s="8" t="s">
        <v>39</v>
      </c>
      <c r="J177" s="8"/>
    </row>
    <row r="178" spans="1:10" x14ac:dyDescent="0.3">
      <c r="A178" s="8" t="s">
        <v>333</v>
      </c>
      <c r="B178" s="8">
        <v>98867</v>
      </c>
      <c r="C178" s="8" t="s">
        <v>600</v>
      </c>
      <c r="D178" s="8" t="s">
        <v>47</v>
      </c>
      <c r="E178" s="8" t="s">
        <v>112</v>
      </c>
      <c r="F178" s="8" t="s">
        <v>601</v>
      </c>
      <c r="G178" s="8" t="s">
        <v>22</v>
      </c>
      <c r="H178" s="9">
        <v>45204</v>
      </c>
      <c r="I178" s="8" t="s">
        <v>33</v>
      </c>
      <c r="J178" s="8"/>
    </row>
    <row r="179" spans="1:10" x14ac:dyDescent="0.3">
      <c r="A179" s="8" t="s">
        <v>602</v>
      </c>
      <c r="B179" s="8">
        <v>50175</v>
      </c>
      <c r="C179" s="8" t="s">
        <v>603</v>
      </c>
      <c r="D179" s="8" t="s">
        <v>47</v>
      </c>
      <c r="E179" s="8" t="s">
        <v>181</v>
      </c>
      <c r="F179" s="8" t="s">
        <v>604</v>
      </c>
      <c r="G179" s="8" t="s">
        <v>22</v>
      </c>
      <c r="H179" s="9">
        <v>45097</v>
      </c>
      <c r="I179" s="8" t="s">
        <v>23</v>
      </c>
      <c r="J179" s="8" t="s">
        <v>50</v>
      </c>
    </row>
    <row r="180" spans="1:10" x14ac:dyDescent="0.3">
      <c r="A180" s="8" t="s">
        <v>605</v>
      </c>
      <c r="B180" s="8">
        <v>43101</v>
      </c>
      <c r="C180" s="8" t="s">
        <v>606</v>
      </c>
      <c r="D180" s="8" t="s">
        <v>12</v>
      </c>
      <c r="E180" s="8" t="s">
        <v>138</v>
      </c>
      <c r="F180" s="8" t="s">
        <v>607</v>
      </c>
      <c r="G180" s="8" t="s">
        <v>15</v>
      </c>
      <c r="H180" s="9">
        <v>44905</v>
      </c>
      <c r="I180" s="8" t="s">
        <v>23</v>
      </c>
      <c r="J180" s="8" t="s">
        <v>78</v>
      </c>
    </row>
    <row r="181" spans="1:10" x14ac:dyDescent="0.3">
      <c r="A181" s="8" t="s">
        <v>608</v>
      </c>
      <c r="B181" s="8">
        <v>34363</v>
      </c>
      <c r="C181" s="8" t="s">
        <v>609</v>
      </c>
      <c r="D181" s="8" t="s">
        <v>173</v>
      </c>
      <c r="E181" s="8" t="s">
        <v>270</v>
      </c>
      <c r="F181" s="8" t="s">
        <v>610</v>
      </c>
      <c r="G181" s="8" t="s">
        <v>22</v>
      </c>
      <c r="H181" s="9">
        <v>45519</v>
      </c>
      <c r="I181" s="8" t="s">
        <v>23</v>
      </c>
      <c r="J181" s="8"/>
    </row>
    <row r="182" spans="1:10" x14ac:dyDescent="0.3">
      <c r="A182" s="8" t="s">
        <v>611</v>
      </c>
      <c r="B182" s="8">
        <v>92406</v>
      </c>
      <c r="C182" s="8" t="s">
        <v>612</v>
      </c>
      <c r="D182" s="8" t="s">
        <v>57</v>
      </c>
      <c r="E182" s="8" t="s">
        <v>223</v>
      </c>
      <c r="F182" s="8" t="s">
        <v>613</v>
      </c>
      <c r="G182" s="8" t="s">
        <v>22</v>
      </c>
      <c r="H182" s="9">
        <v>44915</v>
      </c>
      <c r="I182" s="8" t="s">
        <v>23</v>
      </c>
      <c r="J182" s="8" t="s">
        <v>78</v>
      </c>
    </row>
    <row r="183" spans="1:10" x14ac:dyDescent="0.3">
      <c r="A183" s="8" t="s">
        <v>561</v>
      </c>
      <c r="B183" s="8">
        <v>25543</v>
      </c>
      <c r="C183" s="8" t="s">
        <v>614</v>
      </c>
      <c r="D183" s="8" t="s">
        <v>173</v>
      </c>
      <c r="E183" s="8" t="s">
        <v>191</v>
      </c>
      <c r="F183" s="8" t="s">
        <v>615</v>
      </c>
      <c r="G183" s="8" t="s">
        <v>15</v>
      </c>
      <c r="H183" s="9">
        <v>45564</v>
      </c>
      <c r="I183" s="8" t="s">
        <v>54</v>
      </c>
      <c r="J183" s="8"/>
    </row>
    <row r="184" spans="1:10" x14ac:dyDescent="0.3">
      <c r="A184" s="8" t="s">
        <v>616</v>
      </c>
      <c r="B184" s="8">
        <v>64539</v>
      </c>
      <c r="C184" s="8" t="s">
        <v>617</v>
      </c>
      <c r="D184" s="8" t="s">
        <v>71</v>
      </c>
      <c r="E184" s="8" t="s">
        <v>536</v>
      </c>
      <c r="F184" s="8" t="s">
        <v>618</v>
      </c>
      <c r="G184" s="8" t="s">
        <v>22</v>
      </c>
      <c r="H184" s="9">
        <v>45919</v>
      </c>
      <c r="I184" s="8" t="s">
        <v>16</v>
      </c>
      <c r="J184" s="8"/>
    </row>
    <row r="185" spans="1:10" x14ac:dyDescent="0.3">
      <c r="A185" s="8" t="s">
        <v>619</v>
      </c>
      <c r="B185" s="8">
        <v>93803</v>
      </c>
      <c r="C185" s="8" t="s">
        <v>620</v>
      </c>
      <c r="D185" s="8" t="s">
        <v>27</v>
      </c>
      <c r="E185" s="8" t="s">
        <v>98</v>
      </c>
      <c r="F185" s="8" t="s">
        <v>621</v>
      </c>
      <c r="G185" s="8" t="s">
        <v>22</v>
      </c>
      <c r="H185" s="9">
        <v>45643</v>
      </c>
      <c r="I185" s="8" t="s">
        <v>54</v>
      </c>
      <c r="J185" s="8" t="s">
        <v>95</v>
      </c>
    </row>
    <row r="186" spans="1:10" x14ac:dyDescent="0.3">
      <c r="A186" s="8" t="s">
        <v>55</v>
      </c>
      <c r="B186" s="8">
        <v>12697</v>
      </c>
      <c r="C186" s="8" t="s">
        <v>622</v>
      </c>
      <c r="D186" s="8" t="s">
        <v>57</v>
      </c>
      <c r="E186" s="8" t="s">
        <v>58</v>
      </c>
      <c r="F186" s="8" t="s">
        <v>623</v>
      </c>
      <c r="G186" s="8" t="s">
        <v>22</v>
      </c>
      <c r="H186" s="9">
        <v>45886</v>
      </c>
      <c r="I186" s="8" t="s">
        <v>23</v>
      </c>
      <c r="J186" s="8"/>
    </row>
    <row r="187" spans="1:10" x14ac:dyDescent="0.3">
      <c r="A187" s="8" t="s">
        <v>624</v>
      </c>
      <c r="B187" s="8">
        <v>32391</v>
      </c>
      <c r="C187" s="8" t="s">
        <v>625</v>
      </c>
      <c r="D187" s="8" t="s">
        <v>71</v>
      </c>
      <c r="E187" s="8" t="s">
        <v>277</v>
      </c>
      <c r="F187" s="8" t="s">
        <v>626</v>
      </c>
      <c r="G187" s="8" t="s">
        <v>15</v>
      </c>
      <c r="H187" s="9">
        <v>45827</v>
      </c>
      <c r="I187" s="8" t="s">
        <v>33</v>
      </c>
      <c r="J187" s="8"/>
    </row>
    <row r="188" spans="1:10" x14ac:dyDescent="0.3">
      <c r="A188" s="8" t="s">
        <v>40</v>
      </c>
      <c r="B188" s="8">
        <v>62532</v>
      </c>
      <c r="C188" s="8" t="s">
        <v>627</v>
      </c>
      <c r="D188" s="8" t="s">
        <v>42</v>
      </c>
      <c r="E188" s="8" t="s">
        <v>43</v>
      </c>
      <c r="F188" s="8" t="s">
        <v>628</v>
      </c>
      <c r="G188" s="8" t="s">
        <v>15</v>
      </c>
      <c r="H188" s="9">
        <v>45524</v>
      </c>
      <c r="I188" s="8" t="s">
        <v>54</v>
      </c>
      <c r="J188" s="8"/>
    </row>
    <row r="189" spans="1:10" x14ac:dyDescent="0.3">
      <c r="A189" s="8" t="s">
        <v>629</v>
      </c>
      <c r="B189" s="8">
        <v>72641</v>
      </c>
      <c r="C189" s="8" t="s">
        <v>630</v>
      </c>
      <c r="D189" s="8" t="s">
        <v>71</v>
      </c>
      <c r="E189" s="8" t="s">
        <v>277</v>
      </c>
      <c r="F189" s="8" t="s">
        <v>631</v>
      </c>
      <c r="G189" s="8" t="s">
        <v>22</v>
      </c>
      <c r="H189" s="9">
        <v>45485</v>
      </c>
      <c r="I189" s="8" t="s">
        <v>54</v>
      </c>
      <c r="J189" s="8" t="s">
        <v>78</v>
      </c>
    </row>
    <row r="190" spans="1:10" x14ac:dyDescent="0.3">
      <c r="A190" s="8" t="s">
        <v>632</v>
      </c>
      <c r="B190" s="8">
        <v>36010</v>
      </c>
      <c r="C190" s="8" t="s">
        <v>633</v>
      </c>
      <c r="D190" s="8" t="s">
        <v>62</v>
      </c>
      <c r="E190" s="8" t="s">
        <v>510</v>
      </c>
      <c r="F190" s="8" t="s">
        <v>634</v>
      </c>
      <c r="G190" s="8" t="s">
        <v>22</v>
      </c>
      <c r="H190" s="9">
        <v>45194</v>
      </c>
      <c r="I190" s="8" t="s">
        <v>33</v>
      </c>
      <c r="J190" s="8" t="s">
        <v>95</v>
      </c>
    </row>
    <row r="191" spans="1:10" x14ac:dyDescent="0.3">
      <c r="A191" s="8" t="s">
        <v>221</v>
      </c>
      <c r="B191" s="8">
        <v>95041</v>
      </c>
      <c r="C191" s="8" t="s">
        <v>635</v>
      </c>
      <c r="D191" s="8" t="s">
        <v>57</v>
      </c>
      <c r="E191" s="8" t="s">
        <v>223</v>
      </c>
      <c r="F191" s="8" t="s">
        <v>636</v>
      </c>
      <c r="G191" s="8" t="s">
        <v>22</v>
      </c>
      <c r="H191" s="9">
        <v>45919</v>
      </c>
      <c r="I191" s="8" t="s">
        <v>23</v>
      </c>
      <c r="J191" s="8"/>
    </row>
    <row r="192" spans="1:10" x14ac:dyDescent="0.3">
      <c r="A192" s="8" t="s">
        <v>637</v>
      </c>
      <c r="B192" s="8">
        <v>70737</v>
      </c>
      <c r="C192" s="8" t="s">
        <v>638</v>
      </c>
      <c r="D192" s="8" t="s">
        <v>47</v>
      </c>
      <c r="E192" s="8" t="s">
        <v>425</v>
      </c>
      <c r="F192" s="8" t="s">
        <v>639</v>
      </c>
      <c r="G192" s="8" t="s">
        <v>22</v>
      </c>
      <c r="H192" s="9">
        <v>45911</v>
      </c>
      <c r="I192" s="8" t="s">
        <v>23</v>
      </c>
      <c r="J192" s="8" t="s">
        <v>78</v>
      </c>
    </row>
    <row r="193" spans="1:10" x14ac:dyDescent="0.3">
      <c r="A193" s="8" t="s">
        <v>640</v>
      </c>
      <c r="B193" s="8">
        <v>63965</v>
      </c>
      <c r="C193" s="8" t="s">
        <v>641</v>
      </c>
      <c r="D193" s="8" t="s">
        <v>42</v>
      </c>
      <c r="E193" s="8" t="s">
        <v>108</v>
      </c>
      <c r="F193" s="8" t="s">
        <v>642</v>
      </c>
      <c r="G193" s="8" t="s">
        <v>15</v>
      </c>
      <c r="H193" s="9">
        <v>45781</v>
      </c>
      <c r="I193" s="8" t="s">
        <v>23</v>
      </c>
      <c r="J193" s="8"/>
    </row>
    <row r="194" spans="1:10" x14ac:dyDescent="0.3">
      <c r="A194" s="8" t="s">
        <v>643</v>
      </c>
      <c r="B194" s="8">
        <v>69266</v>
      </c>
      <c r="C194" s="8" t="s">
        <v>644</v>
      </c>
      <c r="D194" s="8" t="s">
        <v>27</v>
      </c>
      <c r="E194" s="8" t="s">
        <v>230</v>
      </c>
      <c r="F194" s="8" t="s">
        <v>645</v>
      </c>
      <c r="G194" s="8" t="s">
        <v>22</v>
      </c>
      <c r="H194" s="9">
        <v>45609</v>
      </c>
      <c r="I194" s="8" t="s">
        <v>23</v>
      </c>
      <c r="J194" s="8" t="s">
        <v>78</v>
      </c>
    </row>
    <row r="195" spans="1:10" x14ac:dyDescent="0.3">
      <c r="A195" s="8" t="s">
        <v>646</v>
      </c>
      <c r="B195" s="8">
        <v>25944</v>
      </c>
      <c r="C195" s="8" t="s">
        <v>647</v>
      </c>
      <c r="D195" s="8" t="s">
        <v>42</v>
      </c>
      <c r="E195" s="8" t="s">
        <v>108</v>
      </c>
      <c r="F195" s="8" t="s">
        <v>648</v>
      </c>
      <c r="G195" s="8" t="s">
        <v>22</v>
      </c>
      <c r="H195" s="9">
        <v>45411</v>
      </c>
      <c r="I195" s="8" t="s">
        <v>33</v>
      </c>
      <c r="J195" s="8" t="s">
        <v>24</v>
      </c>
    </row>
    <row r="196" spans="1:10" x14ac:dyDescent="0.3">
      <c r="A196" s="8" t="s">
        <v>649</v>
      </c>
      <c r="B196" s="8">
        <v>40119</v>
      </c>
      <c r="C196" s="8" t="s">
        <v>650</v>
      </c>
      <c r="D196" s="8" t="s">
        <v>173</v>
      </c>
      <c r="E196" s="8" t="s">
        <v>174</v>
      </c>
      <c r="F196" s="8" t="s">
        <v>651</v>
      </c>
      <c r="G196" s="8" t="s">
        <v>22</v>
      </c>
      <c r="H196" s="9">
        <v>45028</v>
      </c>
      <c r="I196" s="8" t="s">
        <v>33</v>
      </c>
      <c r="J196" s="8"/>
    </row>
    <row r="197" spans="1:10" x14ac:dyDescent="0.3">
      <c r="A197" s="8" t="s">
        <v>652</v>
      </c>
      <c r="B197" s="8">
        <v>36455</v>
      </c>
      <c r="C197" s="8" t="s">
        <v>653</v>
      </c>
      <c r="D197" s="8" t="s">
        <v>47</v>
      </c>
      <c r="E197" s="8" t="s">
        <v>181</v>
      </c>
      <c r="F197" s="8" t="s">
        <v>654</v>
      </c>
      <c r="G197" s="8" t="s">
        <v>15</v>
      </c>
      <c r="H197" s="9">
        <v>45472</v>
      </c>
      <c r="I197" s="8" t="s">
        <v>33</v>
      </c>
      <c r="J197" s="8"/>
    </row>
    <row r="198" spans="1:10" x14ac:dyDescent="0.3">
      <c r="A198" s="8" t="s">
        <v>655</v>
      </c>
      <c r="B198" s="8">
        <v>38791</v>
      </c>
      <c r="C198" s="8" t="s">
        <v>656</v>
      </c>
      <c r="D198" s="8" t="s">
        <v>57</v>
      </c>
      <c r="E198" s="8" t="s">
        <v>223</v>
      </c>
      <c r="F198" s="8" t="s">
        <v>657</v>
      </c>
      <c r="G198" s="8" t="s">
        <v>22</v>
      </c>
      <c r="H198" s="9">
        <v>45720</v>
      </c>
      <c r="I198" s="8" t="s">
        <v>54</v>
      </c>
      <c r="J198" s="8" t="s">
        <v>17</v>
      </c>
    </row>
    <row r="199" spans="1:10" x14ac:dyDescent="0.3">
      <c r="A199" s="8" t="s">
        <v>658</v>
      </c>
      <c r="B199" s="8">
        <v>64841</v>
      </c>
      <c r="C199" s="8" t="s">
        <v>659</v>
      </c>
      <c r="D199" s="8" t="s">
        <v>62</v>
      </c>
      <c r="E199" s="8" t="s">
        <v>316</v>
      </c>
      <c r="F199" s="8" t="s">
        <v>660</v>
      </c>
      <c r="G199" s="8" t="s">
        <v>15</v>
      </c>
      <c r="H199" s="9">
        <v>45009</v>
      </c>
      <c r="I199" s="8" t="s">
        <v>16</v>
      </c>
      <c r="J199" s="8" t="s">
        <v>50</v>
      </c>
    </row>
    <row r="200" spans="1:10" x14ac:dyDescent="0.3">
      <c r="A200" s="8" t="s">
        <v>661</v>
      </c>
      <c r="B200" s="8">
        <v>37769</v>
      </c>
      <c r="C200" s="8" t="s">
        <v>662</v>
      </c>
      <c r="D200" s="8" t="s">
        <v>47</v>
      </c>
      <c r="E200" s="8" t="s">
        <v>425</v>
      </c>
      <c r="F200" s="8" t="s">
        <v>663</v>
      </c>
      <c r="G200" s="8" t="s">
        <v>22</v>
      </c>
      <c r="H200" s="9">
        <v>45259</v>
      </c>
      <c r="I200" s="8" t="s">
        <v>33</v>
      </c>
      <c r="J200" s="8" t="s">
        <v>17</v>
      </c>
    </row>
    <row r="201" spans="1:10" x14ac:dyDescent="0.3">
      <c r="A201" s="8" t="s">
        <v>664</v>
      </c>
      <c r="B201" s="8">
        <v>24665</v>
      </c>
      <c r="C201" s="8" t="s">
        <v>665</v>
      </c>
      <c r="D201" s="8" t="s">
        <v>62</v>
      </c>
      <c r="E201" s="8" t="s">
        <v>63</v>
      </c>
      <c r="F201" s="8" t="s">
        <v>666</v>
      </c>
      <c r="G201" s="8" t="s">
        <v>22</v>
      </c>
      <c r="H201" s="9">
        <v>45912</v>
      </c>
      <c r="I201" s="8" t="s">
        <v>33</v>
      </c>
      <c r="J201" s="8"/>
    </row>
    <row r="202" spans="1:10" x14ac:dyDescent="0.3">
      <c r="A202" s="8" t="s">
        <v>667</v>
      </c>
      <c r="B202" s="8">
        <v>63117</v>
      </c>
      <c r="C202" s="8" t="s">
        <v>668</v>
      </c>
      <c r="D202" s="8" t="s">
        <v>57</v>
      </c>
      <c r="E202" s="8" t="s">
        <v>481</v>
      </c>
      <c r="F202" s="8" t="s">
        <v>669</v>
      </c>
      <c r="G202" s="8" t="s">
        <v>15</v>
      </c>
      <c r="H202" s="9">
        <v>45221</v>
      </c>
      <c r="I202" s="8" t="s">
        <v>23</v>
      </c>
      <c r="J202" s="8"/>
    </row>
    <row r="203" spans="1:10" x14ac:dyDescent="0.3">
      <c r="A203" s="8" t="s">
        <v>670</v>
      </c>
      <c r="B203" s="8">
        <v>64955</v>
      </c>
      <c r="C203" s="8" t="s">
        <v>671</v>
      </c>
      <c r="D203" s="8" t="s">
        <v>62</v>
      </c>
      <c r="E203" s="8" t="s">
        <v>510</v>
      </c>
      <c r="F203" s="8" t="s">
        <v>672</v>
      </c>
      <c r="G203" s="8" t="s">
        <v>15</v>
      </c>
      <c r="H203" s="9">
        <v>45416</v>
      </c>
      <c r="I203" s="8" t="s">
        <v>54</v>
      </c>
      <c r="J203" s="8"/>
    </row>
    <row r="204" spans="1:10" x14ac:dyDescent="0.3">
      <c r="A204" s="8" t="s">
        <v>489</v>
      </c>
      <c r="B204" s="8">
        <v>7527</v>
      </c>
      <c r="C204" s="8" t="s">
        <v>673</v>
      </c>
      <c r="D204" s="8" t="s">
        <v>62</v>
      </c>
      <c r="E204" s="8" t="s">
        <v>89</v>
      </c>
      <c r="F204" s="8" t="s">
        <v>674</v>
      </c>
      <c r="G204" s="8" t="s">
        <v>22</v>
      </c>
      <c r="H204" s="9">
        <v>45500</v>
      </c>
      <c r="I204" s="8" t="s">
        <v>54</v>
      </c>
      <c r="J204" s="8"/>
    </row>
    <row r="205" spans="1:10" x14ac:dyDescent="0.3">
      <c r="A205" s="8" t="s">
        <v>675</v>
      </c>
      <c r="B205" s="8">
        <v>40325</v>
      </c>
      <c r="C205" s="8" t="s">
        <v>676</v>
      </c>
      <c r="D205" s="8" t="s">
        <v>173</v>
      </c>
      <c r="E205" s="8" t="s">
        <v>328</v>
      </c>
      <c r="F205" s="8" t="s">
        <v>677</v>
      </c>
      <c r="G205" s="8" t="s">
        <v>15</v>
      </c>
      <c r="H205" s="9">
        <v>45233</v>
      </c>
      <c r="I205" s="8" t="s">
        <v>54</v>
      </c>
      <c r="J205" s="8" t="s">
        <v>50</v>
      </c>
    </row>
    <row r="206" spans="1:10" x14ac:dyDescent="0.3">
      <c r="A206" s="8" t="s">
        <v>279</v>
      </c>
      <c r="B206" s="8">
        <v>73648</v>
      </c>
      <c r="C206" s="8" t="s">
        <v>678</v>
      </c>
      <c r="D206" s="8" t="s">
        <v>36</v>
      </c>
      <c r="E206" s="8" t="s">
        <v>131</v>
      </c>
      <c r="F206" s="8" t="s">
        <v>679</v>
      </c>
      <c r="G206" s="8" t="s">
        <v>22</v>
      </c>
      <c r="H206" s="9">
        <v>44894</v>
      </c>
      <c r="I206" s="8" t="s">
        <v>33</v>
      </c>
      <c r="J206" s="8" t="s">
        <v>24</v>
      </c>
    </row>
    <row r="207" spans="1:10" x14ac:dyDescent="0.3">
      <c r="A207" s="8" t="s">
        <v>680</v>
      </c>
      <c r="B207" s="8">
        <v>81558</v>
      </c>
      <c r="C207" s="8" t="s">
        <v>681</v>
      </c>
      <c r="D207" s="8" t="s">
        <v>62</v>
      </c>
      <c r="E207" s="8" t="s">
        <v>510</v>
      </c>
      <c r="F207" s="8" t="s">
        <v>682</v>
      </c>
      <c r="G207" s="8" t="s">
        <v>15</v>
      </c>
      <c r="H207" s="9">
        <v>45735</v>
      </c>
      <c r="I207" s="8" t="s">
        <v>54</v>
      </c>
      <c r="J207" s="8"/>
    </row>
    <row r="208" spans="1:10" x14ac:dyDescent="0.3">
      <c r="A208" s="8" t="s">
        <v>683</v>
      </c>
      <c r="B208" s="8">
        <v>59550</v>
      </c>
      <c r="C208" s="8" t="s">
        <v>684</v>
      </c>
      <c r="D208" s="8" t="s">
        <v>84</v>
      </c>
      <c r="E208" s="8" t="s">
        <v>119</v>
      </c>
      <c r="F208" s="8" t="s">
        <v>685</v>
      </c>
      <c r="G208" s="8" t="s">
        <v>15</v>
      </c>
      <c r="H208" s="9">
        <v>45094</v>
      </c>
      <c r="I208" s="8" t="s">
        <v>16</v>
      </c>
      <c r="J208" s="8"/>
    </row>
    <row r="209" spans="1:10" x14ac:dyDescent="0.3">
      <c r="A209" s="8" t="s">
        <v>686</v>
      </c>
      <c r="B209" s="8">
        <v>56708</v>
      </c>
      <c r="C209" s="8" t="s">
        <v>687</v>
      </c>
      <c r="D209" s="8" t="s">
        <v>42</v>
      </c>
      <c r="E209" s="8" t="s">
        <v>43</v>
      </c>
      <c r="F209" s="8" t="s">
        <v>688</v>
      </c>
      <c r="G209" s="8" t="s">
        <v>15</v>
      </c>
      <c r="H209" s="9">
        <v>45050</v>
      </c>
      <c r="I209" s="8" t="s">
        <v>23</v>
      </c>
      <c r="J209" s="8"/>
    </row>
    <row r="210" spans="1:10" x14ac:dyDescent="0.3">
      <c r="A210" s="8" t="s">
        <v>689</v>
      </c>
      <c r="B210" s="8">
        <v>80406</v>
      </c>
      <c r="C210" s="8" t="s">
        <v>690</v>
      </c>
      <c r="D210" s="8" t="s">
        <v>47</v>
      </c>
      <c r="E210" s="8" t="s">
        <v>425</v>
      </c>
      <c r="F210" s="8" t="s">
        <v>691</v>
      </c>
      <c r="G210" s="8" t="s">
        <v>15</v>
      </c>
      <c r="H210" s="9">
        <v>45857</v>
      </c>
      <c r="I210" s="8" t="s">
        <v>23</v>
      </c>
      <c r="J210" s="8" t="s">
        <v>24</v>
      </c>
    </row>
    <row r="211" spans="1:10" x14ac:dyDescent="0.3">
      <c r="A211" s="8" t="s">
        <v>692</v>
      </c>
      <c r="B211" s="8">
        <v>82488</v>
      </c>
      <c r="C211" s="8" t="s">
        <v>693</v>
      </c>
      <c r="D211" s="8" t="s">
        <v>57</v>
      </c>
      <c r="E211" s="8" t="s">
        <v>312</v>
      </c>
      <c r="F211" s="8" t="s">
        <v>694</v>
      </c>
      <c r="G211" s="8" t="s">
        <v>22</v>
      </c>
      <c r="H211" s="9">
        <v>45665</v>
      </c>
      <c r="I211" s="8" t="s">
        <v>54</v>
      </c>
      <c r="J211" s="8"/>
    </row>
    <row r="212" spans="1:10" x14ac:dyDescent="0.3">
      <c r="A212" s="8" t="s">
        <v>695</v>
      </c>
      <c r="B212" s="8">
        <v>21086</v>
      </c>
      <c r="C212" s="8" t="s">
        <v>696</v>
      </c>
      <c r="D212" s="8" t="s">
        <v>71</v>
      </c>
      <c r="E212" s="8" t="s">
        <v>536</v>
      </c>
      <c r="F212" s="8" t="s">
        <v>697</v>
      </c>
      <c r="G212" s="8" t="s">
        <v>22</v>
      </c>
      <c r="H212" s="9">
        <v>45232</v>
      </c>
      <c r="I212" s="8" t="s">
        <v>54</v>
      </c>
      <c r="J212" s="8" t="s">
        <v>24</v>
      </c>
    </row>
    <row r="213" spans="1:10" x14ac:dyDescent="0.3">
      <c r="A213" s="8" t="s">
        <v>698</v>
      </c>
      <c r="B213" s="8">
        <v>21018</v>
      </c>
      <c r="C213" s="8" t="s">
        <v>699</v>
      </c>
      <c r="D213" s="8" t="s">
        <v>71</v>
      </c>
      <c r="E213" s="8" t="s">
        <v>277</v>
      </c>
      <c r="F213" s="8" t="s">
        <v>700</v>
      </c>
      <c r="G213" s="8" t="s">
        <v>15</v>
      </c>
      <c r="H213" s="9">
        <v>45751</v>
      </c>
      <c r="I213" s="8" t="s">
        <v>54</v>
      </c>
      <c r="J213" s="8" t="s">
        <v>50</v>
      </c>
    </row>
    <row r="214" spans="1:10" x14ac:dyDescent="0.3">
      <c r="A214" s="8" t="s">
        <v>552</v>
      </c>
      <c r="B214" s="8">
        <v>78333</v>
      </c>
      <c r="C214" s="8" t="s">
        <v>701</v>
      </c>
      <c r="D214" s="8" t="s">
        <v>173</v>
      </c>
      <c r="E214" s="8" t="s">
        <v>328</v>
      </c>
      <c r="F214" s="8" t="s">
        <v>702</v>
      </c>
      <c r="G214" s="8" t="s">
        <v>22</v>
      </c>
      <c r="H214" s="9">
        <v>45083</v>
      </c>
      <c r="I214" s="8" t="s">
        <v>23</v>
      </c>
      <c r="J214" s="8"/>
    </row>
    <row r="215" spans="1:10" x14ac:dyDescent="0.3">
      <c r="A215" s="8" t="s">
        <v>703</v>
      </c>
      <c r="B215" s="8">
        <v>38263</v>
      </c>
      <c r="C215" s="8" t="s">
        <v>704</v>
      </c>
      <c r="D215" s="8" t="s">
        <v>36</v>
      </c>
      <c r="E215" s="8" t="s">
        <v>67</v>
      </c>
      <c r="F215" s="8" t="s">
        <v>705</v>
      </c>
      <c r="G215" s="8" t="s">
        <v>22</v>
      </c>
      <c r="H215" s="9">
        <v>45719</v>
      </c>
      <c r="I215" s="8" t="s">
        <v>39</v>
      </c>
      <c r="J215" s="8" t="s">
        <v>50</v>
      </c>
    </row>
    <row r="216" spans="1:10" x14ac:dyDescent="0.3">
      <c r="A216" s="8" t="s">
        <v>706</v>
      </c>
      <c r="B216" s="8">
        <v>9830</v>
      </c>
      <c r="C216" s="8" t="s">
        <v>707</v>
      </c>
      <c r="D216" s="8" t="s">
        <v>36</v>
      </c>
      <c r="E216" s="8" t="s">
        <v>162</v>
      </c>
      <c r="F216" s="8" t="s">
        <v>708</v>
      </c>
      <c r="G216" s="8" t="s">
        <v>15</v>
      </c>
      <c r="H216" s="9">
        <v>45091</v>
      </c>
      <c r="I216" s="8" t="s">
        <v>33</v>
      </c>
      <c r="J216" s="8" t="s">
        <v>17</v>
      </c>
    </row>
    <row r="217" spans="1:10" x14ac:dyDescent="0.3">
      <c r="A217" s="8" t="s">
        <v>709</v>
      </c>
      <c r="B217" s="8">
        <v>82428</v>
      </c>
      <c r="C217" s="8" t="s">
        <v>710</v>
      </c>
      <c r="D217" s="8" t="s">
        <v>12</v>
      </c>
      <c r="E217" s="8" t="s">
        <v>166</v>
      </c>
      <c r="F217" s="8" t="s">
        <v>711</v>
      </c>
      <c r="G217" s="8" t="s">
        <v>22</v>
      </c>
      <c r="H217" s="9">
        <v>45439</v>
      </c>
      <c r="I217" s="8" t="s">
        <v>39</v>
      </c>
      <c r="J217" s="8" t="s">
        <v>78</v>
      </c>
    </row>
    <row r="218" spans="1:10" x14ac:dyDescent="0.3">
      <c r="A218" s="8" t="s">
        <v>712</v>
      </c>
      <c r="B218" s="8">
        <v>29967</v>
      </c>
      <c r="C218" s="8" t="s">
        <v>713</v>
      </c>
      <c r="D218" s="8" t="s">
        <v>12</v>
      </c>
      <c r="E218" s="8" t="s">
        <v>166</v>
      </c>
      <c r="F218" s="8" t="s">
        <v>714</v>
      </c>
      <c r="G218" s="8" t="s">
        <v>22</v>
      </c>
      <c r="H218" s="9">
        <v>45276</v>
      </c>
      <c r="I218" s="8" t="s">
        <v>33</v>
      </c>
      <c r="J218" s="8" t="s">
        <v>17</v>
      </c>
    </row>
    <row r="219" spans="1:10" x14ac:dyDescent="0.3">
      <c r="A219" s="8" t="s">
        <v>602</v>
      </c>
      <c r="B219" s="8">
        <v>19144</v>
      </c>
      <c r="C219" s="8" t="s">
        <v>715</v>
      </c>
      <c r="D219" s="8" t="s">
        <v>47</v>
      </c>
      <c r="E219" s="8" t="s">
        <v>181</v>
      </c>
      <c r="F219" s="8" t="s">
        <v>716</v>
      </c>
      <c r="G219" s="8" t="s">
        <v>22</v>
      </c>
      <c r="H219" s="9">
        <v>45203</v>
      </c>
      <c r="I219" s="8" t="s">
        <v>33</v>
      </c>
      <c r="J219" s="8"/>
    </row>
    <row r="220" spans="1:10" x14ac:dyDescent="0.3">
      <c r="A220" s="8" t="s">
        <v>717</v>
      </c>
      <c r="B220" s="8">
        <v>40820</v>
      </c>
      <c r="C220" s="8" t="s">
        <v>718</v>
      </c>
      <c r="D220" s="8" t="s">
        <v>57</v>
      </c>
      <c r="E220" s="8" t="s">
        <v>223</v>
      </c>
      <c r="F220" s="8" t="s">
        <v>719</v>
      </c>
      <c r="G220" s="8" t="s">
        <v>22</v>
      </c>
      <c r="H220" s="9">
        <v>45001</v>
      </c>
      <c r="I220" s="8" t="s">
        <v>54</v>
      </c>
      <c r="J220" s="8" t="s">
        <v>17</v>
      </c>
    </row>
    <row r="221" spans="1:10" x14ac:dyDescent="0.3">
      <c r="A221" s="8" t="s">
        <v>720</v>
      </c>
      <c r="B221" s="8">
        <v>90767</v>
      </c>
      <c r="C221" s="8" t="s">
        <v>721</v>
      </c>
      <c r="D221" s="8" t="s">
        <v>42</v>
      </c>
      <c r="E221" s="8" t="s">
        <v>43</v>
      </c>
      <c r="F221" s="8" t="s">
        <v>722</v>
      </c>
      <c r="G221" s="8" t="s">
        <v>15</v>
      </c>
      <c r="H221" s="9">
        <v>45921</v>
      </c>
      <c r="I221" s="8" t="s">
        <v>16</v>
      </c>
      <c r="J221" s="8" t="s">
        <v>78</v>
      </c>
    </row>
    <row r="222" spans="1:10" x14ac:dyDescent="0.3">
      <c r="A222" s="8" t="s">
        <v>723</v>
      </c>
      <c r="B222" s="8">
        <v>66098</v>
      </c>
      <c r="C222" s="8" t="s">
        <v>724</v>
      </c>
      <c r="D222" s="8" t="s">
        <v>27</v>
      </c>
      <c r="E222" s="8" t="s">
        <v>98</v>
      </c>
      <c r="F222" s="8" t="s">
        <v>725</v>
      </c>
      <c r="G222" s="8" t="s">
        <v>22</v>
      </c>
      <c r="H222" s="9">
        <v>45837</v>
      </c>
      <c r="I222" s="8" t="s">
        <v>16</v>
      </c>
      <c r="J222" s="8" t="s">
        <v>78</v>
      </c>
    </row>
    <row r="223" spans="1:10" x14ac:dyDescent="0.3">
      <c r="A223" s="8" t="s">
        <v>726</v>
      </c>
      <c r="B223" s="8">
        <v>5725</v>
      </c>
      <c r="C223" s="8" t="s">
        <v>727</v>
      </c>
      <c r="D223" s="8" t="s">
        <v>12</v>
      </c>
      <c r="E223" s="8" t="s">
        <v>166</v>
      </c>
      <c r="F223" s="8" t="s">
        <v>728</v>
      </c>
      <c r="G223" s="8" t="s">
        <v>22</v>
      </c>
      <c r="H223" s="9">
        <v>45890</v>
      </c>
      <c r="I223" s="8" t="s">
        <v>39</v>
      </c>
      <c r="J223" s="8"/>
    </row>
    <row r="224" spans="1:10" x14ac:dyDescent="0.3">
      <c r="A224" s="8" t="s">
        <v>729</v>
      </c>
      <c r="B224" s="8">
        <v>33317</v>
      </c>
      <c r="C224" s="8" t="s">
        <v>730</v>
      </c>
      <c r="D224" s="8" t="s">
        <v>84</v>
      </c>
      <c r="E224" s="8" t="s">
        <v>201</v>
      </c>
      <c r="F224" s="8" t="s">
        <v>731</v>
      </c>
      <c r="G224" s="8" t="s">
        <v>15</v>
      </c>
      <c r="H224" s="9">
        <v>45289</v>
      </c>
      <c r="I224" s="8" t="s">
        <v>39</v>
      </c>
      <c r="J224" s="8" t="s">
        <v>78</v>
      </c>
    </row>
    <row r="225" spans="1:10" x14ac:dyDescent="0.3">
      <c r="A225" s="8" t="s">
        <v>732</v>
      </c>
      <c r="B225" s="8">
        <v>75893</v>
      </c>
      <c r="C225" s="8" t="s">
        <v>733</v>
      </c>
      <c r="D225" s="8" t="s">
        <v>62</v>
      </c>
      <c r="E225" s="8" t="s">
        <v>316</v>
      </c>
      <c r="F225" s="8" t="s">
        <v>734</v>
      </c>
      <c r="G225" s="8" t="s">
        <v>22</v>
      </c>
      <c r="H225" s="9">
        <v>45829</v>
      </c>
      <c r="I225" s="8" t="s">
        <v>16</v>
      </c>
      <c r="J225" s="8"/>
    </row>
    <row r="226" spans="1:10" x14ac:dyDescent="0.3">
      <c r="A226" s="8" t="s">
        <v>735</v>
      </c>
      <c r="B226" s="8">
        <v>35826</v>
      </c>
      <c r="C226" s="8" t="s">
        <v>736</v>
      </c>
      <c r="D226" s="8" t="s">
        <v>12</v>
      </c>
      <c r="E226" s="8" t="s">
        <v>20</v>
      </c>
      <c r="F226" s="8" t="s">
        <v>737</v>
      </c>
      <c r="G226" s="8" t="s">
        <v>15</v>
      </c>
      <c r="H226" s="9">
        <v>45716</v>
      </c>
      <c r="I226" s="8" t="s">
        <v>39</v>
      </c>
      <c r="J226" s="8" t="s">
        <v>24</v>
      </c>
    </row>
    <row r="227" spans="1:10" x14ac:dyDescent="0.3">
      <c r="A227" s="8" t="s">
        <v>738</v>
      </c>
      <c r="B227" s="8">
        <v>62170</v>
      </c>
      <c r="C227" s="8" t="s">
        <v>739</v>
      </c>
      <c r="D227" s="8" t="s">
        <v>71</v>
      </c>
      <c r="E227" s="8" t="s">
        <v>277</v>
      </c>
      <c r="F227" s="8" t="s">
        <v>740</v>
      </c>
      <c r="G227" s="8" t="s">
        <v>22</v>
      </c>
      <c r="H227" s="9">
        <v>45547</v>
      </c>
      <c r="I227" s="8" t="s">
        <v>33</v>
      </c>
      <c r="J227" s="8" t="s">
        <v>24</v>
      </c>
    </row>
    <row r="228" spans="1:10" x14ac:dyDescent="0.3">
      <c r="A228" s="8" t="s">
        <v>741</v>
      </c>
      <c r="B228" s="8">
        <v>77221</v>
      </c>
      <c r="C228" s="8" t="s">
        <v>742</v>
      </c>
      <c r="D228" s="8" t="s">
        <v>36</v>
      </c>
      <c r="E228" s="8" t="s">
        <v>162</v>
      </c>
      <c r="F228" s="8" t="s">
        <v>743</v>
      </c>
      <c r="G228" s="8" t="s">
        <v>22</v>
      </c>
      <c r="H228" s="9">
        <v>44893</v>
      </c>
      <c r="I228" s="8" t="s">
        <v>16</v>
      </c>
      <c r="J228" s="8" t="s">
        <v>24</v>
      </c>
    </row>
    <row r="229" spans="1:10" x14ac:dyDescent="0.3">
      <c r="A229" s="8" t="s">
        <v>744</v>
      </c>
      <c r="B229" s="8">
        <v>12460</v>
      </c>
      <c r="C229" s="8" t="s">
        <v>745</v>
      </c>
      <c r="D229" s="8" t="s">
        <v>27</v>
      </c>
      <c r="E229" s="8" t="s">
        <v>241</v>
      </c>
      <c r="F229" s="8" t="s">
        <v>746</v>
      </c>
      <c r="G229" s="8" t="s">
        <v>15</v>
      </c>
      <c r="H229" s="9">
        <v>45679</v>
      </c>
      <c r="I229" s="8" t="s">
        <v>54</v>
      </c>
      <c r="J229" s="8" t="s">
        <v>50</v>
      </c>
    </row>
    <row r="230" spans="1:10" x14ac:dyDescent="0.3">
      <c r="A230" s="8" t="s">
        <v>747</v>
      </c>
      <c r="B230" s="8">
        <v>42582</v>
      </c>
      <c r="C230" s="8" t="s">
        <v>748</v>
      </c>
      <c r="D230" s="8" t="s">
        <v>47</v>
      </c>
      <c r="E230" s="8" t="s">
        <v>575</v>
      </c>
      <c r="F230" s="8" t="s">
        <v>749</v>
      </c>
      <c r="G230" s="8" t="s">
        <v>15</v>
      </c>
      <c r="H230" s="9">
        <v>45679</v>
      </c>
      <c r="I230" s="8" t="s">
        <v>33</v>
      </c>
      <c r="J230" s="8" t="s">
        <v>50</v>
      </c>
    </row>
    <row r="231" spans="1:10" x14ac:dyDescent="0.3">
      <c r="A231" s="8" t="s">
        <v>750</v>
      </c>
      <c r="B231" s="8">
        <v>54456</v>
      </c>
      <c r="C231" s="8" t="s">
        <v>751</v>
      </c>
      <c r="D231" s="8" t="s">
        <v>27</v>
      </c>
      <c r="E231" s="8" t="s">
        <v>230</v>
      </c>
      <c r="F231" s="8" t="s">
        <v>752</v>
      </c>
      <c r="G231" s="8" t="s">
        <v>15</v>
      </c>
      <c r="H231" s="9">
        <v>45511</v>
      </c>
      <c r="I231" s="8" t="s">
        <v>23</v>
      </c>
      <c r="J231" s="8"/>
    </row>
    <row r="232" spans="1:10" x14ac:dyDescent="0.3">
      <c r="A232" s="8" t="s">
        <v>744</v>
      </c>
      <c r="B232" s="8">
        <v>72603</v>
      </c>
      <c r="C232" s="8" t="s">
        <v>753</v>
      </c>
      <c r="D232" s="8" t="s">
        <v>27</v>
      </c>
      <c r="E232" s="8" t="s">
        <v>241</v>
      </c>
      <c r="F232" s="8" t="s">
        <v>754</v>
      </c>
      <c r="G232" s="8" t="s">
        <v>22</v>
      </c>
      <c r="H232" s="9">
        <v>45415</v>
      </c>
      <c r="I232" s="8" t="s">
        <v>39</v>
      </c>
      <c r="J232" s="8"/>
    </row>
    <row r="233" spans="1:10" x14ac:dyDescent="0.3">
      <c r="A233" s="8" t="s">
        <v>393</v>
      </c>
      <c r="B233" s="8">
        <v>33583</v>
      </c>
      <c r="C233" s="8" t="s">
        <v>755</v>
      </c>
      <c r="D233" s="8" t="s">
        <v>36</v>
      </c>
      <c r="E233" s="8" t="s">
        <v>67</v>
      </c>
      <c r="F233" s="8" t="s">
        <v>756</v>
      </c>
      <c r="G233" s="8" t="s">
        <v>22</v>
      </c>
      <c r="H233" s="9">
        <v>45234</v>
      </c>
      <c r="I233" s="8" t="s">
        <v>23</v>
      </c>
      <c r="J233" s="8" t="s">
        <v>50</v>
      </c>
    </row>
    <row r="234" spans="1:10" x14ac:dyDescent="0.3">
      <c r="A234" s="8" t="s">
        <v>757</v>
      </c>
      <c r="B234" s="8">
        <v>53477</v>
      </c>
      <c r="C234" s="8" t="s">
        <v>758</v>
      </c>
      <c r="D234" s="8" t="s">
        <v>27</v>
      </c>
      <c r="E234" s="8" t="s">
        <v>28</v>
      </c>
      <c r="F234" s="8" t="s">
        <v>759</v>
      </c>
      <c r="G234" s="8" t="s">
        <v>22</v>
      </c>
      <c r="H234" s="9">
        <v>45247</v>
      </c>
      <c r="I234" s="8" t="s">
        <v>39</v>
      </c>
      <c r="J234" s="8" t="s">
        <v>24</v>
      </c>
    </row>
    <row r="235" spans="1:10" x14ac:dyDescent="0.3">
      <c r="A235" s="8" t="s">
        <v>760</v>
      </c>
      <c r="B235" s="8">
        <v>61053</v>
      </c>
      <c r="C235" s="8" t="s">
        <v>761</v>
      </c>
      <c r="D235" s="8" t="s">
        <v>47</v>
      </c>
      <c r="E235" s="8" t="s">
        <v>112</v>
      </c>
      <c r="F235" s="8" t="s">
        <v>762</v>
      </c>
      <c r="G235" s="8" t="s">
        <v>15</v>
      </c>
      <c r="H235" s="9">
        <v>45734</v>
      </c>
      <c r="I235" s="8" t="s">
        <v>33</v>
      </c>
      <c r="J235" s="8" t="s">
        <v>24</v>
      </c>
    </row>
    <row r="236" spans="1:10" x14ac:dyDescent="0.3">
      <c r="A236" s="8" t="s">
        <v>763</v>
      </c>
      <c r="B236" s="8">
        <v>47920</v>
      </c>
      <c r="C236" s="8" t="s">
        <v>764</v>
      </c>
      <c r="D236" s="8" t="s">
        <v>62</v>
      </c>
      <c r="E236" s="8" t="s">
        <v>510</v>
      </c>
      <c r="F236" s="8" t="s">
        <v>765</v>
      </c>
      <c r="G236" s="8" t="s">
        <v>22</v>
      </c>
      <c r="H236" s="9">
        <v>45911</v>
      </c>
      <c r="I236" s="8" t="s">
        <v>23</v>
      </c>
      <c r="J236" s="8"/>
    </row>
    <row r="237" spans="1:10" x14ac:dyDescent="0.3">
      <c r="A237" s="8" t="s">
        <v>766</v>
      </c>
      <c r="B237" s="8">
        <v>7265</v>
      </c>
      <c r="C237" s="8" t="s">
        <v>767</v>
      </c>
      <c r="D237" s="8" t="s">
        <v>36</v>
      </c>
      <c r="E237" s="8" t="s">
        <v>67</v>
      </c>
      <c r="F237" s="8" t="s">
        <v>768</v>
      </c>
      <c r="G237" s="8" t="s">
        <v>22</v>
      </c>
      <c r="H237" s="9">
        <v>45254</v>
      </c>
      <c r="I237" s="8" t="s">
        <v>23</v>
      </c>
      <c r="J237" s="8" t="s">
        <v>17</v>
      </c>
    </row>
    <row r="238" spans="1:10" x14ac:dyDescent="0.3">
      <c r="A238" s="8" t="s">
        <v>769</v>
      </c>
      <c r="B238" s="8">
        <v>38253</v>
      </c>
      <c r="C238" s="8" t="s">
        <v>770</v>
      </c>
      <c r="D238" s="8" t="s">
        <v>47</v>
      </c>
      <c r="E238" s="8" t="s">
        <v>181</v>
      </c>
      <c r="F238" s="8" t="s">
        <v>771</v>
      </c>
      <c r="G238" s="8" t="s">
        <v>15</v>
      </c>
      <c r="H238" s="9">
        <v>45976</v>
      </c>
      <c r="I238" s="8" t="s">
        <v>54</v>
      </c>
      <c r="J238" s="8" t="s">
        <v>95</v>
      </c>
    </row>
    <row r="239" spans="1:10" x14ac:dyDescent="0.3">
      <c r="A239" s="8" t="s">
        <v>772</v>
      </c>
      <c r="B239" s="8">
        <v>16416</v>
      </c>
      <c r="C239" s="8" t="s">
        <v>773</v>
      </c>
      <c r="D239" s="8" t="s">
        <v>12</v>
      </c>
      <c r="E239" s="8" t="s">
        <v>166</v>
      </c>
      <c r="F239" s="8" t="s">
        <v>774</v>
      </c>
      <c r="G239" s="8" t="s">
        <v>22</v>
      </c>
      <c r="H239" s="9">
        <v>45905</v>
      </c>
      <c r="I239" s="8" t="s">
        <v>54</v>
      </c>
      <c r="J239" s="8"/>
    </row>
    <row r="240" spans="1:10" x14ac:dyDescent="0.3">
      <c r="A240" s="8" t="s">
        <v>775</v>
      </c>
      <c r="B240" s="8">
        <v>31866</v>
      </c>
      <c r="C240" s="8" t="s">
        <v>776</v>
      </c>
      <c r="D240" s="8" t="s">
        <v>84</v>
      </c>
      <c r="E240" s="8" t="s">
        <v>234</v>
      </c>
      <c r="F240" s="8" t="s">
        <v>777</v>
      </c>
      <c r="G240" s="8" t="s">
        <v>22</v>
      </c>
      <c r="H240" s="9">
        <v>45765</v>
      </c>
      <c r="I240" s="8" t="s">
        <v>23</v>
      </c>
      <c r="J240" s="8" t="s">
        <v>50</v>
      </c>
    </row>
    <row r="241" spans="1:10" x14ac:dyDescent="0.3">
      <c r="A241" s="8" t="s">
        <v>778</v>
      </c>
      <c r="B241" s="8">
        <v>72885</v>
      </c>
      <c r="C241" s="8" t="s">
        <v>779</v>
      </c>
      <c r="D241" s="8" t="s">
        <v>173</v>
      </c>
      <c r="E241" s="8" t="s">
        <v>328</v>
      </c>
      <c r="F241" s="8" t="s">
        <v>780</v>
      </c>
      <c r="G241" s="8" t="s">
        <v>22</v>
      </c>
      <c r="H241" s="9">
        <v>45896</v>
      </c>
      <c r="I241" s="8" t="s">
        <v>54</v>
      </c>
      <c r="J241" s="8" t="s">
        <v>24</v>
      </c>
    </row>
    <row r="242" spans="1:10" x14ac:dyDescent="0.3">
      <c r="A242" s="8" t="s">
        <v>781</v>
      </c>
      <c r="B242" s="8">
        <v>15372</v>
      </c>
      <c r="C242" s="8" t="s">
        <v>782</v>
      </c>
      <c r="D242" s="8" t="s">
        <v>71</v>
      </c>
      <c r="E242" s="8" t="s">
        <v>536</v>
      </c>
      <c r="F242" s="8" t="s">
        <v>783</v>
      </c>
      <c r="G242" s="8" t="s">
        <v>15</v>
      </c>
      <c r="H242" s="9">
        <v>45917</v>
      </c>
      <c r="I242" s="8" t="s">
        <v>16</v>
      </c>
      <c r="J242" s="8" t="s">
        <v>50</v>
      </c>
    </row>
    <row r="243" spans="1:10" x14ac:dyDescent="0.3">
      <c r="A243" s="8" t="s">
        <v>784</v>
      </c>
      <c r="B243" s="8">
        <v>20682</v>
      </c>
      <c r="C243" s="8" t="s">
        <v>785</v>
      </c>
      <c r="D243" s="8" t="s">
        <v>36</v>
      </c>
      <c r="E243" s="8" t="s">
        <v>127</v>
      </c>
      <c r="F243" s="8" t="s">
        <v>786</v>
      </c>
      <c r="G243" s="8" t="s">
        <v>22</v>
      </c>
      <c r="H243" s="9">
        <v>44949</v>
      </c>
      <c r="I243" s="8" t="s">
        <v>23</v>
      </c>
      <c r="J243" s="8"/>
    </row>
    <row r="244" spans="1:10" x14ac:dyDescent="0.3">
      <c r="A244" s="8" t="s">
        <v>360</v>
      </c>
      <c r="B244" s="8">
        <v>67199</v>
      </c>
      <c r="C244" s="8" t="s">
        <v>787</v>
      </c>
      <c r="D244" s="8" t="s">
        <v>12</v>
      </c>
      <c r="E244" s="8" t="s">
        <v>166</v>
      </c>
      <c r="F244" s="8" t="s">
        <v>788</v>
      </c>
      <c r="G244" s="8" t="s">
        <v>22</v>
      </c>
      <c r="H244" s="9">
        <v>45771</v>
      </c>
      <c r="I244" s="8" t="s">
        <v>33</v>
      </c>
      <c r="J244" s="8" t="s">
        <v>17</v>
      </c>
    </row>
    <row r="245" spans="1:10" x14ac:dyDescent="0.3">
      <c r="A245" s="8" t="s">
        <v>789</v>
      </c>
      <c r="B245" s="8">
        <v>62395</v>
      </c>
      <c r="C245" s="8" t="s">
        <v>790</v>
      </c>
      <c r="D245" s="8" t="s">
        <v>12</v>
      </c>
      <c r="E245" s="8" t="s">
        <v>166</v>
      </c>
      <c r="F245" s="8" t="s">
        <v>791</v>
      </c>
      <c r="G245" s="8" t="s">
        <v>22</v>
      </c>
      <c r="H245" s="9">
        <v>45682</v>
      </c>
      <c r="I245" s="8" t="s">
        <v>39</v>
      </c>
      <c r="J245" s="8" t="s">
        <v>78</v>
      </c>
    </row>
    <row r="246" spans="1:10" x14ac:dyDescent="0.3">
      <c r="A246" s="8" t="s">
        <v>792</v>
      </c>
      <c r="B246" s="8">
        <v>50778</v>
      </c>
      <c r="C246" s="8" t="s">
        <v>793</v>
      </c>
      <c r="D246" s="8" t="s">
        <v>12</v>
      </c>
      <c r="E246" s="8" t="s">
        <v>123</v>
      </c>
      <c r="F246" s="8" t="s">
        <v>794</v>
      </c>
      <c r="G246" s="8" t="s">
        <v>15</v>
      </c>
      <c r="H246" s="9">
        <v>45114</v>
      </c>
      <c r="I246" s="8" t="s">
        <v>33</v>
      </c>
      <c r="J246" s="8"/>
    </row>
    <row r="247" spans="1:10" x14ac:dyDescent="0.3">
      <c r="A247" s="8" t="s">
        <v>795</v>
      </c>
      <c r="B247" s="8">
        <v>98319</v>
      </c>
      <c r="C247" s="8" t="s">
        <v>796</v>
      </c>
      <c r="D247" s="8" t="s">
        <v>36</v>
      </c>
      <c r="E247" s="8" t="s">
        <v>162</v>
      </c>
      <c r="F247" s="8" t="s">
        <v>797</v>
      </c>
      <c r="G247" s="8" t="s">
        <v>22</v>
      </c>
      <c r="H247" s="9">
        <v>45984</v>
      </c>
      <c r="I247" s="8" t="s">
        <v>54</v>
      </c>
      <c r="J247" s="8"/>
    </row>
    <row r="248" spans="1:10" x14ac:dyDescent="0.3">
      <c r="A248" s="8" t="s">
        <v>798</v>
      </c>
      <c r="B248" s="8">
        <v>54888</v>
      </c>
      <c r="C248" s="8" t="s">
        <v>799</v>
      </c>
      <c r="D248" s="8" t="s">
        <v>27</v>
      </c>
      <c r="E248" s="8" t="s">
        <v>158</v>
      </c>
      <c r="F248" s="8" t="s">
        <v>800</v>
      </c>
      <c r="G248" s="8" t="s">
        <v>15</v>
      </c>
      <c r="H248" s="9">
        <v>45841</v>
      </c>
      <c r="I248" s="8" t="s">
        <v>39</v>
      </c>
      <c r="J248" s="8" t="s">
        <v>17</v>
      </c>
    </row>
    <row r="249" spans="1:10" x14ac:dyDescent="0.3">
      <c r="A249" s="8" t="s">
        <v>801</v>
      </c>
      <c r="B249" s="8">
        <v>35519</v>
      </c>
      <c r="C249" s="8" t="s">
        <v>802</v>
      </c>
      <c r="D249" s="8" t="s">
        <v>12</v>
      </c>
      <c r="E249" s="8" t="s">
        <v>138</v>
      </c>
      <c r="F249" s="8" t="s">
        <v>803</v>
      </c>
      <c r="G249" s="8" t="s">
        <v>22</v>
      </c>
      <c r="H249" s="9">
        <v>45066</v>
      </c>
      <c r="I249" s="8" t="s">
        <v>39</v>
      </c>
      <c r="J249" s="8"/>
    </row>
    <row r="250" spans="1:10" x14ac:dyDescent="0.3">
      <c r="A250" s="8" t="s">
        <v>795</v>
      </c>
      <c r="B250" s="8">
        <v>77432</v>
      </c>
      <c r="C250" s="8" t="s">
        <v>804</v>
      </c>
      <c r="D250" s="8" t="s">
        <v>36</v>
      </c>
      <c r="E250" s="8" t="s">
        <v>162</v>
      </c>
      <c r="F250" s="8" t="s">
        <v>805</v>
      </c>
      <c r="G250" s="8" t="s">
        <v>22</v>
      </c>
      <c r="H250" s="9">
        <v>45218</v>
      </c>
      <c r="I250" s="8" t="s">
        <v>33</v>
      </c>
      <c r="J250" s="8"/>
    </row>
    <row r="251" spans="1:10" x14ac:dyDescent="0.3">
      <c r="A251" s="8" t="s">
        <v>806</v>
      </c>
      <c r="B251" s="8">
        <v>71093</v>
      </c>
      <c r="C251" s="8" t="s">
        <v>807</v>
      </c>
      <c r="D251" s="8" t="s">
        <v>173</v>
      </c>
      <c r="E251" s="8" t="s">
        <v>191</v>
      </c>
      <c r="F251" s="8" t="s">
        <v>808</v>
      </c>
      <c r="G251" s="8" t="s">
        <v>22</v>
      </c>
      <c r="H251" s="9">
        <v>45150</v>
      </c>
      <c r="I251" s="8" t="s">
        <v>16</v>
      </c>
      <c r="J251" s="8" t="s">
        <v>50</v>
      </c>
    </row>
    <row r="252" spans="1:10" x14ac:dyDescent="0.3">
      <c r="A252" s="8" t="s">
        <v>809</v>
      </c>
      <c r="B252" s="8">
        <v>71729</v>
      </c>
      <c r="C252" s="8" t="s">
        <v>810</v>
      </c>
      <c r="D252" s="8" t="s">
        <v>42</v>
      </c>
      <c r="E252" s="8" t="s">
        <v>305</v>
      </c>
      <c r="F252" s="8" t="s">
        <v>811</v>
      </c>
      <c r="G252" s="8" t="s">
        <v>15</v>
      </c>
      <c r="H252" s="9">
        <v>44952</v>
      </c>
      <c r="I252" s="8" t="s">
        <v>16</v>
      </c>
      <c r="J252" s="8"/>
    </row>
    <row r="253" spans="1:10" x14ac:dyDescent="0.3">
      <c r="A253" s="8" t="s">
        <v>812</v>
      </c>
      <c r="B253" s="8">
        <v>25228</v>
      </c>
      <c r="C253" s="8" t="s">
        <v>813</v>
      </c>
      <c r="D253" s="8" t="s">
        <v>84</v>
      </c>
      <c r="E253" s="8" t="s">
        <v>234</v>
      </c>
      <c r="F253" s="8" t="s">
        <v>814</v>
      </c>
      <c r="G253" s="8" t="s">
        <v>15</v>
      </c>
      <c r="H253" s="9">
        <v>44906</v>
      </c>
      <c r="I253" s="8" t="s">
        <v>23</v>
      </c>
      <c r="J253" s="8"/>
    </row>
    <row r="254" spans="1:10" x14ac:dyDescent="0.3">
      <c r="A254" s="8" t="s">
        <v>815</v>
      </c>
      <c r="B254" s="8">
        <v>54342</v>
      </c>
      <c r="C254" s="8" t="s">
        <v>816</v>
      </c>
      <c r="D254" s="8" t="s">
        <v>36</v>
      </c>
      <c r="E254" s="8" t="s">
        <v>37</v>
      </c>
      <c r="F254" s="8" t="s">
        <v>817</v>
      </c>
      <c r="G254" s="8" t="s">
        <v>15</v>
      </c>
      <c r="H254" s="9">
        <v>45597</v>
      </c>
      <c r="I254" s="8" t="s">
        <v>39</v>
      </c>
      <c r="J254" s="8"/>
    </row>
    <row r="255" spans="1:10" x14ac:dyDescent="0.3">
      <c r="A255" s="8" t="s">
        <v>818</v>
      </c>
      <c r="B255" s="8">
        <v>92936</v>
      </c>
      <c r="C255" s="8" t="s">
        <v>819</v>
      </c>
      <c r="D255" s="8" t="s">
        <v>57</v>
      </c>
      <c r="E255" s="8" t="s">
        <v>481</v>
      </c>
      <c r="F255" s="8" t="s">
        <v>820</v>
      </c>
      <c r="G255" s="8" t="s">
        <v>15</v>
      </c>
      <c r="H255" s="9">
        <v>45918</v>
      </c>
      <c r="I255" s="8" t="s">
        <v>54</v>
      </c>
      <c r="J255" s="8"/>
    </row>
    <row r="256" spans="1:10" x14ac:dyDescent="0.3">
      <c r="A256" s="8" t="s">
        <v>821</v>
      </c>
      <c r="B256" s="8">
        <v>85962</v>
      </c>
      <c r="C256" s="8" t="s">
        <v>822</v>
      </c>
      <c r="D256" s="8" t="s">
        <v>173</v>
      </c>
      <c r="E256" s="8" t="s">
        <v>398</v>
      </c>
      <c r="F256" s="8" t="s">
        <v>823</v>
      </c>
      <c r="G256" s="8" t="s">
        <v>15</v>
      </c>
      <c r="H256" s="9">
        <v>45376</v>
      </c>
      <c r="I256" s="8" t="s">
        <v>33</v>
      </c>
      <c r="J256" s="8"/>
    </row>
    <row r="257" spans="1:10" x14ac:dyDescent="0.3">
      <c r="A257" s="8" t="s">
        <v>824</v>
      </c>
      <c r="B257" s="8">
        <v>17048</v>
      </c>
      <c r="C257" s="8" t="s">
        <v>825</v>
      </c>
      <c r="D257" s="8" t="s">
        <v>173</v>
      </c>
      <c r="E257" s="8" t="s">
        <v>270</v>
      </c>
      <c r="F257" s="8" t="s">
        <v>826</v>
      </c>
      <c r="G257" s="8" t="s">
        <v>15</v>
      </c>
      <c r="H257" s="9">
        <v>45429</v>
      </c>
      <c r="I257" s="8" t="s">
        <v>16</v>
      </c>
      <c r="J257" s="8" t="s">
        <v>78</v>
      </c>
    </row>
    <row r="258" spans="1:10" x14ac:dyDescent="0.3">
      <c r="A258" s="8" t="s">
        <v>827</v>
      </c>
      <c r="B258" s="8">
        <v>58212</v>
      </c>
      <c r="C258" s="8" t="s">
        <v>828</v>
      </c>
      <c r="D258" s="8" t="s">
        <v>57</v>
      </c>
      <c r="E258" s="8" t="s">
        <v>252</v>
      </c>
      <c r="F258" s="8" t="s">
        <v>829</v>
      </c>
      <c r="G258" s="8" t="s">
        <v>15</v>
      </c>
      <c r="H258" s="9">
        <v>45273</v>
      </c>
      <c r="I258" s="8" t="s">
        <v>23</v>
      </c>
      <c r="J258" s="8" t="s">
        <v>95</v>
      </c>
    </row>
    <row r="259" spans="1:10" x14ac:dyDescent="0.3">
      <c r="A259" s="8" t="s">
        <v>531</v>
      </c>
      <c r="B259" s="8">
        <v>2512</v>
      </c>
      <c r="C259" s="8" t="s">
        <v>830</v>
      </c>
      <c r="D259" s="8" t="s">
        <v>71</v>
      </c>
      <c r="E259" s="8" t="s">
        <v>277</v>
      </c>
      <c r="F259" s="8" t="s">
        <v>831</v>
      </c>
      <c r="G259" s="8" t="s">
        <v>22</v>
      </c>
      <c r="H259" s="9">
        <v>45886</v>
      </c>
      <c r="I259" s="8" t="s">
        <v>33</v>
      </c>
      <c r="J259" s="8"/>
    </row>
    <row r="260" spans="1:10" x14ac:dyDescent="0.3">
      <c r="A260" s="8" t="s">
        <v>832</v>
      </c>
      <c r="B260" s="8">
        <v>20733</v>
      </c>
      <c r="C260" s="8" t="s">
        <v>833</v>
      </c>
      <c r="D260" s="8" t="s">
        <v>47</v>
      </c>
      <c r="E260" s="8" t="s">
        <v>181</v>
      </c>
      <c r="F260" s="8" t="s">
        <v>834</v>
      </c>
      <c r="G260" s="8" t="s">
        <v>22</v>
      </c>
      <c r="H260" s="9">
        <v>45057</v>
      </c>
      <c r="I260" s="8" t="s">
        <v>33</v>
      </c>
      <c r="J260" s="8" t="s">
        <v>24</v>
      </c>
    </row>
    <row r="261" spans="1:10" x14ac:dyDescent="0.3">
      <c r="A261" s="8" t="s">
        <v>835</v>
      </c>
      <c r="B261" s="8">
        <v>44876</v>
      </c>
      <c r="C261" s="8" t="s">
        <v>836</v>
      </c>
      <c r="D261" s="8" t="s">
        <v>12</v>
      </c>
      <c r="E261" s="8" t="s">
        <v>20</v>
      </c>
      <c r="F261" s="8" t="s">
        <v>837</v>
      </c>
      <c r="G261" s="8" t="s">
        <v>22</v>
      </c>
      <c r="H261" s="9">
        <v>45497</v>
      </c>
      <c r="I261" s="8" t="s">
        <v>54</v>
      </c>
      <c r="J261" s="8" t="s">
        <v>17</v>
      </c>
    </row>
    <row r="262" spans="1:10" x14ac:dyDescent="0.3">
      <c r="A262" s="8" t="s">
        <v>570</v>
      </c>
      <c r="B262" s="8">
        <v>43566</v>
      </c>
      <c r="C262" s="8" t="s">
        <v>838</v>
      </c>
      <c r="D262" s="8" t="s">
        <v>84</v>
      </c>
      <c r="E262" s="8" t="s">
        <v>248</v>
      </c>
      <c r="F262" s="8" t="s">
        <v>839</v>
      </c>
      <c r="G262" s="8" t="s">
        <v>22</v>
      </c>
      <c r="H262" s="9">
        <v>45068</v>
      </c>
      <c r="I262" s="8" t="s">
        <v>33</v>
      </c>
      <c r="J262" s="8" t="s">
        <v>50</v>
      </c>
    </row>
    <row r="263" spans="1:10" x14ac:dyDescent="0.3">
      <c r="A263" s="8" t="s">
        <v>840</v>
      </c>
      <c r="B263" s="8">
        <v>94704</v>
      </c>
      <c r="C263" s="8" t="s">
        <v>841</v>
      </c>
      <c r="D263" s="8" t="s">
        <v>62</v>
      </c>
      <c r="E263" s="8" t="s">
        <v>89</v>
      </c>
      <c r="F263" s="8" t="s">
        <v>842</v>
      </c>
      <c r="G263" s="8" t="s">
        <v>15</v>
      </c>
      <c r="H263" s="9">
        <v>45486</v>
      </c>
      <c r="I263" s="8" t="s">
        <v>23</v>
      </c>
      <c r="J263" s="8" t="s">
        <v>50</v>
      </c>
    </row>
    <row r="264" spans="1:10" x14ac:dyDescent="0.3">
      <c r="A264" s="8" t="s">
        <v>843</v>
      </c>
      <c r="B264" s="8">
        <v>81432</v>
      </c>
      <c r="C264" s="8" t="s">
        <v>844</v>
      </c>
      <c r="D264" s="8" t="s">
        <v>62</v>
      </c>
      <c r="E264" s="8" t="s">
        <v>63</v>
      </c>
      <c r="F264" s="8" t="s">
        <v>845</v>
      </c>
      <c r="G264" s="8" t="s">
        <v>22</v>
      </c>
      <c r="H264" s="9">
        <v>45103</v>
      </c>
      <c r="I264" s="8" t="s">
        <v>16</v>
      </c>
      <c r="J264" s="8"/>
    </row>
    <row r="265" spans="1:10" x14ac:dyDescent="0.3">
      <c r="A265" s="8" t="s">
        <v>846</v>
      </c>
      <c r="B265" s="8">
        <v>38168</v>
      </c>
      <c r="C265" s="8" t="s">
        <v>847</v>
      </c>
      <c r="D265" s="8" t="s">
        <v>47</v>
      </c>
      <c r="E265" s="8" t="s">
        <v>425</v>
      </c>
      <c r="F265" s="8" t="s">
        <v>848</v>
      </c>
      <c r="G265" s="8" t="s">
        <v>22</v>
      </c>
      <c r="H265" s="9">
        <v>45745</v>
      </c>
      <c r="I265" s="8" t="s">
        <v>16</v>
      </c>
      <c r="J265" s="8" t="s">
        <v>17</v>
      </c>
    </row>
    <row r="266" spans="1:10" x14ac:dyDescent="0.3">
      <c r="A266" s="8" t="s">
        <v>354</v>
      </c>
      <c r="B266" s="8">
        <v>13404</v>
      </c>
      <c r="C266" s="8" t="s">
        <v>849</v>
      </c>
      <c r="D266" s="8" t="s">
        <v>71</v>
      </c>
      <c r="E266" s="8" t="s">
        <v>277</v>
      </c>
      <c r="F266" s="8" t="s">
        <v>850</v>
      </c>
      <c r="G266" s="8" t="s">
        <v>22</v>
      </c>
      <c r="H266" s="9">
        <v>45300</v>
      </c>
      <c r="I266" s="8" t="s">
        <v>33</v>
      </c>
      <c r="J266" s="8" t="s">
        <v>78</v>
      </c>
    </row>
    <row r="267" spans="1:10" x14ac:dyDescent="0.3">
      <c r="A267" s="8" t="s">
        <v>851</v>
      </c>
      <c r="B267" s="8">
        <v>39752</v>
      </c>
      <c r="C267" s="8" t="s">
        <v>852</v>
      </c>
      <c r="D267" s="8" t="s">
        <v>27</v>
      </c>
      <c r="E267" s="8" t="s">
        <v>158</v>
      </c>
      <c r="F267" s="8" t="s">
        <v>853</v>
      </c>
      <c r="G267" s="8" t="s">
        <v>15</v>
      </c>
      <c r="H267" s="9">
        <v>45096</v>
      </c>
      <c r="I267" s="8" t="s">
        <v>54</v>
      </c>
      <c r="J267" s="8" t="s">
        <v>78</v>
      </c>
    </row>
    <row r="268" spans="1:10" x14ac:dyDescent="0.3">
      <c r="A268" s="8" t="s">
        <v>854</v>
      </c>
      <c r="B268" s="8">
        <v>7856</v>
      </c>
      <c r="C268" s="8" t="s">
        <v>855</v>
      </c>
      <c r="D268" s="8" t="s">
        <v>27</v>
      </c>
      <c r="E268" s="8" t="s">
        <v>28</v>
      </c>
      <c r="F268" s="8" t="s">
        <v>856</v>
      </c>
      <c r="G268" s="8" t="s">
        <v>15</v>
      </c>
      <c r="H268" s="9">
        <v>44918</v>
      </c>
      <c r="I268" s="8" t="s">
        <v>39</v>
      </c>
      <c r="J268" s="8" t="s">
        <v>24</v>
      </c>
    </row>
    <row r="269" spans="1:10" x14ac:dyDescent="0.3">
      <c r="A269" s="8" t="s">
        <v>857</v>
      </c>
      <c r="B269" s="8">
        <v>19581</v>
      </c>
      <c r="C269" s="8" t="s">
        <v>858</v>
      </c>
      <c r="D269" s="8" t="s">
        <v>173</v>
      </c>
      <c r="E269" s="8" t="s">
        <v>174</v>
      </c>
      <c r="F269" s="8" t="s">
        <v>859</v>
      </c>
      <c r="G269" s="8" t="s">
        <v>22</v>
      </c>
      <c r="H269" s="9">
        <v>45917</v>
      </c>
      <c r="I269" s="8" t="s">
        <v>54</v>
      </c>
      <c r="J269" s="8"/>
    </row>
    <row r="270" spans="1:10" x14ac:dyDescent="0.3">
      <c r="A270" s="8" t="s">
        <v>860</v>
      </c>
      <c r="B270" s="8">
        <v>89865</v>
      </c>
      <c r="C270" s="8" t="s">
        <v>861</v>
      </c>
      <c r="D270" s="8" t="s">
        <v>71</v>
      </c>
      <c r="E270" s="8" t="s">
        <v>93</v>
      </c>
      <c r="F270" s="8" t="s">
        <v>862</v>
      </c>
      <c r="G270" s="8" t="s">
        <v>22</v>
      </c>
      <c r="H270" s="9">
        <v>45604</v>
      </c>
      <c r="I270" s="8" t="s">
        <v>23</v>
      </c>
      <c r="J270" s="8"/>
    </row>
    <row r="271" spans="1:10" x14ac:dyDescent="0.3">
      <c r="A271" s="8" t="s">
        <v>863</v>
      </c>
      <c r="B271" s="8">
        <v>80388</v>
      </c>
      <c r="C271" s="8" t="s">
        <v>864</v>
      </c>
      <c r="D271" s="8" t="s">
        <v>84</v>
      </c>
      <c r="E271" s="8" t="s">
        <v>234</v>
      </c>
      <c r="F271" s="8" t="s">
        <v>865</v>
      </c>
      <c r="G271" s="8" t="s">
        <v>22</v>
      </c>
      <c r="H271" s="9">
        <v>45550</v>
      </c>
      <c r="I271" s="8" t="s">
        <v>33</v>
      </c>
      <c r="J271" s="8"/>
    </row>
    <row r="272" spans="1:10" x14ac:dyDescent="0.3">
      <c r="A272" s="8" t="s">
        <v>866</v>
      </c>
      <c r="B272" s="8">
        <v>65731</v>
      </c>
      <c r="C272" s="8" t="s">
        <v>867</v>
      </c>
      <c r="D272" s="8" t="s">
        <v>173</v>
      </c>
      <c r="E272" s="8" t="s">
        <v>398</v>
      </c>
      <c r="F272" s="8" t="s">
        <v>868</v>
      </c>
      <c r="G272" s="8" t="s">
        <v>22</v>
      </c>
      <c r="H272" s="9">
        <v>44979</v>
      </c>
      <c r="I272" s="8" t="s">
        <v>54</v>
      </c>
      <c r="J272" s="8"/>
    </row>
    <row r="273" spans="1:10" x14ac:dyDescent="0.3">
      <c r="A273" s="8" t="s">
        <v>869</v>
      </c>
      <c r="B273" s="8">
        <v>33790</v>
      </c>
      <c r="C273" s="8" t="s">
        <v>870</v>
      </c>
      <c r="D273" s="8" t="s">
        <v>42</v>
      </c>
      <c r="E273" s="8" t="s">
        <v>43</v>
      </c>
      <c r="F273" s="8" t="s">
        <v>871</v>
      </c>
      <c r="G273" s="8" t="s">
        <v>15</v>
      </c>
      <c r="H273" s="9">
        <v>45346</v>
      </c>
      <c r="I273" s="8" t="s">
        <v>33</v>
      </c>
      <c r="J273" s="8"/>
    </row>
    <row r="274" spans="1:10" x14ac:dyDescent="0.3">
      <c r="A274" s="8" t="s">
        <v>567</v>
      </c>
      <c r="B274" s="8">
        <v>61482</v>
      </c>
      <c r="C274" s="8" t="s">
        <v>872</v>
      </c>
      <c r="D274" s="8" t="s">
        <v>71</v>
      </c>
      <c r="E274" s="8" t="s">
        <v>536</v>
      </c>
      <c r="F274" s="8" t="s">
        <v>873</v>
      </c>
      <c r="G274" s="8" t="s">
        <v>22</v>
      </c>
      <c r="H274" s="9">
        <v>45089</v>
      </c>
      <c r="I274" s="8" t="s">
        <v>33</v>
      </c>
      <c r="J274" s="8"/>
    </row>
    <row r="275" spans="1:10" x14ac:dyDescent="0.3">
      <c r="A275" s="8" t="s">
        <v>874</v>
      </c>
      <c r="B275" s="8">
        <v>10182</v>
      </c>
      <c r="C275" s="8" t="s">
        <v>875</v>
      </c>
      <c r="D275" s="8" t="s">
        <v>42</v>
      </c>
      <c r="E275" s="8" t="s">
        <v>305</v>
      </c>
      <c r="F275" s="8" t="s">
        <v>876</v>
      </c>
      <c r="G275" s="8" t="s">
        <v>15</v>
      </c>
      <c r="H275" s="9">
        <v>45766</v>
      </c>
      <c r="I275" s="8" t="s">
        <v>39</v>
      </c>
      <c r="J275" s="8" t="s">
        <v>24</v>
      </c>
    </row>
    <row r="276" spans="1:10" x14ac:dyDescent="0.3">
      <c r="A276" s="8" t="s">
        <v>140</v>
      </c>
      <c r="B276" s="8">
        <v>39711</v>
      </c>
      <c r="C276" s="8" t="s">
        <v>877</v>
      </c>
      <c r="D276" s="8" t="s">
        <v>47</v>
      </c>
      <c r="E276" s="8" t="s">
        <v>48</v>
      </c>
      <c r="F276" s="8" t="s">
        <v>878</v>
      </c>
      <c r="G276" s="8" t="s">
        <v>22</v>
      </c>
      <c r="H276" s="9">
        <v>44908</v>
      </c>
      <c r="I276" s="8" t="s">
        <v>23</v>
      </c>
      <c r="J276" s="8" t="s">
        <v>24</v>
      </c>
    </row>
    <row r="277" spans="1:10" x14ac:dyDescent="0.3">
      <c r="A277" s="8" t="s">
        <v>879</v>
      </c>
      <c r="B277" s="8">
        <v>40100</v>
      </c>
      <c r="C277" s="8" t="s">
        <v>880</v>
      </c>
      <c r="D277" s="8" t="s">
        <v>47</v>
      </c>
      <c r="E277" s="8" t="s">
        <v>425</v>
      </c>
      <c r="F277" s="8" t="s">
        <v>881</v>
      </c>
      <c r="G277" s="8" t="s">
        <v>22</v>
      </c>
      <c r="H277" s="9">
        <v>45306</v>
      </c>
      <c r="I277" s="8" t="s">
        <v>39</v>
      </c>
      <c r="J277" s="8" t="s">
        <v>78</v>
      </c>
    </row>
    <row r="278" spans="1:10" x14ac:dyDescent="0.3">
      <c r="A278" s="8" t="s">
        <v>882</v>
      </c>
      <c r="B278" s="8">
        <v>63836</v>
      </c>
      <c r="C278" s="8" t="s">
        <v>883</v>
      </c>
      <c r="D278" s="8" t="s">
        <v>71</v>
      </c>
      <c r="E278" s="8" t="s">
        <v>93</v>
      </c>
      <c r="F278" s="8" t="s">
        <v>884</v>
      </c>
      <c r="G278" s="8" t="s">
        <v>15</v>
      </c>
      <c r="H278" s="9">
        <v>45606</v>
      </c>
      <c r="I278" s="8" t="s">
        <v>33</v>
      </c>
      <c r="J278" s="8" t="s">
        <v>95</v>
      </c>
    </row>
    <row r="279" spans="1:10" x14ac:dyDescent="0.3">
      <c r="A279" s="8" t="s">
        <v>525</v>
      </c>
      <c r="B279" s="8">
        <v>47550</v>
      </c>
      <c r="C279" s="8" t="s">
        <v>885</v>
      </c>
      <c r="D279" s="8" t="s">
        <v>36</v>
      </c>
      <c r="E279" s="8" t="s">
        <v>37</v>
      </c>
      <c r="F279" s="8" t="s">
        <v>886</v>
      </c>
      <c r="G279" s="8" t="s">
        <v>15</v>
      </c>
      <c r="H279" s="9">
        <v>45055</v>
      </c>
      <c r="I279" s="8" t="s">
        <v>54</v>
      </c>
      <c r="J279" s="8" t="s">
        <v>24</v>
      </c>
    </row>
    <row r="280" spans="1:10" x14ac:dyDescent="0.3">
      <c r="A280" s="8" t="s">
        <v>887</v>
      </c>
      <c r="B280" s="8">
        <v>3376</v>
      </c>
      <c r="C280" s="8" t="s">
        <v>888</v>
      </c>
      <c r="D280" s="8" t="s">
        <v>62</v>
      </c>
      <c r="E280" s="8" t="s">
        <v>154</v>
      </c>
      <c r="F280" s="8" t="s">
        <v>889</v>
      </c>
      <c r="G280" s="8" t="s">
        <v>22</v>
      </c>
      <c r="H280" s="9">
        <v>45412</v>
      </c>
      <c r="I280" s="8" t="s">
        <v>16</v>
      </c>
      <c r="J280" s="8"/>
    </row>
    <row r="281" spans="1:10" x14ac:dyDescent="0.3">
      <c r="A281" s="8" t="s">
        <v>890</v>
      </c>
      <c r="B281" s="8">
        <v>90390</v>
      </c>
      <c r="C281" s="8" t="s">
        <v>891</v>
      </c>
      <c r="D281" s="8" t="s">
        <v>173</v>
      </c>
      <c r="E281" s="8" t="s">
        <v>398</v>
      </c>
      <c r="F281" s="8" t="s">
        <v>892</v>
      </c>
      <c r="G281" s="8" t="s">
        <v>15</v>
      </c>
      <c r="H281" s="9">
        <v>45513</v>
      </c>
      <c r="I281" s="8" t="s">
        <v>23</v>
      </c>
      <c r="J281" s="8"/>
    </row>
    <row r="282" spans="1:10" x14ac:dyDescent="0.3">
      <c r="A282" s="8" t="s">
        <v>893</v>
      </c>
      <c r="B282" s="8">
        <v>65608</v>
      </c>
      <c r="C282" s="8" t="s">
        <v>894</v>
      </c>
      <c r="D282" s="8" t="s">
        <v>173</v>
      </c>
      <c r="E282" s="8" t="s">
        <v>328</v>
      </c>
      <c r="F282" s="8" t="s">
        <v>895</v>
      </c>
      <c r="G282" s="8" t="s">
        <v>22</v>
      </c>
      <c r="H282" s="9">
        <v>45303</v>
      </c>
      <c r="I282" s="8" t="s">
        <v>16</v>
      </c>
      <c r="J282" s="8"/>
    </row>
    <row r="283" spans="1:10" x14ac:dyDescent="0.3">
      <c r="A283" s="8" t="s">
        <v>896</v>
      </c>
      <c r="B283" s="8">
        <v>80070</v>
      </c>
      <c r="C283" s="8" t="s">
        <v>897</v>
      </c>
      <c r="D283" s="8" t="s">
        <v>36</v>
      </c>
      <c r="E283" s="8" t="s">
        <v>162</v>
      </c>
      <c r="F283" s="8" t="s">
        <v>898</v>
      </c>
      <c r="G283" s="8" t="s">
        <v>22</v>
      </c>
      <c r="H283" s="9">
        <v>44979</v>
      </c>
      <c r="I283" s="8" t="s">
        <v>23</v>
      </c>
      <c r="J283" s="8"/>
    </row>
    <row r="284" spans="1:10" x14ac:dyDescent="0.3">
      <c r="A284" s="8" t="s">
        <v>899</v>
      </c>
      <c r="B284" s="8">
        <v>81882</v>
      </c>
      <c r="C284" s="8" t="s">
        <v>900</v>
      </c>
      <c r="D284" s="8" t="s">
        <v>57</v>
      </c>
      <c r="E284" s="8" t="s">
        <v>223</v>
      </c>
      <c r="F284" s="8" t="s">
        <v>901</v>
      </c>
      <c r="G284" s="8" t="s">
        <v>15</v>
      </c>
      <c r="H284" s="9">
        <v>45232</v>
      </c>
      <c r="I284" s="8" t="s">
        <v>33</v>
      </c>
      <c r="J284" s="8" t="s">
        <v>78</v>
      </c>
    </row>
    <row r="285" spans="1:10" x14ac:dyDescent="0.3">
      <c r="A285" s="8" t="s">
        <v>146</v>
      </c>
      <c r="B285" s="8">
        <v>86901</v>
      </c>
      <c r="C285" s="8" t="s">
        <v>902</v>
      </c>
      <c r="D285" s="8" t="s">
        <v>27</v>
      </c>
      <c r="E285" s="8" t="s">
        <v>98</v>
      </c>
      <c r="F285" s="8" t="s">
        <v>903</v>
      </c>
      <c r="G285" s="8" t="s">
        <v>15</v>
      </c>
      <c r="H285" s="9">
        <v>45212</v>
      </c>
      <c r="I285" s="8" t="s">
        <v>16</v>
      </c>
      <c r="J285" s="8" t="s">
        <v>50</v>
      </c>
    </row>
    <row r="286" spans="1:10" x14ac:dyDescent="0.3">
      <c r="A286" s="8" t="s">
        <v>815</v>
      </c>
      <c r="B286" s="8">
        <v>85218</v>
      </c>
      <c r="C286" s="8" t="s">
        <v>904</v>
      </c>
      <c r="D286" s="8" t="s">
        <v>36</v>
      </c>
      <c r="E286" s="8" t="s">
        <v>37</v>
      </c>
      <c r="F286" s="8" t="s">
        <v>905</v>
      </c>
      <c r="G286" s="8" t="s">
        <v>22</v>
      </c>
      <c r="H286" s="9">
        <v>45273</v>
      </c>
      <c r="I286" s="8" t="s">
        <v>23</v>
      </c>
      <c r="J286" s="8"/>
    </row>
    <row r="287" spans="1:10" x14ac:dyDescent="0.3">
      <c r="A287" s="8" t="s">
        <v>906</v>
      </c>
      <c r="B287" s="8">
        <v>4874</v>
      </c>
      <c r="C287" s="8" t="s">
        <v>907</v>
      </c>
      <c r="D287" s="8" t="s">
        <v>71</v>
      </c>
      <c r="E287" s="8" t="s">
        <v>277</v>
      </c>
      <c r="F287" s="8" t="s">
        <v>908</v>
      </c>
      <c r="G287" s="8" t="s">
        <v>15</v>
      </c>
      <c r="H287" s="9">
        <v>45880</v>
      </c>
      <c r="I287" s="8" t="s">
        <v>39</v>
      </c>
      <c r="J287" s="8" t="s">
        <v>50</v>
      </c>
    </row>
    <row r="288" spans="1:10" x14ac:dyDescent="0.3">
      <c r="A288" s="8" t="s">
        <v>909</v>
      </c>
      <c r="B288" s="8">
        <v>39181</v>
      </c>
      <c r="C288" s="8" t="s">
        <v>910</v>
      </c>
      <c r="D288" s="8" t="s">
        <v>62</v>
      </c>
      <c r="E288" s="8" t="s">
        <v>154</v>
      </c>
      <c r="F288" s="8" t="s">
        <v>911</v>
      </c>
      <c r="G288" s="8" t="s">
        <v>15</v>
      </c>
      <c r="H288" s="9">
        <v>45104</v>
      </c>
      <c r="I288" s="8" t="s">
        <v>54</v>
      </c>
      <c r="J288" s="8"/>
    </row>
    <row r="289" spans="1:10" x14ac:dyDescent="0.3">
      <c r="A289" s="8" t="s">
        <v>912</v>
      </c>
      <c r="B289" s="8">
        <v>26819</v>
      </c>
      <c r="C289" s="8" t="s">
        <v>913</v>
      </c>
      <c r="D289" s="8" t="s">
        <v>62</v>
      </c>
      <c r="E289" s="8" t="s">
        <v>316</v>
      </c>
      <c r="F289" s="8" t="s">
        <v>914</v>
      </c>
      <c r="G289" s="8" t="s">
        <v>22</v>
      </c>
      <c r="H289" s="9">
        <v>45719</v>
      </c>
      <c r="I289" s="8" t="s">
        <v>16</v>
      </c>
      <c r="J289" s="8" t="s">
        <v>17</v>
      </c>
    </row>
    <row r="290" spans="1:10" x14ac:dyDescent="0.3">
      <c r="A290" s="8" t="s">
        <v>915</v>
      </c>
      <c r="B290" s="8">
        <v>48454</v>
      </c>
      <c r="C290" s="8" t="s">
        <v>916</v>
      </c>
      <c r="D290" s="8" t="s">
        <v>36</v>
      </c>
      <c r="E290" s="8" t="s">
        <v>162</v>
      </c>
      <c r="F290" s="8" t="s">
        <v>917</v>
      </c>
      <c r="G290" s="8" t="s">
        <v>22</v>
      </c>
      <c r="H290" s="9">
        <v>45696</v>
      </c>
      <c r="I290" s="8" t="s">
        <v>23</v>
      </c>
      <c r="J290" s="8" t="s">
        <v>50</v>
      </c>
    </row>
    <row r="291" spans="1:10" x14ac:dyDescent="0.3">
      <c r="A291" s="8" t="s">
        <v>652</v>
      </c>
      <c r="B291" s="8">
        <v>63657</v>
      </c>
      <c r="C291" s="8" t="s">
        <v>918</v>
      </c>
      <c r="D291" s="8" t="s">
        <v>47</v>
      </c>
      <c r="E291" s="8" t="s">
        <v>181</v>
      </c>
      <c r="F291" s="8" t="s">
        <v>919</v>
      </c>
      <c r="G291" s="8" t="s">
        <v>15</v>
      </c>
      <c r="H291" s="9">
        <v>45154</v>
      </c>
      <c r="I291" s="8" t="s">
        <v>54</v>
      </c>
      <c r="J291" s="8" t="s">
        <v>24</v>
      </c>
    </row>
    <row r="292" spans="1:10" x14ac:dyDescent="0.3">
      <c r="A292" s="8" t="s">
        <v>354</v>
      </c>
      <c r="B292" s="8">
        <v>15596</v>
      </c>
      <c r="C292" s="8" t="s">
        <v>920</v>
      </c>
      <c r="D292" s="8" t="s">
        <v>71</v>
      </c>
      <c r="E292" s="8" t="s">
        <v>277</v>
      </c>
      <c r="F292" s="8" t="s">
        <v>921</v>
      </c>
      <c r="G292" s="8" t="s">
        <v>22</v>
      </c>
      <c r="H292" s="9">
        <v>44952</v>
      </c>
      <c r="I292" s="8" t="s">
        <v>23</v>
      </c>
      <c r="J292" s="8"/>
    </row>
    <row r="293" spans="1:10" x14ac:dyDescent="0.3">
      <c r="A293" s="8" t="s">
        <v>922</v>
      </c>
      <c r="B293" s="8">
        <v>99349</v>
      </c>
      <c r="C293" s="8" t="s">
        <v>923</v>
      </c>
      <c r="D293" s="8" t="s">
        <v>42</v>
      </c>
      <c r="E293" s="8" t="s">
        <v>503</v>
      </c>
      <c r="F293" s="8" t="s">
        <v>924</v>
      </c>
      <c r="G293" s="8" t="s">
        <v>15</v>
      </c>
      <c r="H293" s="9">
        <v>45920</v>
      </c>
      <c r="I293" s="8" t="s">
        <v>23</v>
      </c>
      <c r="J293" s="8" t="s">
        <v>50</v>
      </c>
    </row>
    <row r="294" spans="1:10" x14ac:dyDescent="0.3">
      <c r="A294" s="8" t="s">
        <v>925</v>
      </c>
      <c r="B294" s="8">
        <v>88896</v>
      </c>
      <c r="C294" s="8" t="s">
        <v>926</v>
      </c>
      <c r="D294" s="8" t="s">
        <v>36</v>
      </c>
      <c r="E294" s="8" t="s">
        <v>127</v>
      </c>
      <c r="F294" s="8" t="s">
        <v>927</v>
      </c>
      <c r="G294" s="8" t="s">
        <v>15</v>
      </c>
      <c r="H294" s="9">
        <v>45895</v>
      </c>
      <c r="I294" s="8" t="s">
        <v>23</v>
      </c>
      <c r="J294" s="8" t="s">
        <v>78</v>
      </c>
    </row>
    <row r="295" spans="1:10" x14ac:dyDescent="0.3">
      <c r="A295" s="8" t="s">
        <v>928</v>
      </c>
      <c r="B295" s="8">
        <v>73549</v>
      </c>
      <c r="C295" s="8" t="s">
        <v>929</v>
      </c>
      <c r="D295" s="8" t="s">
        <v>47</v>
      </c>
      <c r="E295" s="8" t="s">
        <v>48</v>
      </c>
      <c r="F295" s="8" t="s">
        <v>930</v>
      </c>
      <c r="G295" s="8" t="s">
        <v>15</v>
      </c>
      <c r="H295" s="9">
        <v>45871</v>
      </c>
      <c r="I295" s="8" t="s">
        <v>33</v>
      </c>
      <c r="J295" s="8"/>
    </row>
    <row r="296" spans="1:10" x14ac:dyDescent="0.3">
      <c r="A296" s="8" t="s">
        <v>931</v>
      </c>
      <c r="B296" s="8">
        <v>2325</v>
      </c>
      <c r="C296" s="8" t="s">
        <v>932</v>
      </c>
      <c r="D296" s="8" t="s">
        <v>84</v>
      </c>
      <c r="E296" s="8" t="s">
        <v>234</v>
      </c>
      <c r="F296" s="8" t="s">
        <v>933</v>
      </c>
      <c r="G296" s="8" t="s">
        <v>15</v>
      </c>
      <c r="H296" s="9">
        <v>45443</v>
      </c>
      <c r="I296" s="8" t="s">
        <v>39</v>
      </c>
      <c r="J296" s="8"/>
    </row>
    <row r="297" spans="1:10" x14ac:dyDescent="0.3">
      <c r="A297" s="8" t="s">
        <v>934</v>
      </c>
      <c r="B297" s="8">
        <v>48812</v>
      </c>
      <c r="C297" s="8" t="s">
        <v>935</v>
      </c>
      <c r="D297" s="8" t="s">
        <v>84</v>
      </c>
      <c r="E297" s="8" t="s">
        <v>234</v>
      </c>
      <c r="F297" s="8" t="s">
        <v>936</v>
      </c>
      <c r="G297" s="8" t="s">
        <v>15</v>
      </c>
      <c r="H297" s="9">
        <v>45941</v>
      </c>
      <c r="I297" s="8" t="s">
        <v>16</v>
      </c>
      <c r="J297" s="8"/>
    </row>
    <row r="298" spans="1:10" x14ac:dyDescent="0.3">
      <c r="A298" s="8" t="s">
        <v>937</v>
      </c>
      <c r="B298" s="8">
        <v>84196</v>
      </c>
      <c r="C298" s="8" t="s">
        <v>938</v>
      </c>
      <c r="D298" s="8" t="s">
        <v>27</v>
      </c>
      <c r="E298" s="8" t="s">
        <v>28</v>
      </c>
      <c r="F298" s="8" t="s">
        <v>939</v>
      </c>
      <c r="G298" s="8" t="s">
        <v>15</v>
      </c>
      <c r="H298" s="9">
        <v>45711</v>
      </c>
      <c r="I298" s="8" t="s">
        <v>39</v>
      </c>
      <c r="J298" s="8"/>
    </row>
    <row r="299" spans="1:10" x14ac:dyDescent="0.3">
      <c r="A299" s="8" t="s">
        <v>940</v>
      </c>
      <c r="B299" s="8">
        <v>62298</v>
      </c>
      <c r="C299" s="8" t="s">
        <v>941</v>
      </c>
      <c r="D299" s="8" t="s">
        <v>47</v>
      </c>
      <c r="E299" s="8" t="s">
        <v>575</v>
      </c>
      <c r="F299" s="8" t="s">
        <v>942</v>
      </c>
      <c r="G299" s="8" t="s">
        <v>22</v>
      </c>
      <c r="H299" s="9">
        <v>45134</v>
      </c>
      <c r="I299" s="8" t="s">
        <v>54</v>
      </c>
      <c r="J299" s="8"/>
    </row>
    <row r="300" spans="1:10" x14ac:dyDescent="0.3">
      <c r="A300" s="8" t="s">
        <v>943</v>
      </c>
      <c r="B300" s="8">
        <v>43493</v>
      </c>
      <c r="C300" s="8" t="s">
        <v>944</v>
      </c>
      <c r="D300" s="8" t="s">
        <v>27</v>
      </c>
      <c r="E300" s="8" t="s">
        <v>28</v>
      </c>
      <c r="F300" s="8" t="s">
        <v>945</v>
      </c>
      <c r="G300" s="8" t="s">
        <v>22</v>
      </c>
      <c r="H300" s="9">
        <v>45287</v>
      </c>
      <c r="I300" s="8" t="s">
        <v>54</v>
      </c>
      <c r="J300" s="8" t="s">
        <v>24</v>
      </c>
    </row>
    <row r="301" spans="1:10" x14ac:dyDescent="0.3">
      <c r="A301" s="8" t="s">
        <v>946</v>
      </c>
      <c r="B301" s="8">
        <v>61353</v>
      </c>
      <c r="C301" s="8" t="s">
        <v>947</v>
      </c>
      <c r="D301" s="8" t="s">
        <v>84</v>
      </c>
      <c r="E301" s="8" t="s">
        <v>119</v>
      </c>
      <c r="F301" s="8" t="s">
        <v>948</v>
      </c>
      <c r="G301" s="8" t="s">
        <v>22</v>
      </c>
      <c r="H301" s="9">
        <v>45878</v>
      </c>
      <c r="I301" s="8" t="s">
        <v>54</v>
      </c>
      <c r="J301" s="8" t="s">
        <v>78</v>
      </c>
    </row>
    <row r="302" spans="1:10" x14ac:dyDescent="0.3">
      <c r="A302" s="8" t="s">
        <v>949</v>
      </c>
      <c r="B302" s="8">
        <v>18821</v>
      </c>
      <c r="C302" s="8" t="s">
        <v>950</v>
      </c>
      <c r="D302" s="8" t="s">
        <v>12</v>
      </c>
      <c r="E302" s="8" t="s">
        <v>166</v>
      </c>
      <c r="F302" s="8" t="s">
        <v>951</v>
      </c>
      <c r="G302" s="8" t="s">
        <v>15</v>
      </c>
      <c r="H302" s="9">
        <v>45926</v>
      </c>
      <c r="I302" s="8" t="s">
        <v>54</v>
      </c>
      <c r="J302" s="8" t="s">
        <v>17</v>
      </c>
    </row>
    <row r="303" spans="1:10" x14ac:dyDescent="0.3">
      <c r="A303" s="8" t="s">
        <v>952</v>
      </c>
      <c r="B303" s="8">
        <v>65070</v>
      </c>
      <c r="C303" s="8" t="s">
        <v>953</v>
      </c>
      <c r="D303" s="8" t="s">
        <v>71</v>
      </c>
      <c r="E303" s="8" t="s">
        <v>277</v>
      </c>
      <c r="F303" s="8" t="s">
        <v>954</v>
      </c>
      <c r="G303" s="8" t="s">
        <v>15</v>
      </c>
      <c r="H303" s="9">
        <v>45732</v>
      </c>
      <c r="I303" s="8" t="s">
        <v>23</v>
      </c>
      <c r="J303" s="8"/>
    </row>
    <row r="304" spans="1:10" x14ac:dyDescent="0.3">
      <c r="A304" s="8" t="s">
        <v>955</v>
      </c>
      <c r="B304" s="8">
        <v>18282</v>
      </c>
      <c r="C304" s="8" t="s">
        <v>956</v>
      </c>
      <c r="D304" s="8" t="s">
        <v>47</v>
      </c>
      <c r="E304" s="8" t="s">
        <v>575</v>
      </c>
      <c r="F304" s="8" t="s">
        <v>957</v>
      </c>
      <c r="G304" s="8" t="s">
        <v>15</v>
      </c>
      <c r="H304" s="9">
        <v>45580</v>
      </c>
      <c r="I304" s="8" t="s">
        <v>23</v>
      </c>
      <c r="J304" s="8" t="s">
        <v>78</v>
      </c>
    </row>
    <row r="305" spans="1:10" x14ac:dyDescent="0.3">
      <c r="A305" s="8" t="s">
        <v>958</v>
      </c>
      <c r="B305" s="8">
        <v>97905</v>
      </c>
      <c r="C305" s="8" t="s">
        <v>959</v>
      </c>
      <c r="D305" s="8" t="s">
        <v>62</v>
      </c>
      <c r="E305" s="8" t="s">
        <v>89</v>
      </c>
      <c r="F305" s="8" t="s">
        <v>960</v>
      </c>
      <c r="G305" s="8" t="s">
        <v>15</v>
      </c>
      <c r="H305" s="9">
        <v>45062</v>
      </c>
      <c r="I305" s="8" t="s">
        <v>23</v>
      </c>
      <c r="J305" s="8"/>
    </row>
    <row r="306" spans="1:10" x14ac:dyDescent="0.3">
      <c r="A306" s="8" t="s">
        <v>961</v>
      </c>
      <c r="B306" s="8">
        <v>20754</v>
      </c>
      <c r="C306" s="8" t="s">
        <v>962</v>
      </c>
      <c r="D306" s="8" t="s">
        <v>62</v>
      </c>
      <c r="E306" s="8" t="s">
        <v>510</v>
      </c>
      <c r="F306" s="8" t="s">
        <v>963</v>
      </c>
      <c r="G306" s="8" t="s">
        <v>22</v>
      </c>
      <c r="H306" s="9">
        <v>45731</v>
      </c>
      <c r="I306" s="8" t="s">
        <v>54</v>
      </c>
      <c r="J306" s="8" t="s">
        <v>95</v>
      </c>
    </row>
    <row r="307" spans="1:10" x14ac:dyDescent="0.3">
      <c r="A307" s="8" t="s">
        <v>964</v>
      </c>
      <c r="B307" s="8">
        <v>64640</v>
      </c>
      <c r="C307" s="8" t="s">
        <v>965</v>
      </c>
      <c r="D307" s="8" t="s">
        <v>12</v>
      </c>
      <c r="E307" s="8" t="s">
        <v>166</v>
      </c>
      <c r="F307" s="8" t="s">
        <v>966</v>
      </c>
      <c r="G307" s="8" t="s">
        <v>22</v>
      </c>
      <c r="H307" s="9">
        <v>45331</v>
      </c>
      <c r="I307" s="8" t="s">
        <v>16</v>
      </c>
      <c r="J307" s="8"/>
    </row>
    <row r="308" spans="1:10" x14ac:dyDescent="0.3">
      <c r="A308" s="8" t="s">
        <v>967</v>
      </c>
      <c r="B308" s="8">
        <v>4789</v>
      </c>
      <c r="C308" s="8" t="s">
        <v>968</v>
      </c>
      <c r="D308" s="8" t="s">
        <v>84</v>
      </c>
      <c r="E308" s="8" t="s">
        <v>234</v>
      </c>
      <c r="F308" s="8" t="s">
        <v>969</v>
      </c>
      <c r="G308" s="8" t="s">
        <v>15</v>
      </c>
      <c r="H308" s="9">
        <v>45242</v>
      </c>
      <c r="I308" s="8" t="s">
        <v>39</v>
      </c>
      <c r="J308" s="8" t="s">
        <v>24</v>
      </c>
    </row>
    <row r="309" spans="1:10" x14ac:dyDescent="0.3">
      <c r="A309" s="8" t="s">
        <v>970</v>
      </c>
      <c r="B309" s="8">
        <v>31448</v>
      </c>
      <c r="C309" s="8" t="s">
        <v>971</v>
      </c>
      <c r="D309" s="8" t="s">
        <v>173</v>
      </c>
      <c r="E309" s="8" t="s">
        <v>174</v>
      </c>
      <c r="F309" s="8" t="s">
        <v>972</v>
      </c>
      <c r="G309" s="8" t="s">
        <v>22</v>
      </c>
      <c r="H309" s="9">
        <v>45591</v>
      </c>
      <c r="I309" s="8" t="s">
        <v>33</v>
      </c>
      <c r="J309" s="8" t="s">
        <v>95</v>
      </c>
    </row>
    <row r="310" spans="1:10" x14ac:dyDescent="0.3">
      <c r="A310" s="8" t="s">
        <v>973</v>
      </c>
      <c r="B310" s="8">
        <v>48648</v>
      </c>
      <c r="C310" s="8" t="s">
        <v>974</v>
      </c>
      <c r="D310" s="8" t="s">
        <v>173</v>
      </c>
      <c r="E310" s="8" t="s">
        <v>270</v>
      </c>
      <c r="F310" s="8" t="s">
        <v>975</v>
      </c>
      <c r="G310" s="8" t="s">
        <v>15</v>
      </c>
      <c r="H310" s="9">
        <v>45023</v>
      </c>
      <c r="I310" s="8" t="s">
        <v>54</v>
      </c>
      <c r="J310" s="8"/>
    </row>
    <row r="311" spans="1:10" x14ac:dyDescent="0.3">
      <c r="A311" s="8" t="s">
        <v>976</v>
      </c>
      <c r="B311" s="8">
        <v>25379</v>
      </c>
      <c r="C311" s="8" t="s">
        <v>977</v>
      </c>
      <c r="D311" s="8" t="s">
        <v>71</v>
      </c>
      <c r="E311" s="8" t="s">
        <v>277</v>
      </c>
      <c r="F311" s="8" t="s">
        <v>978</v>
      </c>
      <c r="G311" s="8" t="s">
        <v>15</v>
      </c>
      <c r="H311" s="9">
        <v>45559</v>
      </c>
      <c r="I311" s="8" t="s">
        <v>54</v>
      </c>
      <c r="J311" s="8"/>
    </row>
    <row r="312" spans="1:10" x14ac:dyDescent="0.3">
      <c r="A312" s="8" t="s">
        <v>979</v>
      </c>
      <c r="B312" s="8">
        <v>60101</v>
      </c>
      <c r="C312" s="8" t="s">
        <v>980</v>
      </c>
      <c r="D312" s="8" t="s">
        <v>27</v>
      </c>
      <c r="E312" s="8" t="s">
        <v>241</v>
      </c>
      <c r="F312" s="8" t="s">
        <v>981</v>
      </c>
      <c r="G312" s="8" t="s">
        <v>22</v>
      </c>
      <c r="H312" s="9">
        <v>45081</v>
      </c>
      <c r="I312" s="8" t="s">
        <v>23</v>
      </c>
      <c r="J312" s="8" t="s">
        <v>95</v>
      </c>
    </row>
    <row r="313" spans="1:10" x14ac:dyDescent="0.3">
      <c r="A313" s="8" t="s">
        <v>982</v>
      </c>
      <c r="B313" s="8">
        <v>84320</v>
      </c>
      <c r="C313" s="8" t="s">
        <v>983</v>
      </c>
      <c r="D313" s="8" t="s">
        <v>62</v>
      </c>
      <c r="E313" s="8" t="s">
        <v>89</v>
      </c>
      <c r="F313" s="8" t="s">
        <v>984</v>
      </c>
      <c r="G313" s="8" t="s">
        <v>15</v>
      </c>
      <c r="H313" s="9">
        <v>45478</v>
      </c>
      <c r="I313" s="8" t="s">
        <v>16</v>
      </c>
      <c r="J313" s="8" t="s">
        <v>24</v>
      </c>
    </row>
    <row r="314" spans="1:10" x14ac:dyDescent="0.3">
      <c r="A314" s="8" t="s">
        <v>985</v>
      </c>
      <c r="B314" s="8">
        <v>32426</v>
      </c>
      <c r="C314" s="8" t="s">
        <v>986</v>
      </c>
      <c r="D314" s="8" t="s">
        <v>12</v>
      </c>
      <c r="E314" s="8" t="s">
        <v>166</v>
      </c>
      <c r="F314" s="8" t="s">
        <v>987</v>
      </c>
      <c r="G314" s="8" t="s">
        <v>22</v>
      </c>
      <c r="H314" s="9">
        <v>45590</v>
      </c>
      <c r="I314" s="8" t="s">
        <v>33</v>
      </c>
      <c r="J314" s="8" t="s">
        <v>24</v>
      </c>
    </row>
    <row r="315" spans="1:10" x14ac:dyDescent="0.3">
      <c r="A315" s="8" t="s">
        <v>988</v>
      </c>
      <c r="B315" s="8">
        <v>9493</v>
      </c>
      <c r="C315" s="8" t="s">
        <v>989</v>
      </c>
      <c r="D315" s="8" t="s">
        <v>36</v>
      </c>
      <c r="E315" s="8" t="s">
        <v>162</v>
      </c>
      <c r="F315" s="8" t="s">
        <v>990</v>
      </c>
      <c r="G315" s="8" t="s">
        <v>15</v>
      </c>
      <c r="H315" s="9">
        <v>45702</v>
      </c>
      <c r="I315" s="8" t="s">
        <v>23</v>
      </c>
      <c r="J315" s="8"/>
    </row>
    <row r="316" spans="1:10" x14ac:dyDescent="0.3">
      <c r="A316" s="8" t="s">
        <v>991</v>
      </c>
      <c r="B316" s="8">
        <v>31040</v>
      </c>
      <c r="C316" s="8" t="s">
        <v>992</v>
      </c>
      <c r="D316" s="8" t="s">
        <v>173</v>
      </c>
      <c r="E316" s="8" t="s">
        <v>174</v>
      </c>
      <c r="F316" s="8" t="s">
        <v>993</v>
      </c>
      <c r="G316" s="8" t="s">
        <v>22</v>
      </c>
      <c r="H316" s="9">
        <v>45166</v>
      </c>
      <c r="I316" s="8" t="s">
        <v>54</v>
      </c>
      <c r="J316" s="8"/>
    </row>
    <row r="317" spans="1:10" x14ac:dyDescent="0.3">
      <c r="A317" s="8" t="s">
        <v>994</v>
      </c>
      <c r="B317" s="8">
        <v>78617</v>
      </c>
      <c r="C317" s="8" t="s">
        <v>995</v>
      </c>
      <c r="D317" s="8" t="s">
        <v>42</v>
      </c>
      <c r="E317" s="8" t="s">
        <v>76</v>
      </c>
      <c r="F317" s="8" t="s">
        <v>996</v>
      </c>
      <c r="G317" s="8" t="s">
        <v>15</v>
      </c>
      <c r="H317" s="9">
        <v>45200</v>
      </c>
      <c r="I317" s="8" t="s">
        <v>39</v>
      </c>
      <c r="J317" s="8"/>
    </row>
    <row r="318" spans="1:10" x14ac:dyDescent="0.3">
      <c r="A318" s="8" t="s">
        <v>997</v>
      </c>
      <c r="B318" s="8">
        <v>17539</v>
      </c>
      <c r="C318" s="8" t="s">
        <v>998</v>
      </c>
      <c r="D318" s="8" t="s">
        <v>27</v>
      </c>
      <c r="E318" s="8" t="s">
        <v>28</v>
      </c>
      <c r="F318" s="8" t="s">
        <v>999</v>
      </c>
      <c r="G318" s="8" t="s">
        <v>22</v>
      </c>
      <c r="H318" s="9">
        <v>45793</v>
      </c>
      <c r="I318" s="8" t="s">
        <v>16</v>
      </c>
      <c r="J318" s="8" t="s">
        <v>24</v>
      </c>
    </row>
    <row r="319" spans="1:10" x14ac:dyDescent="0.3">
      <c r="A319" s="8" t="s">
        <v>1000</v>
      </c>
      <c r="B319" s="8">
        <v>87147</v>
      </c>
      <c r="C319" s="8" t="s">
        <v>1001</v>
      </c>
      <c r="D319" s="8" t="s">
        <v>12</v>
      </c>
      <c r="E319" s="8" t="s">
        <v>13</v>
      </c>
      <c r="F319" s="8" t="s">
        <v>1002</v>
      </c>
      <c r="G319" s="8" t="s">
        <v>15</v>
      </c>
      <c r="H319" s="9">
        <v>45813</v>
      </c>
      <c r="I319" s="8" t="s">
        <v>23</v>
      </c>
      <c r="J319" s="8" t="s">
        <v>17</v>
      </c>
    </row>
    <row r="320" spans="1:10" x14ac:dyDescent="0.3">
      <c r="A320" s="8" t="s">
        <v>1003</v>
      </c>
      <c r="B320" s="8">
        <v>31687</v>
      </c>
      <c r="C320" s="8" t="s">
        <v>1004</v>
      </c>
      <c r="D320" s="8" t="s">
        <v>71</v>
      </c>
      <c r="E320" s="8" t="s">
        <v>93</v>
      </c>
      <c r="F320" s="8" t="s">
        <v>1005</v>
      </c>
      <c r="G320" s="8" t="s">
        <v>22</v>
      </c>
      <c r="H320" s="9">
        <v>45725</v>
      </c>
      <c r="I320" s="8" t="s">
        <v>39</v>
      </c>
      <c r="J320" s="8" t="s">
        <v>24</v>
      </c>
    </row>
    <row r="321" spans="1:10" x14ac:dyDescent="0.3">
      <c r="A321" s="8" t="s">
        <v>1006</v>
      </c>
      <c r="B321" s="8">
        <v>7369</v>
      </c>
      <c r="C321" s="8" t="s">
        <v>1007</v>
      </c>
      <c r="D321" s="8" t="s">
        <v>42</v>
      </c>
      <c r="E321" s="8" t="s">
        <v>503</v>
      </c>
      <c r="F321" s="8" t="s">
        <v>1008</v>
      </c>
      <c r="G321" s="8" t="s">
        <v>22</v>
      </c>
      <c r="H321" s="9">
        <v>45577</v>
      </c>
      <c r="I321" s="8" t="s">
        <v>54</v>
      </c>
      <c r="J321" s="8"/>
    </row>
    <row r="322" spans="1:10" x14ac:dyDescent="0.3">
      <c r="A322" s="8" t="s">
        <v>766</v>
      </c>
      <c r="B322" s="8">
        <v>15397</v>
      </c>
      <c r="C322" s="8" t="s">
        <v>1009</v>
      </c>
      <c r="D322" s="8" t="s">
        <v>36</v>
      </c>
      <c r="E322" s="8" t="s">
        <v>67</v>
      </c>
      <c r="F322" s="8" t="s">
        <v>1010</v>
      </c>
      <c r="G322" s="8" t="s">
        <v>22</v>
      </c>
      <c r="H322" s="9">
        <v>45553</v>
      </c>
      <c r="I322" s="8" t="s">
        <v>16</v>
      </c>
      <c r="J322" s="8" t="s">
        <v>17</v>
      </c>
    </row>
    <row r="323" spans="1:10" x14ac:dyDescent="0.3">
      <c r="A323" s="8" t="s">
        <v>1011</v>
      </c>
      <c r="B323" s="8">
        <v>47954</v>
      </c>
      <c r="C323" s="8" t="s">
        <v>1012</v>
      </c>
      <c r="D323" s="8" t="s">
        <v>57</v>
      </c>
      <c r="E323" s="8" t="s">
        <v>481</v>
      </c>
      <c r="F323" s="8" t="s">
        <v>1013</v>
      </c>
      <c r="G323" s="8" t="s">
        <v>22</v>
      </c>
      <c r="H323" s="9">
        <v>45518</v>
      </c>
      <c r="I323" s="8" t="s">
        <v>33</v>
      </c>
      <c r="J323" s="8" t="s">
        <v>17</v>
      </c>
    </row>
    <row r="324" spans="1:10" x14ac:dyDescent="0.3">
      <c r="A324" s="8" t="s">
        <v>1014</v>
      </c>
      <c r="B324" s="8">
        <v>81124</v>
      </c>
      <c r="C324" s="8" t="s">
        <v>1015</v>
      </c>
      <c r="D324" s="8" t="s">
        <v>12</v>
      </c>
      <c r="E324" s="8" t="s">
        <v>166</v>
      </c>
      <c r="F324" s="8" t="s">
        <v>1016</v>
      </c>
      <c r="G324" s="8" t="s">
        <v>15</v>
      </c>
      <c r="H324" s="9">
        <v>45275</v>
      </c>
      <c r="I324" s="8" t="s">
        <v>33</v>
      </c>
      <c r="J324" s="8" t="s">
        <v>24</v>
      </c>
    </row>
    <row r="325" spans="1:10" x14ac:dyDescent="0.3">
      <c r="A325" s="8" t="s">
        <v>1017</v>
      </c>
      <c r="B325" s="8">
        <v>86864</v>
      </c>
      <c r="C325" s="8" t="s">
        <v>1018</v>
      </c>
      <c r="D325" s="8" t="s">
        <v>47</v>
      </c>
      <c r="E325" s="8" t="s">
        <v>181</v>
      </c>
      <c r="F325" s="8" t="s">
        <v>1019</v>
      </c>
      <c r="G325" s="8" t="s">
        <v>22</v>
      </c>
      <c r="H325" s="9">
        <v>45099</v>
      </c>
      <c r="I325" s="8" t="s">
        <v>23</v>
      </c>
      <c r="J325" s="8"/>
    </row>
    <row r="326" spans="1:10" x14ac:dyDescent="0.3">
      <c r="A326" s="8" t="s">
        <v>1020</v>
      </c>
      <c r="B326" s="8">
        <v>8473</v>
      </c>
      <c r="C326" s="8" t="s">
        <v>1021</v>
      </c>
      <c r="D326" s="8" t="s">
        <v>71</v>
      </c>
      <c r="E326" s="8" t="s">
        <v>93</v>
      </c>
      <c r="F326" s="8" t="s">
        <v>1022</v>
      </c>
      <c r="G326" s="8" t="s">
        <v>15</v>
      </c>
      <c r="H326" s="9">
        <v>45981</v>
      </c>
      <c r="I326" s="8" t="s">
        <v>33</v>
      </c>
      <c r="J326" s="8" t="s">
        <v>17</v>
      </c>
    </row>
    <row r="327" spans="1:10" x14ac:dyDescent="0.3">
      <c r="A327" s="8" t="s">
        <v>525</v>
      </c>
      <c r="B327" s="8">
        <v>90429</v>
      </c>
      <c r="C327" s="8" t="s">
        <v>1023</v>
      </c>
      <c r="D327" s="8" t="s">
        <v>36</v>
      </c>
      <c r="E327" s="8" t="s">
        <v>37</v>
      </c>
      <c r="F327" s="8" t="s">
        <v>1024</v>
      </c>
      <c r="G327" s="8" t="s">
        <v>15</v>
      </c>
      <c r="H327" s="9">
        <v>45653</v>
      </c>
      <c r="I327" s="8" t="s">
        <v>54</v>
      </c>
      <c r="J327" s="8" t="s">
        <v>50</v>
      </c>
    </row>
    <row r="328" spans="1:10" x14ac:dyDescent="0.3">
      <c r="A328" s="8" t="s">
        <v>1025</v>
      </c>
      <c r="B328" s="8">
        <v>10133</v>
      </c>
      <c r="C328" s="8" t="s">
        <v>1026</v>
      </c>
      <c r="D328" s="8" t="s">
        <v>36</v>
      </c>
      <c r="E328" s="8" t="s">
        <v>162</v>
      </c>
      <c r="F328" s="8" t="s">
        <v>1027</v>
      </c>
      <c r="G328" s="8" t="s">
        <v>22</v>
      </c>
      <c r="H328" s="9">
        <v>45133</v>
      </c>
      <c r="I328" s="8" t="s">
        <v>33</v>
      </c>
      <c r="J328" s="8"/>
    </row>
    <row r="329" spans="1:10" x14ac:dyDescent="0.3">
      <c r="A329" s="8" t="s">
        <v>1028</v>
      </c>
      <c r="B329" s="8">
        <v>9110</v>
      </c>
      <c r="C329" s="8" t="s">
        <v>1029</v>
      </c>
      <c r="D329" s="8" t="s">
        <v>27</v>
      </c>
      <c r="E329" s="8" t="s">
        <v>241</v>
      </c>
      <c r="F329" s="8" t="s">
        <v>1030</v>
      </c>
      <c r="G329" s="8" t="s">
        <v>22</v>
      </c>
      <c r="H329" s="9">
        <v>45262</v>
      </c>
      <c r="I329" s="8" t="s">
        <v>16</v>
      </c>
      <c r="J329" s="8"/>
    </row>
    <row r="330" spans="1:10" x14ac:dyDescent="0.3">
      <c r="A330" s="8" t="s">
        <v>1031</v>
      </c>
      <c r="B330" s="8">
        <v>77225</v>
      </c>
      <c r="C330" s="8" t="s">
        <v>1032</v>
      </c>
      <c r="D330" s="8" t="s">
        <v>71</v>
      </c>
      <c r="E330" s="8" t="s">
        <v>93</v>
      </c>
      <c r="F330" s="8" t="s">
        <v>1033</v>
      </c>
      <c r="G330" s="8" t="s">
        <v>22</v>
      </c>
      <c r="H330" s="9">
        <v>45982</v>
      </c>
      <c r="I330" s="8" t="s">
        <v>33</v>
      </c>
      <c r="J330" s="8"/>
    </row>
    <row r="331" spans="1:10" x14ac:dyDescent="0.3">
      <c r="A331" s="8" t="s">
        <v>1034</v>
      </c>
      <c r="B331" s="8">
        <v>70042</v>
      </c>
      <c r="C331" s="8" t="s">
        <v>1035</v>
      </c>
      <c r="D331" s="8" t="s">
        <v>36</v>
      </c>
      <c r="E331" s="8" t="s">
        <v>127</v>
      </c>
      <c r="F331" s="8" t="s">
        <v>1036</v>
      </c>
      <c r="G331" s="8" t="s">
        <v>15</v>
      </c>
      <c r="H331" s="9">
        <v>44920</v>
      </c>
      <c r="I331" s="8" t="s">
        <v>39</v>
      </c>
      <c r="J331" s="8" t="s">
        <v>78</v>
      </c>
    </row>
    <row r="332" spans="1:10" x14ac:dyDescent="0.3">
      <c r="A332" s="8" t="s">
        <v>874</v>
      </c>
      <c r="B332" s="8">
        <v>56888</v>
      </c>
      <c r="C332" s="8" t="s">
        <v>1037</v>
      </c>
      <c r="D332" s="8" t="s">
        <v>42</v>
      </c>
      <c r="E332" s="8" t="s">
        <v>305</v>
      </c>
      <c r="F332" s="8" t="s">
        <v>1038</v>
      </c>
      <c r="G332" s="8" t="s">
        <v>15</v>
      </c>
      <c r="H332" s="9">
        <v>45264</v>
      </c>
      <c r="I332" s="8" t="s">
        <v>23</v>
      </c>
      <c r="J332" s="8" t="s">
        <v>24</v>
      </c>
    </row>
    <row r="333" spans="1:10" x14ac:dyDescent="0.3">
      <c r="A333" s="8" t="s">
        <v>988</v>
      </c>
      <c r="B333" s="8">
        <v>86315</v>
      </c>
      <c r="C333" s="8" t="s">
        <v>1039</v>
      </c>
      <c r="D333" s="8" t="s">
        <v>36</v>
      </c>
      <c r="E333" s="8" t="s">
        <v>162</v>
      </c>
      <c r="F333" s="8" t="s">
        <v>1040</v>
      </c>
      <c r="G333" s="8" t="s">
        <v>22</v>
      </c>
      <c r="H333" s="9">
        <v>45289</v>
      </c>
      <c r="I333" s="8" t="s">
        <v>54</v>
      </c>
      <c r="J333" s="8" t="s">
        <v>50</v>
      </c>
    </row>
    <row r="334" spans="1:10" x14ac:dyDescent="0.3">
      <c r="A334" s="8" t="s">
        <v>1041</v>
      </c>
      <c r="B334" s="8">
        <v>54740</v>
      </c>
      <c r="C334" s="8" t="s">
        <v>1042</v>
      </c>
      <c r="D334" s="8" t="s">
        <v>12</v>
      </c>
      <c r="E334" s="8" t="s">
        <v>166</v>
      </c>
      <c r="F334" s="8" t="s">
        <v>1043</v>
      </c>
      <c r="G334" s="8" t="s">
        <v>22</v>
      </c>
      <c r="H334" s="9">
        <v>45371</v>
      </c>
      <c r="I334" s="8" t="s">
        <v>16</v>
      </c>
      <c r="J334" s="8"/>
    </row>
    <row r="335" spans="1:10" x14ac:dyDescent="0.3">
      <c r="A335" s="8" t="s">
        <v>1044</v>
      </c>
      <c r="B335" s="8">
        <v>55025</v>
      </c>
      <c r="C335" s="8" t="s">
        <v>1045</v>
      </c>
      <c r="D335" s="8" t="s">
        <v>42</v>
      </c>
      <c r="E335" s="8" t="s">
        <v>76</v>
      </c>
      <c r="F335" s="8" t="s">
        <v>1046</v>
      </c>
      <c r="G335" s="8" t="s">
        <v>22</v>
      </c>
      <c r="H335" s="9">
        <v>45377</v>
      </c>
      <c r="I335" s="8" t="s">
        <v>54</v>
      </c>
      <c r="J335" s="8"/>
    </row>
    <row r="336" spans="1:10" x14ac:dyDescent="0.3">
      <c r="A336" s="8" t="s">
        <v>1047</v>
      </c>
      <c r="B336" s="8">
        <v>87678</v>
      </c>
      <c r="C336" s="8" t="s">
        <v>1048</v>
      </c>
      <c r="D336" s="8" t="s">
        <v>47</v>
      </c>
      <c r="E336" s="8" t="s">
        <v>425</v>
      </c>
      <c r="F336" s="8" t="s">
        <v>1049</v>
      </c>
      <c r="G336" s="8" t="s">
        <v>22</v>
      </c>
      <c r="H336" s="9">
        <v>45746</v>
      </c>
      <c r="I336" s="8" t="s">
        <v>16</v>
      </c>
      <c r="J336" s="8" t="s">
        <v>78</v>
      </c>
    </row>
    <row r="337" spans="1:10" x14ac:dyDescent="0.3">
      <c r="A337" s="8" t="s">
        <v>1050</v>
      </c>
      <c r="B337" s="8">
        <v>90524</v>
      </c>
      <c r="C337" s="8" t="s">
        <v>1051</v>
      </c>
      <c r="D337" s="8" t="s">
        <v>173</v>
      </c>
      <c r="E337" s="8" t="s">
        <v>191</v>
      </c>
      <c r="F337" s="8" t="s">
        <v>1052</v>
      </c>
      <c r="G337" s="8" t="s">
        <v>15</v>
      </c>
      <c r="H337" s="9">
        <v>45964</v>
      </c>
      <c r="I337" s="8" t="s">
        <v>16</v>
      </c>
      <c r="J337" s="8"/>
    </row>
    <row r="338" spans="1:10" x14ac:dyDescent="0.3">
      <c r="A338" s="8" t="s">
        <v>997</v>
      </c>
      <c r="B338" s="8">
        <v>11689</v>
      </c>
      <c r="C338" s="8" t="s">
        <v>1053</v>
      </c>
      <c r="D338" s="8" t="s">
        <v>27</v>
      </c>
      <c r="E338" s="8" t="s">
        <v>28</v>
      </c>
      <c r="F338" s="8" t="s">
        <v>1054</v>
      </c>
      <c r="G338" s="8" t="s">
        <v>15</v>
      </c>
      <c r="H338" s="9">
        <v>45255</v>
      </c>
      <c r="I338" s="8" t="s">
        <v>39</v>
      </c>
      <c r="J338" s="8" t="s">
        <v>95</v>
      </c>
    </row>
    <row r="339" spans="1:10" x14ac:dyDescent="0.3">
      <c r="A339" s="8" t="s">
        <v>1055</v>
      </c>
      <c r="B339" s="8">
        <v>97336</v>
      </c>
      <c r="C339" s="8" t="s">
        <v>1056</v>
      </c>
      <c r="D339" s="8" t="s">
        <v>12</v>
      </c>
      <c r="E339" s="8" t="s">
        <v>138</v>
      </c>
      <c r="F339" s="8" t="s">
        <v>1057</v>
      </c>
      <c r="G339" s="8" t="s">
        <v>22</v>
      </c>
      <c r="H339" s="9">
        <v>45105</v>
      </c>
      <c r="I339" s="8" t="s">
        <v>33</v>
      </c>
      <c r="J339" s="8" t="s">
        <v>50</v>
      </c>
    </row>
    <row r="340" spans="1:10" x14ac:dyDescent="0.3">
      <c r="A340" s="8" t="s">
        <v>1058</v>
      </c>
      <c r="B340" s="8">
        <v>8362</v>
      </c>
      <c r="C340" s="8" t="s">
        <v>1059</v>
      </c>
      <c r="D340" s="8" t="s">
        <v>42</v>
      </c>
      <c r="E340" s="8" t="s">
        <v>43</v>
      </c>
      <c r="F340" s="8" t="s">
        <v>1060</v>
      </c>
      <c r="G340" s="8" t="s">
        <v>15</v>
      </c>
      <c r="H340" s="9">
        <v>45910</v>
      </c>
      <c r="I340" s="8" t="s">
        <v>54</v>
      </c>
      <c r="J340" s="8"/>
    </row>
    <row r="341" spans="1:10" x14ac:dyDescent="0.3">
      <c r="A341" s="8" t="s">
        <v>1061</v>
      </c>
      <c r="B341" s="8">
        <v>46847</v>
      </c>
      <c r="C341" s="8" t="s">
        <v>1062</v>
      </c>
      <c r="D341" s="8" t="s">
        <v>12</v>
      </c>
      <c r="E341" s="8" t="s">
        <v>138</v>
      </c>
      <c r="F341" s="8" t="s">
        <v>1063</v>
      </c>
      <c r="G341" s="8" t="s">
        <v>22</v>
      </c>
      <c r="H341" s="9">
        <v>45700</v>
      </c>
      <c r="I341" s="8" t="s">
        <v>33</v>
      </c>
      <c r="J341" s="8"/>
    </row>
    <row r="342" spans="1:10" x14ac:dyDescent="0.3">
      <c r="A342" s="8" t="s">
        <v>1064</v>
      </c>
      <c r="B342" s="8">
        <v>7244</v>
      </c>
      <c r="C342" s="8" t="s">
        <v>1065</v>
      </c>
      <c r="D342" s="8" t="s">
        <v>47</v>
      </c>
      <c r="E342" s="8" t="s">
        <v>112</v>
      </c>
      <c r="F342" s="8" t="s">
        <v>1066</v>
      </c>
      <c r="G342" s="8" t="s">
        <v>15</v>
      </c>
      <c r="H342" s="9">
        <v>44966</v>
      </c>
      <c r="I342" s="8" t="s">
        <v>16</v>
      </c>
      <c r="J342" s="8"/>
    </row>
    <row r="343" spans="1:10" x14ac:dyDescent="0.3">
      <c r="A343" s="8" t="s">
        <v>570</v>
      </c>
      <c r="B343" s="8">
        <v>14080</v>
      </c>
      <c r="C343" s="8" t="s">
        <v>1067</v>
      </c>
      <c r="D343" s="8" t="s">
        <v>84</v>
      </c>
      <c r="E343" s="8" t="s">
        <v>248</v>
      </c>
      <c r="F343" s="8" t="s">
        <v>1068</v>
      </c>
      <c r="G343" s="8" t="s">
        <v>22</v>
      </c>
      <c r="H343" s="9">
        <v>45748</v>
      </c>
      <c r="I343" s="8" t="s">
        <v>33</v>
      </c>
      <c r="J343" s="8" t="s">
        <v>17</v>
      </c>
    </row>
    <row r="344" spans="1:10" x14ac:dyDescent="0.3">
      <c r="A344" s="8" t="s">
        <v>1069</v>
      </c>
      <c r="B344" s="8">
        <v>29893</v>
      </c>
      <c r="C344" s="8" t="s">
        <v>1070</v>
      </c>
      <c r="D344" s="8" t="s">
        <v>12</v>
      </c>
      <c r="E344" s="8" t="s">
        <v>13</v>
      </c>
      <c r="F344" s="8" t="s">
        <v>1071</v>
      </c>
      <c r="G344" s="8" t="s">
        <v>22</v>
      </c>
      <c r="H344" s="9">
        <v>45191</v>
      </c>
      <c r="I344" s="8" t="s">
        <v>23</v>
      </c>
      <c r="J344" s="8" t="s">
        <v>78</v>
      </c>
    </row>
    <row r="345" spans="1:10" x14ac:dyDescent="0.3">
      <c r="A345" s="8" t="s">
        <v>1072</v>
      </c>
      <c r="B345" s="8">
        <v>48677</v>
      </c>
      <c r="C345" s="8" t="s">
        <v>1073</v>
      </c>
      <c r="D345" s="8" t="s">
        <v>173</v>
      </c>
      <c r="E345" s="8" t="s">
        <v>328</v>
      </c>
      <c r="F345" s="8" t="s">
        <v>1074</v>
      </c>
      <c r="G345" s="8" t="s">
        <v>22</v>
      </c>
      <c r="H345" s="9">
        <v>45129</v>
      </c>
      <c r="I345" s="8" t="s">
        <v>39</v>
      </c>
      <c r="J345" s="8"/>
    </row>
    <row r="346" spans="1:10" x14ac:dyDescent="0.3">
      <c r="A346" s="8" t="s">
        <v>1075</v>
      </c>
      <c r="B346" s="8">
        <v>30144</v>
      </c>
      <c r="C346" s="8" t="s">
        <v>1076</v>
      </c>
      <c r="D346" s="8" t="s">
        <v>47</v>
      </c>
      <c r="E346" s="8" t="s">
        <v>575</v>
      </c>
      <c r="F346" s="8" t="s">
        <v>1077</v>
      </c>
      <c r="G346" s="8" t="s">
        <v>15</v>
      </c>
      <c r="H346" s="9">
        <v>45473</v>
      </c>
      <c r="I346" s="8" t="s">
        <v>16</v>
      </c>
      <c r="J346" s="8"/>
    </row>
    <row r="347" spans="1:10" x14ac:dyDescent="0.3">
      <c r="A347" s="8" t="s">
        <v>1078</v>
      </c>
      <c r="B347" s="8">
        <v>81991</v>
      </c>
      <c r="C347" s="8" t="s">
        <v>1079</v>
      </c>
      <c r="D347" s="8" t="s">
        <v>27</v>
      </c>
      <c r="E347" s="8" t="s">
        <v>158</v>
      </c>
      <c r="F347" s="8" t="s">
        <v>1080</v>
      </c>
      <c r="G347" s="8" t="s">
        <v>22</v>
      </c>
      <c r="H347" s="9">
        <v>45063</v>
      </c>
      <c r="I347" s="8" t="s">
        <v>54</v>
      </c>
      <c r="J347" s="8"/>
    </row>
    <row r="348" spans="1:10" x14ac:dyDescent="0.3">
      <c r="A348" s="8" t="s">
        <v>1081</v>
      </c>
      <c r="B348" s="8">
        <v>91395</v>
      </c>
      <c r="C348" s="8" t="s">
        <v>1082</v>
      </c>
      <c r="D348" s="8" t="s">
        <v>62</v>
      </c>
      <c r="E348" s="8" t="s">
        <v>89</v>
      </c>
      <c r="F348" s="8" t="s">
        <v>1083</v>
      </c>
      <c r="G348" s="8" t="s">
        <v>22</v>
      </c>
      <c r="H348" s="9">
        <v>44995</v>
      </c>
      <c r="I348" s="8" t="s">
        <v>33</v>
      </c>
      <c r="J348" s="8" t="s">
        <v>50</v>
      </c>
    </row>
    <row r="349" spans="1:10" x14ac:dyDescent="0.3">
      <c r="A349" s="8" t="s">
        <v>1084</v>
      </c>
      <c r="B349" s="8">
        <v>92605</v>
      </c>
      <c r="C349" s="8" t="s">
        <v>1085</v>
      </c>
      <c r="D349" s="8" t="s">
        <v>47</v>
      </c>
      <c r="E349" s="8" t="s">
        <v>575</v>
      </c>
      <c r="F349" s="8" t="s">
        <v>1086</v>
      </c>
      <c r="G349" s="8" t="s">
        <v>22</v>
      </c>
      <c r="H349" s="9">
        <v>45710</v>
      </c>
      <c r="I349" s="8" t="s">
        <v>33</v>
      </c>
      <c r="J349" s="8"/>
    </row>
    <row r="350" spans="1:10" x14ac:dyDescent="0.3">
      <c r="A350" s="8" t="s">
        <v>1087</v>
      </c>
      <c r="B350" s="8">
        <v>1301</v>
      </c>
      <c r="C350" s="8" t="s">
        <v>1088</v>
      </c>
      <c r="D350" s="8" t="s">
        <v>47</v>
      </c>
      <c r="E350" s="8" t="s">
        <v>425</v>
      </c>
      <c r="F350" s="8" t="s">
        <v>1089</v>
      </c>
      <c r="G350" s="8" t="s">
        <v>22</v>
      </c>
      <c r="H350" s="9">
        <v>45945</v>
      </c>
      <c r="I350" s="8" t="s">
        <v>33</v>
      </c>
      <c r="J350" s="8"/>
    </row>
    <row r="351" spans="1:10" x14ac:dyDescent="0.3">
      <c r="A351" s="8" t="s">
        <v>851</v>
      </c>
      <c r="B351" s="8">
        <v>86660</v>
      </c>
      <c r="C351" s="8" t="s">
        <v>1090</v>
      </c>
      <c r="D351" s="8" t="s">
        <v>27</v>
      </c>
      <c r="E351" s="8" t="s">
        <v>158</v>
      </c>
      <c r="F351" s="8" t="s">
        <v>1091</v>
      </c>
      <c r="G351" s="8" t="s">
        <v>22</v>
      </c>
      <c r="H351" s="9">
        <v>45938</v>
      </c>
      <c r="I351" s="8" t="s">
        <v>39</v>
      </c>
      <c r="J351" s="8"/>
    </row>
    <row r="352" spans="1:10" x14ac:dyDescent="0.3">
      <c r="A352" s="8" t="s">
        <v>1092</v>
      </c>
      <c r="B352" s="8">
        <v>83492</v>
      </c>
      <c r="C352" s="8" t="s">
        <v>1093</v>
      </c>
      <c r="D352" s="8" t="s">
        <v>42</v>
      </c>
      <c r="E352" s="8" t="s">
        <v>76</v>
      </c>
      <c r="F352" s="8" t="s">
        <v>1094</v>
      </c>
      <c r="G352" s="8" t="s">
        <v>15</v>
      </c>
      <c r="H352" s="9">
        <v>45401</v>
      </c>
      <c r="I352" s="8" t="s">
        <v>54</v>
      </c>
      <c r="J352" s="8"/>
    </row>
    <row r="353" spans="1:10" x14ac:dyDescent="0.3">
      <c r="A353" s="8" t="s">
        <v>1095</v>
      </c>
      <c r="B353" s="8">
        <v>28698</v>
      </c>
      <c r="C353" s="8" t="s">
        <v>1096</v>
      </c>
      <c r="D353" s="8" t="s">
        <v>62</v>
      </c>
      <c r="E353" s="8" t="s">
        <v>154</v>
      </c>
      <c r="F353" s="8" t="s">
        <v>1097</v>
      </c>
      <c r="G353" s="8" t="s">
        <v>22</v>
      </c>
      <c r="H353" s="9">
        <v>45877</v>
      </c>
      <c r="I353" s="8" t="s">
        <v>16</v>
      </c>
      <c r="J353" s="8" t="s">
        <v>24</v>
      </c>
    </row>
    <row r="354" spans="1:10" x14ac:dyDescent="0.3">
      <c r="A354" s="8" t="s">
        <v>1098</v>
      </c>
      <c r="B354" s="8">
        <v>21132</v>
      </c>
      <c r="C354" s="8" t="s">
        <v>1099</v>
      </c>
      <c r="D354" s="8" t="s">
        <v>27</v>
      </c>
      <c r="E354" s="8" t="s">
        <v>241</v>
      </c>
      <c r="F354" s="8" t="s">
        <v>1100</v>
      </c>
      <c r="G354" s="8" t="s">
        <v>22</v>
      </c>
      <c r="H354" s="9">
        <v>45893</v>
      </c>
      <c r="I354" s="8" t="s">
        <v>54</v>
      </c>
      <c r="J354" s="8" t="s">
        <v>17</v>
      </c>
    </row>
    <row r="355" spans="1:10" x14ac:dyDescent="0.3">
      <c r="A355" s="8" t="s">
        <v>1101</v>
      </c>
      <c r="B355" s="8">
        <v>74896</v>
      </c>
      <c r="C355" s="8" t="s">
        <v>1102</v>
      </c>
      <c r="D355" s="8" t="s">
        <v>47</v>
      </c>
      <c r="E355" s="8" t="s">
        <v>181</v>
      </c>
      <c r="F355" s="8" t="s">
        <v>1103</v>
      </c>
      <c r="G355" s="8" t="s">
        <v>15</v>
      </c>
      <c r="H355" s="9">
        <v>45113</v>
      </c>
      <c r="I355" s="8" t="s">
        <v>23</v>
      </c>
      <c r="J355" s="8" t="s">
        <v>78</v>
      </c>
    </row>
    <row r="356" spans="1:10" x14ac:dyDescent="0.3">
      <c r="A356" s="8" t="s">
        <v>10</v>
      </c>
      <c r="B356" s="8">
        <v>21133</v>
      </c>
      <c r="C356" s="8" t="s">
        <v>1104</v>
      </c>
      <c r="D356" s="8" t="s">
        <v>12</v>
      </c>
      <c r="E356" s="8" t="s">
        <v>13</v>
      </c>
      <c r="F356" s="8" t="s">
        <v>1105</v>
      </c>
      <c r="G356" s="8" t="s">
        <v>15</v>
      </c>
      <c r="H356" s="9">
        <v>45114</v>
      </c>
      <c r="I356" s="8" t="s">
        <v>16</v>
      </c>
      <c r="J356" s="8"/>
    </row>
    <row r="357" spans="1:10" x14ac:dyDescent="0.3">
      <c r="A357" s="8" t="s">
        <v>1106</v>
      </c>
      <c r="B357" s="8">
        <v>58580</v>
      </c>
      <c r="C357" s="8" t="s">
        <v>1107</v>
      </c>
      <c r="D357" s="8" t="s">
        <v>42</v>
      </c>
      <c r="E357" s="8" t="s">
        <v>305</v>
      </c>
      <c r="F357" s="8" t="s">
        <v>1108</v>
      </c>
      <c r="G357" s="8" t="s">
        <v>22</v>
      </c>
      <c r="H357" s="9">
        <v>45785</v>
      </c>
      <c r="I357" s="8" t="s">
        <v>54</v>
      </c>
      <c r="J357" s="8"/>
    </row>
    <row r="358" spans="1:10" x14ac:dyDescent="0.3">
      <c r="A358" s="8" t="s">
        <v>65</v>
      </c>
      <c r="B358" s="8">
        <v>54788</v>
      </c>
      <c r="C358" s="8" t="s">
        <v>1109</v>
      </c>
      <c r="D358" s="8" t="s">
        <v>36</v>
      </c>
      <c r="E358" s="8" t="s">
        <v>67</v>
      </c>
      <c r="F358" s="8" t="s">
        <v>1110</v>
      </c>
      <c r="G358" s="8" t="s">
        <v>22</v>
      </c>
      <c r="H358" s="9">
        <v>45044</v>
      </c>
      <c r="I358" s="8" t="s">
        <v>39</v>
      </c>
      <c r="J358" s="8"/>
    </row>
    <row r="359" spans="1:10" x14ac:dyDescent="0.3">
      <c r="A359" s="8" t="s">
        <v>1111</v>
      </c>
      <c r="B359" s="8">
        <v>15419</v>
      </c>
      <c r="C359" s="8" t="s">
        <v>1112</v>
      </c>
      <c r="D359" s="8" t="s">
        <v>42</v>
      </c>
      <c r="E359" s="8" t="s">
        <v>305</v>
      </c>
      <c r="F359" s="8" t="s">
        <v>1113</v>
      </c>
      <c r="G359" s="8" t="s">
        <v>22</v>
      </c>
      <c r="H359" s="9">
        <v>45921</v>
      </c>
      <c r="I359" s="8" t="s">
        <v>23</v>
      </c>
      <c r="J359" s="8" t="s">
        <v>50</v>
      </c>
    </row>
    <row r="360" spans="1:10" x14ac:dyDescent="0.3">
      <c r="A360" s="8" t="s">
        <v>1114</v>
      </c>
      <c r="B360" s="8">
        <v>89396</v>
      </c>
      <c r="C360" s="8" t="s">
        <v>1115</v>
      </c>
      <c r="D360" s="8" t="s">
        <v>12</v>
      </c>
      <c r="E360" s="8" t="s">
        <v>20</v>
      </c>
      <c r="F360" s="8" t="s">
        <v>1116</v>
      </c>
      <c r="G360" s="8" t="s">
        <v>15</v>
      </c>
      <c r="H360" s="9">
        <v>44979</v>
      </c>
      <c r="I360" s="8" t="s">
        <v>33</v>
      </c>
      <c r="J360" s="8"/>
    </row>
    <row r="361" spans="1:10" x14ac:dyDescent="0.3">
      <c r="A361" s="8" t="s">
        <v>1117</v>
      </c>
      <c r="B361" s="8">
        <v>6453</v>
      </c>
      <c r="C361" s="8" t="s">
        <v>1118</v>
      </c>
      <c r="D361" s="8" t="s">
        <v>62</v>
      </c>
      <c r="E361" s="8" t="s">
        <v>316</v>
      </c>
      <c r="F361" s="8" t="s">
        <v>1119</v>
      </c>
      <c r="G361" s="8" t="s">
        <v>22</v>
      </c>
      <c r="H361" s="9">
        <v>44955</v>
      </c>
      <c r="I361" s="8" t="s">
        <v>54</v>
      </c>
      <c r="J361" s="8" t="s">
        <v>24</v>
      </c>
    </row>
    <row r="362" spans="1:10" x14ac:dyDescent="0.3">
      <c r="A362" s="8" t="s">
        <v>561</v>
      </c>
      <c r="B362" s="8">
        <v>7681</v>
      </c>
      <c r="C362" s="8" t="s">
        <v>1120</v>
      </c>
      <c r="D362" s="8" t="s">
        <v>173</v>
      </c>
      <c r="E362" s="8" t="s">
        <v>191</v>
      </c>
      <c r="F362" s="8" t="s">
        <v>1121</v>
      </c>
      <c r="G362" s="8" t="s">
        <v>22</v>
      </c>
      <c r="H362" s="9">
        <v>45061</v>
      </c>
      <c r="I362" s="8" t="s">
        <v>23</v>
      </c>
      <c r="J362" s="8" t="s">
        <v>78</v>
      </c>
    </row>
    <row r="363" spans="1:10" x14ac:dyDescent="0.3">
      <c r="A363" s="8" t="s">
        <v>333</v>
      </c>
      <c r="B363" s="8">
        <v>18488</v>
      </c>
      <c r="C363" s="8" t="s">
        <v>1122</v>
      </c>
      <c r="D363" s="8" t="s">
        <v>47</v>
      </c>
      <c r="E363" s="8" t="s">
        <v>112</v>
      </c>
      <c r="F363" s="8" t="s">
        <v>1123</v>
      </c>
      <c r="G363" s="8" t="s">
        <v>15</v>
      </c>
      <c r="H363" s="9">
        <v>45687</v>
      </c>
      <c r="I363" s="8" t="s">
        <v>23</v>
      </c>
      <c r="J363" s="8" t="s">
        <v>50</v>
      </c>
    </row>
    <row r="364" spans="1:10" x14ac:dyDescent="0.3">
      <c r="A364" s="8" t="s">
        <v>1124</v>
      </c>
      <c r="B364" s="8">
        <v>1514</v>
      </c>
      <c r="C364" s="8" t="s">
        <v>1125</v>
      </c>
      <c r="D364" s="8" t="s">
        <v>62</v>
      </c>
      <c r="E364" s="8" t="s">
        <v>63</v>
      </c>
      <c r="F364" s="8" t="s">
        <v>1126</v>
      </c>
      <c r="G364" s="8" t="s">
        <v>15</v>
      </c>
      <c r="H364" s="9">
        <v>45954</v>
      </c>
      <c r="I364" s="8" t="s">
        <v>16</v>
      </c>
      <c r="J364" s="8" t="s">
        <v>95</v>
      </c>
    </row>
    <row r="365" spans="1:10" x14ac:dyDescent="0.3">
      <c r="A365" s="8" t="s">
        <v>1127</v>
      </c>
      <c r="B365" s="8">
        <v>17433</v>
      </c>
      <c r="C365" s="8" t="s">
        <v>1128</v>
      </c>
      <c r="D365" s="8" t="s">
        <v>62</v>
      </c>
      <c r="E365" s="8" t="s">
        <v>63</v>
      </c>
      <c r="F365" s="8" t="s">
        <v>1129</v>
      </c>
      <c r="G365" s="8" t="s">
        <v>22</v>
      </c>
      <c r="H365" s="9">
        <v>45052</v>
      </c>
      <c r="I365" s="8" t="s">
        <v>54</v>
      </c>
      <c r="J365" s="8"/>
    </row>
    <row r="366" spans="1:10" x14ac:dyDescent="0.3">
      <c r="A366" s="8" t="s">
        <v>246</v>
      </c>
      <c r="B366" s="8">
        <v>66071</v>
      </c>
      <c r="C366" s="8" t="s">
        <v>1130</v>
      </c>
      <c r="D366" s="8" t="s">
        <v>84</v>
      </c>
      <c r="E366" s="8" t="s">
        <v>248</v>
      </c>
      <c r="F366" s="8" t="s">
        <v>1131</v>
      </c>
      <c r="G366" s="8" t="s">
        <v>15</v>
      </c>
      <c r="H366" s="9">
        <v>44960</v>
      </c>
      <c r="I366" s="8" t="s">
        <v>23</v>
      </c>
      <c r="J366" s="8" t="s">
        <v>17</v>
      </c>
    </row>
    <row r="367" spans="1:10" x14ac:dyDescent="0.3">
      <c r="A367" s="8" t="s">
        <v>1132</v>
      </c>
      <c r="B367" s="8">
        <v>97761</v>
      </c>
      <c r="C367" s="8" t="s">
        <v>1133</v>
      </c>
      <c r="D367" s="8" t="s">
        <v>84</v>
      </c>
      <c r="E367" s="8" t="s">
        <v>201</v>
      </c>
      <c r="F367" s="8" t="s">
        <v>1134</v>
      </c>
      <c r="G367" s="8" t="s">
        <v>15</v>
      </c>
      <c r="H367" s="9">
        <v>45891</v>
      </c>
      <c r="I367" s="8" t="s">
        <v>54</v>
      </c>
      <c r="J367" s="8" t="s">
        <v>24</v>
      </c>
    </row>
    <row r="368" spans="1:10" x14ac:dyDescent="0.3">
      <c r="A368" s="8" t="s">
        <v>561</v>
      </c>
      <c r="B368" s="8">
        <v>10706</v>
      </c>
      <c r="C368" s="8" t="s">
        <v>1135</v>
      </c>
      <c r="D368" s="8" t="s">
        <v>173</v>
      </c>
      <c r="E368" s="8" t="s">
        <v>191</v>
      </c>
      <c r="F368" s="8" t="s">
        <v>1136</v>
      </c>
      <c r="G368" s="8" t="s">
        <v>15</v>
      </c>
      <c r="H368" s="9">
        <v>45572</v>
      </c>
      <c r="I368" s="8" t="s">
        <v>39</v>
      </c>
      <c r="J368" s="8"/>
    </row>
    <row r="369" spans="1:10" x14ac:dyDescent="0.3">
      <c r="A369" s="8" t="s">
        <v>1137</v>
      </c>
      <c r="B369" s="8">
        <v>53509</v>
      </c>
      <c r="C369" s="8" t="s">
        <v>1138</v>
      </c>
      <c r="D369" s="8" t="s">
        <v>47</v>
      </c>
      <c r="E369" s="8" t="s">
        <v>181</v>
      </c>
      <c r="F369" s="8" t="s">
        <v>1139</v>
      </c>
      <c r="G369" s="8" t="s">
        <v>22</v>
      </c>
      <c r="H369" s="9">
        <v>45636</v>
      </c>
      <c r="I369" s="8" t="s">
        <v>33</v>
      </c>
      <c r="J369" s="8" t="s">
        <v>24</v>
      </c>
    </row>
    <row r="370" spans="1:10" x14ac:dyDescent="0.3">
      <c r="A370" s="8" t="s">
        <v>1140</v>
      </c>
      <c r="B370" s="8">
        <v>3234</v>
      </c>
      <c r="C370" s="8" t="s">
        <v>1141</v>
      </c>
      <c r="D370" s="8" t="s">
        <v>62</v>
      </c>
      <c r="E370" s="8" t="s">
        <v>316</v>
      </c>
      <c r="F370" s="8" t="s">
        <v>1142</v>
      </c>
      <c r="G370" s="8" t="s">
        <v>15</v>
      </c>
      <c r="H370" s="9">
        <v>45087</v>
      </c>
      <c r="I370" s="8" t="s">
        <v>16</v>
      </c>
      <c r="J370" s="8" t="s">
        <v>95</v>
      </c>
    </row>
    <row r="371" spans="1:10" x14ac:dyDescent="0.3">
      <c r="A371" s="8" t="s">
        <v>1143</v>
      </c>
      <c r="B371" s="8">
        <v>60806</v>
      </c>
      <c r="C371" s="8" t="s">
        <v>1144</v>
      </c>
      <c r="D371" s="8" t="s">
        <v>47</v>
      </c>
      <c r="E371" s="8" t="s">
        <v>181</v>
      </c>
      <c r="F371" s="8" t="s">
        <v>1145</v>
      </c>
      <c r="G371" s="8" t="s">
        <v>22</v>
      </c>
      <c r="H371" s="9">
        <v>45850</v>
      </c>
      <c r="I371" s="8" t="s">
        <v>33</v>
      </c>
      <c r="J371" s="8" t="s">
        <v>95</v>
      </c>
    </row>
    <row r="372" spans="1:10" x14ac:dyDescent="0.3">
      <c r="A372" s="8" t="s">
        <v>1146</v>
      </c>
      <c r="B372" s="8">
        <v>14376</v>
      </c>
      <c r="C372" s="8" t="s">
        <v>1147</v>
      </c>
      <c r="D372" s="8" t="s">
        <v>57</v>
      </c>
      <c r="E372" s="8" t="s">
        <v>481</v>
      </c>
      <c r="F372" s="8" t="s">
        <v>1148</v>
      </c>
      <c r="G372" s="8" t="s">
        <v>22</v>
      </c>
      <c r="H372" s="9">
        <v>45725</v>
      </c>
      <c r="I372" s="8" t="s">
        <v>39</v>
      </c>
      <c r="J372" s="8" t="s">
        <v>78</v>
      </c>
    </row>
    <row r="373" spans="1:10" x14ac:dyDescent="0.3">
      <c r="A373" s="8" t="s">
        <v>1149</v>
      </c>
      <c r="B373" s="8">
        <v>69177</v>
      </c>
      <c r="C373" s="8" t="s">
        <v>1150</v>
      </c>
      <c r="D373" s="8" t="s">
        <v>27</v>
      </c>
      <c r="E373" s="8" t="s">
        <v>98</v>
      </c>
      <c r="F373" s="8" t="s">
        <v>1151</v>
      </c>
      <c r="G373" s="8" t="s">
        <v>22</v>
      </c>
      <c r="H373" s="9">
        <v>45688</v>
      </c>
      <c r="I373" s="8" t="s">
        <v>33</v>
      </c>
      <c r="J373" s="8" t="s">
        <v>24</v>
      </c>
    </row>
    <row r="374" spans="1:10" x14ac:dyDescent="0.3">
      <c r="A374" s="8" t="s">
        <v>1152</v>
      </c>
      <c r="B374" s="8">
        <v>98255</v>
      </c>
      <c r="C374" s="8" t="s">
        <v>1153</v>
      </c>
      <c r="D374" s="8" t="s">
        <v>57</v>
      </c>
      <c r="E374" s="8" t="s">
        <v>481</v>
      </c>
      <c r="F374" s="8" t="s">
        <v>1154</v>
      </c>
      <c r="G374" s="8" t="s">
        <v>15</v>
      </c>
      <c r="H374" s="9">
        <v>45358</v>
      </c>
      <c r="I374" s="8" t="s">
        <v>39</v>
      </c>
      <c r="J374" s="8"/>
    </row>
    <row r="375" spans="1:10" x14ac:dyDescent="0.3">
      <c r="A375" s="8" t="s">
        <v>1155</v>
      </c>
      <c r="B375" s="8">
        <v>22538</v>
      </c>
      <c r="C375" s="8" t="s">
        <v>1156</v>
      </c>
      <c r="D375" s="8" t="s">
        <v>57</v>
      </c>
      <c r="E375" s="8" t="s">
        <v>252</v>
      </c>
      <c r="F375" s="8" t="s">
        <v>1157</v>
      </c>
      <c r="G375" s="8" t="s">
        <v>22</v>
      </c>
      <c r="H375" s="9">
        <v>45035</v>
      </c>
      <c r="I375" s="8" t="s">
        <v>54</v>
      </c>
      <c r="J375" s="8"/>
    </row>
    <row r="376" spans="1:10" x14ac:dyDescent="0.3">
      <c r="A376" s="8" t="s">
        <v>994</v>
      </c>
      <c r="B376" s="8">
        <v>70048</v>
      </c>
      <c r="C376" s="8" t="s">
        <v>1158</v>
      </c>
      <c r="D376" s="8" t="s">
        <v>42</v>
      </c>
      <c r="E376" s="8" t="s">
        <v>76</v>
      </c>
      <c r="F376" s="8" t="s">
        <v>1159</v>
      </c>
      <c r="G376" s="8" t="s">
        <v>15</v>
      </c>
      <c r="H376" s="9">
        <v>45733</v>
      </c>
      <c r="I376" s="8" t="s">
        <v>39</v>
      </c>
      <c r="J376" s="8" t="s">
        <v>95</v>
      </c>
    </row>
    <row r="377" spans="1:10" x14ac:dyDescent="0.3">
      <c r="A377" s="8" t="s">
        <v>1160</v>
      </c>
      <c r="B377" s="8">
        <v>46520</v>
      </c>
      <c r="C377" s="8" t="s">
        <v>1161</v>
      </c>
      <c r="D377" s="8" t="s">
        <v>12</v>
      </c>
      <c r="E377" s="8" t="s">
        <v>123</v>
      </c>
      <c r="F377" s="8" t="s">
        <v>1162</v>
      </c>
      <c r="G377" s="8" t="s">
        <v>22</v>
      </c>
      <c r="H377" s="9">
        <v>45769</v>
      </c>
      <c r="I377" s="8" t="s">
        <v>23</v>
      </c>
      <c r="J377" s="8"/>
    </row>
    <row r="378" spans="1:10" x14ac:dyDescent="0.3">
      <c r="A378" s="8" t="s">
        <v>597</v>
      </c>
      <c r="B378" s="8">
        <v>34051</v>
      </c>
      <c r="C378" s="8" t="s">
        <v>1163</v>
      </c>
      <c r="D378" s="8" t="s">
        <v>42</v>
      </c>
      <c r="E378" s="8" t="s">
        <v>76</v>
      </c>
      <c r="F378" s="8" t="s">
        <v>1164</v>
      </c>
      <c r="G378" s="8" t="s">
        <v>15</v>
      </c>
      <c r="H378" s="9">
        <v>45113</v>
      </c>
      <c r="I378" s="8" t="s">
        <v>33</v>
      </c>
      <c r="J378" s="8" t="s">
        <v>17</v>
      </c>
    </row>
    <row r="379" spans="1:10" x14ac:dyDescent="0.3">
      <c r="A379" s="8" t="s">
        <v>1165</v>
      </c>
      <c r="B379" s="8">
        <v>86419</v>
      </c>
      <c r="C379" s="8" t="s">
        <v>1166</v>
      </c>
      <c r="D379" s="8" t="s">
        <v>173</v>
      </c>
      <c r="E379" s="8" t="s">
        <v>328</v>
      </c>
      <c r="F379" s="8" t="s">
        <v>1167</v>
      </c>
      <c r="G379" s="8" t="s">
        <v>22</v>
      </c>
      <c r="H379" s="9">
        <v>45673</v>
      </c>
      <c r="I379" s="8" t="s">
        <v>16</v>
      </c>
      <c r="J379" s="8"/>
    </row>
    <row r="380" spans="1:10" x14ac:dyDescent="0.3">
      <c r="A380" s="8" t="s">
        <v>1168</v>
      </c>
      <c r="B380" s="8">
        <v>82807</v>
      </c>
      <c r="C380" s="8" t="s">
        <v>1169</v>
      </c>
      <c r="D380" s="8" t="s">
        <v>173</v>
      </c>
      <c r="E380" s="8" t="s">
        <v>191</v>
      </c>
      <c r="F380" s="8" t="s">
        <v>1170</v>
      </c>
      <c r="G380" s="8" t="s">
        <v>22</v>
      </c>
      <c r="H380" s="9">
        <v>44950</v>
      </c>
      <c r="I380" s="8" t="s">
        <v>33</v>
      </c>
      <c r="J380" s="8" t="s">
        <v>95</v>
      </c>
    </row>
    <row r="381" spans="1:10" x14ac:dyDescent="0.3">
      <c r="A381" s="8" t="s">
        <v>1171</v>
      </c>
      <c r="B381" s="8">
        <v>76453</v>
      </c>
      <c r="C381" s="8" t="s">
        <v>1172</v>
      </c>
      <c r="D381" s="8" t="s">
        <v>47</v>
      </c>
      <c r="E381" s="8" t="s">
        <v>575</v>
      </c>
      <c r="F381" s="8" t="s">
        <v>1173</v>
      </c>
      <c r="G381" s="8" t="s">
        <v>15</v>
      </c>
      <c r="H381" s="9">
        <v>45526</v>
      </c>
      <c r="I381" s="8" t="s">
        <v>23</v>
      </c>
      <c r="J381" s="8" t="s">
        <v>24</v>
      </c>
    </row>
    <row r="382" spans="1:10" x14ac:dyDescent="0.3">
      <c r="A382" s="8" t="s">
        <v>1174</v>
      </c>
      <c r="B382" s="8">
        <v>84779</v>
      </c>
      <c r="C382" s="8" t="s">
        <v>1175</v>
      </c>
      <c r="D382" s="8" t="s">
        <v>36</v>
      </c>
      <c r="E382" s="8" t="s">
        <v>67</v>
      </c>
      <c r="F382" s="8" t="s">
        <v>1176</v>
      </c>
      <c r="G382" s="8" t="s">
        <v>15</v>
      </c>
      <c r="H382" s="9">
        <v>45972</v>
      </c>
      <c r="I382" s="8" t="s">
        <v>39</v>
      </c>
      <c r="J382" s="8" t="s">
        <v>78</v>
      </c>
    </row>
    <row r="383" spans="1:10" x14ac:dyDescent="0.3">
      <c r="A383" s="8" t="s">
        <v>1177</v>
      </c>
      <c r="B383" s="8">
        <v>41937</v>
      </c>
      <c r="C383" s="8" t="s">
        <v>1178</v>
      </c>
      <c r="D383" s="8" t="s">
        <v>47</v>
      </c>
      <c r="E383" s="8" t="s">
        <v>425</v>
      </c>
      <c r="F383" s="8" t="s">
        <v>1179</v>
      </c>
      <c r="G383" s="8" t="s">
        <v>15</v>
      </c>
      <c r="H383" s="9">
        <v>45938</v>
      </c>
      <c r="I383" s="8" t="s">
        <v>16</v>
      </c>
      <c r="J383" s="8"/>
    </row>
    <row r="384" spans="1:10" x14ac:dyDescent="0.3">
      <c r="A384" s="8" t="s">
        <v>1180</v>
      </c>
      <c r="B384" s="8">
        <v>58462</v>
      </c>
      <c r="C384" s="8" t="s">
        <v>1181</v>
      </c>
      <c r="D384" s="8" t="s">
        <v>36</v>
      </c>
      <c r="E384" s="8" t="s">
        <v>67</v>
      </c>
      <c r="F384" s="8" t="s">
        <v>1182</v>
      </c>
      <c r="G384" s="8" t="s">
        <v>15</v>
      </c>
      <c r="H384" s="9">
        <v>45230</v>
      </c>
      <c r="I384" s="8" t="s">
        <v>23</v>
      </c>
      <c r="J384" s="8" t="s">
        <v>78</v>
      </c>
    </row>
    <row r="385" spans="1:10" x14ac:dyDescent="0.3">
      <c r="A385" s="8" t="s">
        <v>1183</v>
      </c>
      <c r="B385" s="8">
        <v>7863</v>
      </c>
      <c r="C385" s="8" t="s">
        <v>1184</v>
      </c>
      <c r="D385" s="8" t="s">
        <v>42</v>
      </c>
      <c r="E385" s="8" t="s">
        <v>76</v>
      </c>
      <c r="F385" s="8" t="s">
        <v>1185</v>
      </c>
      <c r="G385" s="8" t="s">
        <v>22</v>
      </c>
      <c r="H385" s="9">
        <v>45692</v>
      </c>
      <c r="I385" s="8" t="s">
        <v>54</v>
      </c>
      <c r="J385" s="8" t="s">
        <v>50</v>
      </c>
    </row>
    <row r="386" spans="1:10" x14ac:dyDescent="0.3">
      <c r="A386" s="8" t="s">
        <v>1186</v>
      </c>
      <c r="B386" s="8">
        <v>61022</v>
      </c>
      <c r="C386" s="8" t="s">
        <v>1187</v>
      </c>
      <c r="D386" s="8" t="s">
        <v>12</v>
      </c>
      <c r="E386" s="8" t="s">
        <v>13</v>
      </c>
      <c r="F386" s="8" t="s">
        <v>1188</v>
      </c>
      <c r="G386" s="8" t="s">
        <v>22</v>
      </c>
      <c r="H386" s="9">
        <v>45086</v>
      </c>
      <c r="I386" s="8" t="s">
        <v>39</v>
      </c>
      <c r="J386" s="8"/>
    </row>
    <row r="387" spans="1:10" x14ac:dyDescent="0.3">
      <c r="A387" s="8" t="s">
        <v>1189</v>
      </c>
      <c r="B387" s="8">
        <v>38128</v>
      </c>
      <c r="C387" s="8" t="s">
        <v>1190</v>
      </c>
      <c r="D387" s="8" t="s">
        <v>12</v>
      </c>
      <c r="E387" s="8" t="s">
        <v>123</v>
      </c>
      <c r="F387" s="8" t="s">
        <v>1191</v>
      </c>
      <c r="G387" s="8" t="s">
        <v>15</v>
      </c>
      <c r="H387" s="9">
        <v>44991</v>
      </c>
      <c r="I387" s="8" t="s">
        <v>23</v>
      </c>
      <c r="J387" s="8" t="s">
        <v>95</v>
      </c>
    </row>
    <row r="388" spans="1:10" x14ac:dyDescent="0.3">
      <c r="A388" s="8" t="s">
        <v>1192</v>
      </c>
      <c r="B388" s="8">
        <v>12336</v>
      </c>
      <c r="C388" s="8" t="s">
        <v>1193</v>
      </c>
      <c r="D388" s="8" t="s">
        <v>173</v>
      </c>
      <c r="E388" s="8" t="s">
        <v>328</v>
      </c>
      <c r="F388" s="8" t="s">
        <v>1194</v>
      </c>
      <c r="G388" s="8" t="s">
        <v>22</v>
      </c>
      <c r="H388" s="9">
        <v>45044</v>
      </c>
      <c r="I388" s="8" t="s">
        <v>23</v>
      </c>
      <c r="J388" s="8"/>
    </row>
    <row r="389" spans="1:10" x14ac:dyDescent="0.3">
      <c r="A389" s="8" t="s">
        <v>1195</v>
      </c>
      <c r="B389" s="8">
        <v>97352</v>
      </c>
      <c r="C389" s="8" t="s">
        <v>1196</v>
      </c>
      <c r="D389" s="8" t="s">
        <v>57</v>
      </c>
      <c r="E389" s="8" t="s">
        <v>252</v>
      </c>
      <c r="F389" s="8" t="s">
        <v>1197</v>
      </c>
      <c r="G389" s="8" t="s">
        <v>15</v>
      </c>
      <c r="H389" s="9">
        <v>45165</v>
      </c>
      <c r="I389" s="8" t="s">
        <v>33</v>
      </c>
      <c r="J389" s="8" t="s">
        <v>95</v>
      </c>
    </row>
    <row r="390" spans="1:10" x14ac:dyDescent="0.3">
      <c r="A390" s="8" t="s">
        <v>1198</v>
      </c>
      <c r="B390" s="8">
        <v>75429</v>
      </c>
      <c r="C390" s="8" t="s">
        <v>1199</v>
      </c>
      <c r="D390" s="8" t="s">
        <v>47</v>
      </c>
      <c r="E390" s="8" t="s">
        <v>575</v>
      </c>
      <c r="F390" s="8" t="s">
        <v>1200</v>
      </c>
      <c r="G390" s="8" t="s">
        <v>22</v>
      </c>
      <c r="H390" s="9">
        <v>45505</v>
      </c>
      <c r="I390" s="8" t="s">
        <v>33</v>
      </c>
      <c r="J390" s="8" t="s">
        <v>95</v>
      </c>
    </row>
    <row r="391" spans="1:10" x14ac:dyDescent="0.3">
      <c r="A391" s="8" t="s">
        <v>1201</v>
      </c>
      <c r="B391" s="8">
        <v>66216</v>
      </c>
      <c r="C391" s="8" t="s">
        <v>1202</v>
      </c>
      <c r="D391" s="8" t="s">
        <v>36</v>
      </c>
      <c r="E391" s="8" t="s">
        <v>127</v>
      </c>
      <c r="F391" s="8" t="s">
        <v>1203</v>
      </c>
      <c r="G391" s="8" t="s">
        <v>22</v>
      </c>
      <c r="H391" s="9">
        <v>45423</v>
      </c>
      <c r="I391" s="8" t="s">
        <v>54</v>
      </c>
      <c r="J391" s="8"/>
    </row>
    <row r="392" spans="1:10" x14ac:dyDescent="0.3">
      <c r="A392" s="8" t="s">
        <v>652</v>
      </c>
      <c r="B392" s="8">
        <v>14067</v>
      </c>
      <c r="C392" s="8" t="s">
        <v>1204</v>
      </c>
      <c r="D392" s="8" t="s">
        <v>47</v>
      </c>
      <c r="E392" s="8" t="s">
        <v>181</v>
      </c>
      <c r="F392" s="8" t="s">
        <v>1205</v>
      </c>
      <c r="G392" s="8" t="s">
        <v>15</v>
      </c>
      <c r="H392" s="9">
        <v>45863</v>
      </c>
      <c r="I392" s="8" t="s">
        <v>39</v>
      </c>
      <c r="J392" s="8" t="s">
        <v>78</v>
      </c>
    </row>
    <row r="393" spans="1:10" x14ac:dyDescent="0.3">
      <c r="A393" s="8" t="s">
        <v>608</v>
      </c>
      <c r="B393" s="8">
        <v>66633</v>
      </c>
      <c r="C393" s="8" t="s">
        <v>1206</v>
      </c>
      <c r="D393" s="8" t="s">
        <v>173</v>
      </c>
      <c r="E393" s="8" t="s">
        <v>270</v>
      </c>
      <c r="F393" s="8" t="s">
        <v>1207</v>
      </c>
      <c r="G393" s="8" t="s">
        <v>15</v>
      </c>
      <c r="H393" s="9">
        <v>45242</v>
      </c>
      <c r="I393" s="8" t="s">
        <v>39</v>
      </c>
      <c r="J393" s="8" t="s">
        <v>95</v>
      </c>
    </row>
    <row r="394" spans="1:10" x14ac:dyDescent="0.3">
      <c r="A394" s="8" t="s">
        <v>1208</v>
      </c>
      <c r="B394" s="8">
        <v>57878</v>
      </c>
      <c r="C394" s="8" t="s">
        <v>1209</v>
      </c>
      <c r="D394" s="8" t="s">
        <v>84</v>
      </c>
      <c r="E394" s="8" t="s">
        <v>234</v>
      </c>
      <c r="F394" s="8" t="s">
        <v>1210</v>
      </c>
      <c r="G394" s="8" t="s">
        <v>22</v>
      </c>
      <c r="H394" s="9">
        <v>45491</v>
      </c>
      <c r="I394" s="8" t="s">
        <v>39</v>
      </c>
      <c r="J394" s="8"/>
    </row>
    <row r="395" spans="1:10" x14ac:dyDescent="0.3">
      <c r="A395" s="8" t="s">
        <v>1211</v>
      </c>
      <c r="B395" s="8">
        <v>21308</v>
      </c>
      <c r="C395" s="8" t="s">
        <v>1212</v>
      </c>
      <c r="D395" s="8" t="s">
        <v>71</v>
      </c>
      <c r="E395" s="8" t="s">
        <v>72</v>
      </c>
      <c r="F395" s="8" t="s">
        <v>1213</v>
      </c>
      <c r="G395" s="8" t="s">
        <v>22</v>
      </c>
      <c r="H395" s="9">
        <v>45378</v>
      </c>
      <c r="I395" s="8" t="s">
        <v>39</v>
      </c>
      <c r="J395" s="8" t="s">
        <v>24</v>
      </c>
    </row>
    <row r="396" spans="1:10" x14ac:dyDescent="0.3">
      <c r="A396" s="8" t="s">
        <v>1214</v>
      </c>
      <c r="B396" s="8">
        <v>51280</v>
      </c>
      <c r="C396" s="8" t="s">
        <v>1215</v>
      </c>
      <c r="D396" s="8" t="s">
        <v>42</v>
      </c>
      <c r="E396" s="8" t="s">
        <v>108</v>
      </c>
      <c r="F396" s="8" t="s">
        <v>1216</v>
      </c>
      <c r="G396" s="8" t="s">
        <v>15</v>
      </c>
      <c r="H396" s="9">
        <v>45126</v>
      </c>
      <c r="I396" s="8" t="s">
        <v>16</v>
      </c>
      <c r="J396" s="8" t="s">
        <v>95</v>
      </c>
    </row>
    <row r="397" spans="1:10" x14ac:dyDescent="0.3">
      <c r="A397" s="8" t="s">
        <v>692</v>
      </c>
      <c r="B397" s="8">
        <v>78867</v>
      </c>
      <c r="C397" s="8" t="s">
        <v>1217</v>
      </c>
      <c r="D397" s="8" t="s">
        <v>57</v>
      </c>
      <c r="E397" s="8" t="s">
        <v>312</v>
      </c>
      <c r="F397" s="8" t="s">
        <v>1218</v>
      </c>
      <c r="G397" s="8" t="s">
        <v>15</v>
      </c>
      <c r="H397" s="9">
        <v>45841</v>
      </c>
      <c r="I397" s="8" t="s">
        <v>54</v>
      </c>
      <c r="J397" s="8" t="s">
        <v>50</v>
      </c>
    </row>
    <row r="398" spans="1:10" x14ac:dyDescent="0.3">
      <c r="A398" s="8" t="s">
        <v>970</v>
      </c>
      <c r="B398" s="8">
        <v>44364</v>
      </c>
      <c r="C398" s="8" t="s">
        <v>1219</v>
      </c>
      <c r="D398" s="8" t="s">
        <v>173</v>
      </c>
      <c r="E398" s="8" t="s">
        <v>174</v>
      </c>
      <c r="F398" s="8" t="s">
        <v>1220</v>
      </c>
      <c r="G398" s="8" t="s">
        <v>15</v>
      </c>
      <c r="H398" s="9">
        <v>45357</v>
      </c>
      <c r="I398" s="8" t="s">
        <v>54</v>
      </c>
      <c r="J398" s="8"/>
    </row>
    <row r="399" spans="1:10" x14ac:dyDescent="0.3">
      <c r="A399" s="8" t="s">
        <v>1221</v>
      </c>
      <c r="B399" s="8">
        <v>89417</v>
      </c>
      <c r="C399" s="8" t="s">
        <v>1222</v>
      </c>
      <c r="D399" s="8" t="s">
        <v>36</v>
      </c>
      <c r="E399" s="8" t="s">
        <v>131</v>
      </c>
      <c r="F399" s="8" t="s">
        <v>1223</v>
      </c>
      <c r="G399" s="8" t="s">
        <v>15</v>
      </c>
      <c r="H399" s="9">
        <v>45575</v>
      </c>
      <c r="I399" s="8" t="s">
        <v>16</v>
      </c>
      <c r="J399" s="8"/>
    </row>
    <row r="400" spans="1:10" x14ac:dyDescent="0.3">
      <c r="A400" s="8" t="s">
        <v>300</v>
      </c>
      <c r="B400" s="8">
        <v>86558</v>
      </c>
      <c r="C400" s="8" t="s">
        <v>1224</v>
      </c>
      <c r="D400" s="8" t="s">
        <v>57</v>
      </c>
      <c r="E400" s="8" t="s">
        <v>58</v>
      </c>
      <c r="F400" s="8" t="s">
        <v>1225</v>
      </c>
      <c r="G400" s="8" t="s">
        <v>15</v>
      </c>
      <c r="H400" s="9">
        <v>45675</v>
      </c>
      <c r="I400" s="8" t="s">
        <v>23</v>
      </c>
      <c r="J400" s="8" t="s">
        <v>50</v>
      </c>
    </row>
    <row r="401" spans="1:10" x14ac:dyDescent="0.3">
      <c r="A401" s="8" t="s">
        <v>1226</v>
      </c>
      <c r="B401" s="8">
        <v>87481</v>
      </c>
      <c r="C401" s="8" t="s">
        <v>1227</v>
      </c>
      <c r="D401" s="8" t="s">
        <v>27</v>
      </c>
      <c r="E401" s="8" t="s">
        <v>241</v>
      </c>
      <c r="F401" s="8" t="s">
        <v>1228</v>
      </c>
      <c r="G401" s="8" t="s">
        <v>22</v>
      </c>
      <c r="H401" s="9">
        <v>45045</v>
      </c>
      <c r="I401" s="8" t="s">
        <v>39</v>
      </c>
      <c r="J401" s="8" t="s">
        <v>50</v>
      </c>
    </row>
    <row r="402" spans="1:10" x14ac:dyDescent="0.3">
      <c r="A402" s="8" t="s">
        <v>766</v>
      </c>
      <c r="B402" s="8">
        <v>86491</v>
      </c>
      <c r="C402" s="8" t="s">
        <v>1229</v>
      </c>
      <c r="D402" s="8" t="s">
        <v>36</v>
      </c>
      <c r="E402" s="8" t="s">
        <v>67</v>
      </c>
      <c r="F402" s="8" t="s">
        <v>1230</v>
      </c>
      <c r="G402" s="8" t="s">
        <v>22</v>
      </c>
      <c r="H402" s="9">
        <v>45516</v>
      </c>
      <c r="I402" s="8" t="s">
        <v>33</v>
      </c>
      <c r="J402" s="8"/>
    </row>
    <row r="403" spans="1:10" x14ac:dyDescent="0.3">
      <c r="A403" s="8" t="s">
        <v>1231</v>
      </c>
      <c r="B403" s="8">
        <v>11605</v>
      </c>
      <c r="C403" s="8" t="s">
        <v>1232</v>
      </c>
      <c r="D403" s="8" t="s">
        <v>173</v>
      </c>
      <c r="E403" s="8" t="s">
        <v>191</v>
      </c>
      <c r="F403" s="8" t="s">
        <v>1233</v>
      </c>
      <c r="G403" s="8" t="s">
        <v>15</v>
      </c>
      <c r="H403" s="9">
        <v>45194</v>
      </c>
      <c r="I403" s="8" t="s">
        <v>39</v>
      </c>
      <c r="J403" s="8"/>
    </row>
    <row r="404" spans="1:10" x14ac:dyDescent="0.3">
      <c r="A404" s="8" t="s">
        <v>940</v>
      </c>
      <c r="B404" s="8">
        <v>43555</v>
      </c>
      <c r="C404" s="8" t="s">
        <v>1234</v>
      </c>
      <c r="D404" s="8" t="s">
        <v>47</v>
      </c>
      <c r="E404" s="8" t="s">
        <v>575</v>
      </c>
      <c r="F404" s="8" t="s">
        <v>1235</v>
      </c>
      <c r="G404" s="8" t="s">
        <v>22</v>
      </c>
      <c r="H404" s="9">
        <v>45975</v>
      </c>
      <c r="I404" s="8" t="s">
        <v>54</v>
      </c>
      <c r="J404" s="8" t="s">
        <v>24</v>
      </c>
    </row>
    <row r="405" spans="1:10" x14ac:dyDescent="0.3">
      <c r="A405" s="8" t="s">
        <v>1236</v>
      </c>
      <c r="B405" s="8">
        <v>97333</v>
      </c>
      <c r="C405" s="8" t="s">
        <v>1237</v>
      </c>
      <c r="D405" s="8" t="s">
        <v>84</v>
      </c>
      <c r="E405" s="8" t="s">
        <v>119</v>
      </c>
      <c r="F405" s="8" t="s">
        <v>1238</v>
      </c>
      <c r="G405" s="8" t="s">
        <v>22</v>
      </c>
      <c r="H405" s="9">
        <v>45299</v>
      </c>
      <c r="I405" s="8" t="s">
        <v>16</v>
      </c>
      <c r="J405" s="8" t="s">
        <v>78</v>
      </c>
    </row>
    <row r="406" spans="1:10" x14ac:dyDescent="0.3">
      <c r="A406" s="8" t="s">
        <v>369</v>
      </c>
      <c r="B406" s="8">
        <v>67149</v>
      </c>
      <c r="C406" s="8" t="s">
        <v>1239</v>
      </c>
      <c r="D406" s="8" t="s">
        <v>71</v>
      </c>
      <c r="E406" s="8" t="s">
        <v>72</v>
      </c>
      <c r="F406" s="8" t="s">
        <v>1240</v>
      </c>
      <c r="G406" s="8" t="s">
        <v>15</v>
      </c>
      <c r="H406" s="9">
        <v>45978</v>
      </c>
      <c r="I406" s="8" t="s">
        <v>54</v>
      </c>
      <c r="J406" s="8"/>
    </row>
    <row r="407" spans="1:10" x14ac:dyDescent="0.3">
      <c r="A407" s="8" t="s">
        <v>1241</v>
      </c>
      <c r="B407" s="8">
        <v>24128</v>
      </c>
      <c r="C407" s="8" t="s">
        <v>1242</v>
      </c>
      <c r="D407" s="8" t="s">
        <v>27</v>
      </c>
      <c r="E407" s="8" t="s">
        <v>230</v>
      </c>
      <c r="F407" s="8" t="s">
        <v>1243</v>
      </c>
      <c r="G407" s="8" t="s">
        <v>15</v>
      </c>
      <c r="H407" s="9">
        <v>45886</v>
      </c>
      <c r="I407" s="8" t="s">
        <v>16</v>
      </c>
      <c r="J407" s="8"/>
    </row>
    <row r="408" spans="1:10" x14ac:dyDescent="0.3">
      <c r="A408" s="8" t="s">
        <v>1244</v>
      </c>
      <c r="B408" s="8">
        <v>64237</v>
      </c>
      <c r="C408" s="8" t="s">
        <v>1245</v>
      </c>
      <c r="D408" s="8" t="s">
        <v>36</v>
      </c>
      <c r="E408" s="8" t="s">
        <v>37</v>
      </c>
      <c r="F408" s="8" t="s">
        <v>1246</v>
      </c>
      <c r="G408" s="8" t="s">
        <v>15</v>
      </c>
      <c r="H408" s="9">
        <v>45882</v>
      </c>
      <c r="I408" s="8" t="s">
        <v>16</v>
      </c>
      <c r="J408" s="8" t="s">
        <v>50</v>
      </c>
    </row>
    <row r="409" spans="1:10" x14ac:dyDescent="0.3">
      <c r="A409" s="8" t="s">
        <v>1247</v>
      </c>
      <c r="B409" s="8">
        <v>20809</v>
      </c>
      <c r="C409" s="8" t="s">
        <v>1248</v>
      </c>
      <c r="D409" s="8" t="s">
        <v>36</v>
      </c>
      <c r="E409" s="8" t="s">
        <v>37</v>
      </c>
      <c r="F409" s="8" t="s">
        <v>1249</v>
      </c>
      <c r="G409" s="8" t="s">
        <v>22</v>
      </c>
      <c r="H409" s="9">
        <v>45447</v>
      </c>
      <c r="I409" s="8" t="s">
        <v>33</v>
      </c>
      <c r="J409" s="8" t="s">
        <v>78</v>
      </c>
    </row>
    <row r="410" spans="1:10" x14ac:dyDescent="0.3">
      <c r="A410" s="8" t="s">
        <v>1250</v>
      </c>
      <c r="B410" s="8">
        <v>13757</v>
      </c>
      <c r="C410" s="8" t="s">
        <v>1251</v>
      </c>
      <c r="D410" s="8" t="s">
        <v>84</v>
      </c>
      <c r="E410" s="8" t="s">
        <v>119</v>
      </c>
      <c r="F410" s="8" t="s">
        <v>1252</v>
      </c>
      <c r="G410" s="8" t="s">
        <v>15</v>
      </c>
      <c r="H410" s="9">
        <v>45344</v>
      </c>
      <c r="I410" s="8" t="s">
        <v>54</v>
      </c>
      <c r="J410" s="8" t="s">
        <v>24</v>
      </c>
    </row>
    <row r="411" spans="1:10" x14ac:dyDescent="0.3">
      <c r="A411" s="8" t="s">
        <v>1253</v>
      </c>
      <c r="B411" s="8">
        <v>81507</v>
      </c>
      <c r="C411" s="8" t="s">
        <v>1254</v>
      </c>
      <c r="D411" s="8" t="s">
        <v>47</v>
      </c>
      <c r="E411" s="8" t="s">
        <v>425</v>
      </c>
      <c r="F411" s="8" t="s">
        <v>1255</v>
      </c>
      <c r="G411" s="8" t="s">
        <v>22</v>
      </c>
      <c r="H411" s="9">
        <v>45164</v>
      </c>
      <c r="I411" s="8" t="s">
        <v>39</v>
      </c>
      <c r="J411" s="8" t="s">
        <v>24</v>
      </c>
    </row>
    <row r="412" spans="1:10" x14ac:dyDescent="0.3">
      <c r="A412" s="8" t="s">
        <v>1256</v>
      </c>
      <c r="B412" s="8">
        <v>21767</v>
      </c>
      <c r="C412" s="8" t="s">
        <v>1257</v>
      </c>
      <c r="D412" s="8" t="s">
        <v>36</v>
      </c>
      <c r="E412" s="8" t="s">
        <v>162</v>
      </c>
      <c r="F412" s="8" t="s">
        <v>1258</v>
      </c>
      <c r="G412" s="8" t="s">
        <v>22</v>
      </c>
      <c r="H412" s="9">
        <v>45825</v>
      </c>
      <c r="I412" s="8" t="s">
        <v>23</v>
      </c>
      <c r="J412" s="8" t="s">
        <v>24</v>
      </c>
    </row>
    <row r="413" spans="1:10" x14ac:dyDescent="0.3">
      <c r="A413" s="8" t="s">
        <v>1259</v>
      </c>
      <c r="B413" s="8">
        <v>82386</v>
      </c>
      <c r="C413" s="8" t="s">
        <v>1260</v>
      </c>
      <c r="D413" s="8" t="s">
        <v>27</v>
      </c>
      <c r="E413" s="8" t="s">
        <v>158</v>
      </c>
      <c r="F413" s="8" t="s">
        <v>1261</v>
      </c>
      <c r="G413" s="8" t="s">
        <v>15</v>
      </c>
      <c r="H413" s="9">
        <v>45246</v>
      </c>
      <c r="I413" s="8" t="s">
        <v>16</v>
      </c>
      <c r="J413" s="8" t="s">
        <v>24</v>
      </c>
    </row>
    <row r="414" spans="1:10" x14ac:dyDescent="0.3">
      <c r="A414" s="8" t="s">
        <v>1262</v>
      </c>
      <c r="B414" s="8">
        <v>54353</v>
      </c>
      <c r="C414" s="8" t="s">
        <v>1263</v>
      </c>
      <c r="D414" s="8" t="s">
        <v>84</v>
      </c>
      <c r="E414" s="8" t="s">
        <v>234</v>
      </c>
      <c r="F414" s="8" t="s">
        <v>1264</v>
      </c>
      <c r="G414" s="8" t="s">
        <v>22</v>
      </c>
      <c r="H414" s="9">
        <v>45959</v>
      </c>
      <c r="I414" s="8" t="s">
        <v>39</v>
      </c>
      <c r="J414" s="8" t="s">
        <v>17</v>
      </c>
    </row>
    <row r="415" spans="1:10" x14ac:dyDescent="0.3">
      <c r="A415" s="8" t="s">
        <v>1265</v>
      </c>
      <c r="B415" s="8">
        <v>58723</v>
      </c>
      <c r="C415" s="8" t="s">
        <v>1266</v>
      </c>
      <c r="D415" s="8" t="s">
        <v>27</v>
      </c>
      <c r="E415" s="8" t="s">
        <v>98</v>
      </c>
      <c r="F415" s="8" t="s">
        <v>1267</v>
      </c>
      <c r="G415" s="8" t="s">
        <v>15</v>
      </c>
      <c r="H415" s="9">
        <v>45057</v>
      </c>
      <c r="I415" s="8" t="s">
        <v>23</v>
      </c>
      <c r="J415" s="8" t="s">
        <v>17</v>
      </c>
    </row>
    <row r="416" spans="1:10" x14ac:dyDescent="0.3">
      <c r="A416" s="8" t="s">
        <v>1268</v>
      </c>
      <c r="B416" s="8">
        <v>59342</v>
      </c>
      <c r="C416" s="8" t="s">
        <v>1269</v>
      </c>
      <c r="D416" s="8" t="s">
        <v>36</v>
      </c>
      <c r="E416" s="8" t="s">
        <v>67</v>
      </c>
      <c r="F416" s="8" t="s">
        <v>1270</v>
      </c>
      <c r="G416" s="8" t="s">
        <v>22</v>
      </c>
      <c r="H416" s="9">
        <v>45729</v>
      </c>
      <c r="I416" s="8" t="s">
        <v>39</v>
      </c>
      <c r="J416" s="8"/>
    </row>
    <row r="417" spans="1:10" x14ac:dyDescent="0.3">
      <c r="A417" s="8" t="s">
        <v>1271</v>
      </c>
      <c r="B417" s="8">
        <v>61975</v>
      </c>
      <c r="C417" s="8" t="s">
        <v>1272</v>
      </c>
      <c r="D417" s="8" t="s">
        <v>42</v>
      </c>
      <c r="E417" s="8" t="s">
        <v>76</v>
      </c>
      <c r="F417" s="8" t="s">
        <v>1273</v>
      </c>
      <c r="G417" s="8" t="s">
        <v>22</v>
      </c>
      <c r="H417" s="9">
        <v>44910</v>
      </c>
      <c r="I417" s="8" t="s">
        <v>54</v>
      </c>
      <c r="J417" s="8" t="s">
        <v>50</v>
      </c>
    </row>
    <row r="418" spans="1:10" x14ac:dyDescent="0.3">
      <c r="A418" s="8" t="s">
        <v>1274</v>
      </c>
      <c r="B418" s="8">
        <v>58250</v>
      </c>
      <c r="C418" s="8" t="s">
        <v>1275</v>
      </c>
      <c r="D418" s="8" t="s">
        <v>71</v>
      </c>
      <c r="E418" s="8" t="s">
        <v>93</v>
      </c>
      <c r="F418" s="8" t="s">
        <v>1276</v>
      </c>
      <c r="G418" s="8" t="s">
        <v>15</v>
      </c>
      <c r="H418" s="9">
        <v>45907</v>
      </c>
      <c r="I418" s="8" t="s">
        <v>23</v>
      </c>
      <c r="J418" s="8" t="s">
        <v>78</v>
      </c>
    </row>
    <row r="419" spans="1:10" x14ac:dyDescent="0.3">
      <c r="A419" s="8" t="s">
        <v>1277</v>
      </c>
      <c r="B419" s="8">
        <v>50553</v>
      </c>
      <c r="C419" s="8" t="s">
        <v>1278</v>
      </c>
      <c r="D419" s="8" t="s">
        <v>12</v>
      </c>
      <c r="E419" s="8" t="s">
        <v>123</v>
      </c>
      <c r="F419" s="8" t="s">
        <v>1279</v>
      </c>
      <c r="G419" s="8" t="s">
        <v>22</v>
      </c>
      <c r="H419" s="9">
        <v>45493</v>
      </c>
      <c r="I419" s="8" t="s">
        <v>54</v>
      </c>
      <c r="J419" s="8" t="s">
        <v>95</v>
      </c>
    </row>
    <row r="420" spans="1:10" x14ac:dyDescent="0.3">
      <c r="A420" s="8" t="s">
        <v>1280</v>
      </c>
      <c r="B420" s="8">
        <v>26675</v>
      </c>
      <c r="C420" s="8" t="s">
        <v>1281</v>
      </c>
      <c r="D420" s="8" t="s">
        <v>27</v>
      </c>
      <c r="E420" s="8" t="s">
        <v>241</v>
      </c>
      <c r="F420" s="8" t="s">
        <v>1282</v>
      </c>
      <c r="G420" s="8" t="s">
        <v>22</v>
      </c>
      <c r="H420" s="9">
        <v>44979</v>
      </c>
      <c r="I420" s="8" t="s">
        <v>54</v>
      </c>
      <c r="J420" s="8" t="s">
        <v>17</v>
      </c>
    </row>
    <row r="421" spans="1:10" x14ac:dyDescent="0.3">
      <c r="A421" s="8" t="s">
        <v>1283</v>
      </c>
      <c r="B421" s="8">
        <v>84541</v>
      </c>
      <c r="C421" s="8" t="s">
        <v>1284</v>
      </c>
      <c r="D421" s="8" t="s">
        <v>84</v>
      </c>
      <c r="E421" s="8" t="s">
        <v>201</v>
      </c>
      <c r="F421" s="8" t="s">
        <v>1285</v>
      </c>
      <c r="G421" s="8" t="s">
        <v>22</v>
      </c>
      <c r="H421" s="9">
        <v>45081</v>
      </c>
      <c r="I421" s="8" t="s">
        <v>23</v>
      </c>
      <c r="J421" s="8"/>
    </row>
    <row r="422" spans="1:10" x14ac:dyDescent="0.3">
      <c r="A422" s="8" t="s">
        <v>1286</v>
      </c>
      <c r="B422" s="8">
        <v>13947</v>
      </c>
      <c r="C422" s="8" t="s">
        <v>1287</v>
      </c>
      <c r="D422" s="8" t="s">
        <v>84</v>
      </c>
      <c r="E422" s="8" t="s">
        <v>85</v>
      </c>
      <c r="F422" s="8" t="s">
        <v>1288</v>
      </c>
      <c r="G422" s="8" t="s">
        <v>15</v>
      </c>
      <c r="H422" s="9">
        <v>45812</v>
      </c>
      <c r="I422" s="8" t="s">
        <v>54</v>
      </c>
      <c r="J422" s="8"/>
    </row>
    <row r="423" spans="1:10" x14ac:dyDescent="0.3">
      <c r="A423" s="8" t="s">
        <v>336</v>
      </c>
      <c r="B423" s="8">
        <v>21513</v>
      </c>
      <c r="C423" s="8" t="s">
        <v>1289</v>
      </c>
      <c r="D423" s="8" t="s">
        <v>173</v>
      </c>
      <c r="E423" s="8" t="s">
        <v>270</v>
      </c>
      <c r="F423" s="8" t="s">
        <v>1290</v>
      </c>
      <c r="G423" s="8" t="s">
        <v>15</v>
      </c>
      <c r="H423" s="9">
        <v>45278</v>
      </c>
      <c r="I423" s="8" t="s">
        <v>33</v>
      </c>
      <c r="J423" s="8" t="s">
        <v>50</v>
      </c>
    </row>
    <row r="424" spans="1:10" x14ac:dyDescent="0.3">
      <c r="A424" s="8" t="s">
        <v>1291</v>
      </c>
      <c r="B424" s="8">
        <v>19814</v>
      </c>
      <c r="C424" s="8" t="s">
        <v>1292</v>
      </c>
      <c r="D424" s="8" t="s">
        <v>27</v>
      </c>
      <c r="E424" s="8" t="s">
        <v>241</v>
      </c>
      <c r="F424" s="8" t="s">
        <v>1293</v>
      </c>
      <c r="G424" s="8" t="s">
        <v>22</v>
      </c>
      <c r="H424" s="9">
        <v>45469</v>
      </c>
      <c r="I424" s="8" t="s">
        <v>33</v>
      </c>
      <c r="J424" s="8"/>
    </row>
    <row r="425" spans="1:10" x14ac:dyDescent="0.3">
      <c r="A425" s="8" t="s">
        <v>360</v>
      </c>
      <c r="B425" s="8">
        <v>59631</v>
      </c>
      <c r="C425" s="8" t="s">
        <v>1294</v>
      </c>
      <c r="D425" s="8" t="s">
        <v>12</v>
      </c>
      <c r="E425" s="8" t="s">
        <v>166</v>
      </c>
      <c r="F425" s="8" t="s">
        <v>1295</v>
      </c>
      <c r="G425" s="8" t="s">
        <v>22</v>
      </c>
      <c r="H425" s="9">
        <v>45251</v>
      </c>
      <c r="I425" s="8" t="s">
        <v>39</v>
      </c>
      <c r="J425" s="8" t="s">
        <v>50</v>
      </c>
    </row>
    <row r="426" spans="1:10" x14ac:dyDescent="0.3">
      <c r="A426" s="8" t="s">
        <v>735</v>
      </c>
      <c r="B426" s="8">
        <v>7481</v>
      </c>
      <c r="C426" s="8" t="s">
        <v>1296</v>
      </c>
      <c r="D426" s="8" t="s">
        <v>12</v>
      </c>
      <c r="E426" s="8" t="s">
        <v>20</v>
      </c>
      <c r="F426" s="8" t="s">
        <v>1297</v>
      </c>
      <c r="G426" s="8" t="s">
        <v>15</v>
      </c>
      <c r="H426" s="9">
        <v>45362</v>
      </c>
      <c r="I426" s="8" t="s">
        <v>23</v>
      </c>
      <c r="J426" s="8"/>
    </row>
    <row r="427" spans="1:10" x14ac:dyDescent="0.3">
      <c r="A427" s="8" t="s">
        <v>1298</v>
      </c>
      <c r="B427" s="8">
        <v>51116</v>
      </c>
      <c r="C427" s="8" t="s">
        <v>1299</v>
      </c>
      <c r="D427" s="8" t="s">
        <v>57</v>
      </c>
      <c r="E427" s="8" t="s">
        <v>252</v>
      </c>
      <c r="F427" s="8" t="s">
        <v>1300</v>
      </c>
      <c r="G427" s="8" t="s">
        <v>15</v>
      </c>
      <c r="H427" s="9">
        <v>45054</v>
      </c>
      <c r="I427" s="8" t="s">
        <v>16</v>
      </c>
      <c r="J427" s="8" t="s">
        <v>78</v>
      </c>
    </row>
    <row r="428" spans="1:10" x14ac:dyDescent="0.3">
      <c r="A428" s="8" t="s">
        <v>1301</v>
      </c>
      <c r="B428" s="8">
        <v>42271</v>
      </c>
      <c r="C428" s="8" t="s">
        <v>1302</v>
      </c>
      <c r="D428" s="8" t="s">
        <v>62</v>
      </c>
      <c r="E428" s="8" t="s">
        <v>63</v>
      </c>
      <c r="F428" s="8" t="s">
        <v>1303</v>
      </c>
      <c r="G428" s="8" t="s">
        <v>15</v>
      </c>
      <c r="H428" s="9">
        <v>45254</v>
      </c>
      <c r="I428" s="8" t="s">
        <v>54</v>
      </c>
      <c r="J428" s="8"/>
    </row>
    <row r="429" spans="1:10" x14ac:dyDescent="0.3">
      <c r="A429" s="8" t="s">
        <v>1304</v>
      </c>
      <c r="B429" s="8">
        <v>44448</v>
      </c>
      <c r="C429" s="8" t="s">
        <v>1305</v>
      </c>
      <c r="D429" s="8" t="s">
        <v>12</v>
      </c>
      <c r="E429" s="8" t="s">
        <v>138</v>
      </c>
      <c r="F429" s="8" t="s">
        <v>1306</v>
      </c>
      <c r="G429" s="8" t="s">
        <v>22</v>
      </c>
      <c r="H429" s="9">
        <v>45891</v>
      </c>
      <c r="I429" s="8" t="s">
        <v>23</v>
      </c>
      <c r="J429" s="8" t="s">
        <v>95</v>
      </c>
    </row>
    <row r="430" spans="1:10" x14ac:dyDescent="0.3">
      <c r="A430" s="8" t="s">
        <v>345</v>
      </c>
      <c r="B430" s="8">
        <v>62426</v>
      </c>
      <c r="C430" s="8" t="s">
        <v>1307</v>
      </c>
      <c r="D430" s="8" t="s">
        <v>12</v>
      </c>
      <c r="E430" s="8" t="s">
        <v>123</v>
      </c>
      <c r="F430" s="8" t="s">
        <v>1308</v>
      </c>
      <c r="G430" s="8" t="s">
        <v>15</v>
      </c>
      <c r="H430" s="9">
        <v>45807</v>
      </c>
      <c r="I430" s="8" t="s">
        <v>54</v>
      </c>
      <c r="J430" s="8" t="s">
        <v>24</v>
      </c>
    </row>
    <row r="431" spans="1:10" x14ac:dyDescent="0.3">
      <c r="A431" s="8" t="s">
        <v>1309</v>
      </c>
      <c r="B431" s="8">
        <v>59300</v>
      </c>
      <c r="C431" s="8" t="s">
        <v>1310</v>
      </c>
      <c r="D431" s="8" t="s">
        <v>47</v>
      </c>
      <c r="E431" s="8" t="s">
        <v>575</v>
      </c>
      <c r="F431" s="8" t="s">
        <v>1311</v>
      </c>
      <c r="G431" s="8" t="s">
        <v>15</v>
      </c>
      <c r="H431" s="9">
        <v>45271</v>
      </c>
      <c r="I431" s="8" t="s">
        <v>39</v>
      </c>
      <c r="J431" s="8"/>
    </row>
    <row r="432" spans="1:10" x14ac:dyDescent="0.3">
      <c r="A432" s="8" t="s">
        <v>82</v>
      </c>
      <c r="B432" s="8">
        <v>34045</v>
      </c>
      <c r="C432" s="8" t="s">
        <v>1312</v>
      </c>
      <c r="D432" s="8" t="s">
        <v>84</v>
      </c>
      <c r="E432" s="8" t="s">
        <v>85</v>
      </c>
      <c r="F432" s="8" t="s">
        <v>1313</v>
      </c>
      <c r="G432" s="8" t="s">
        <v>22</v>
      </c>
      <c r="H432" s="9">
        <v>44989</v>
      </c>
      <c r="I432" s="8" t="s">
        <v>39</v>
      </c>
      <c r="J432" s="8" t="s">
        <v>95</v>
      </c>
    </row>
    <row r="433" spans="1:10" x14ac:dyDescent="0.3">
      <c r="A433" s="8" t="s">
        <v>1314</v>
      </c>
      <c r="B433" s="8">
        <v>95821</v>
      </c>
      <c r="C433" s="8" t="s">
        <v>1315</v>
      </c>
      <c r="D433" s="8" t="s">
        <v>47</v>
      </c>
      <c r="E433" s="8" t="s">
        <v>112</v>
      </c>
      <c r="F433" s="8" t="s">
        <v>1316</v>
      </c>
      <c r="G433" s="8" t="s">
        <v>22</v>
      </c>
      <c r="H433" s="9">
        <v>45293</v>
      </c>
      <c r="I433" s="8" t="s">
        <v>33</v>
      </c>
      <c r="J433" s="8"/>
    </row>
    <row r="434" spans="1:10" x14ac:dyDescent="0.3">
      <c r="A434" s="8" t="s">
        <v>1317</v>
      </c>
      <c r="B434" s="8">
        <v>31648</v>
      </c>
      <c r="C434" s="8" t="s">
        <v>1318</v>
      </c>
      <c r="D434" s="8" t="s">
        <v>47</v>
      </c>
      <c r="E434" s="8" t="s">
        <v>575</v>
      </c>
      <c r="F434" s="8" t="s">
        <v>1319</v>
      </c>
      <c r="G434" s="8" t="s">
        <v>22</v>
      </c>
      <c r="H434" s="9">
        <v>45204</v>
      </c>
      <c r="I434" s="8" t="s">
        <v>33</v>
      </c>
      <c r="J434" s="8"/>
    </row>
    <row r="435" spans="1:10" x14ac:dyDescent="0.3">
      <c r="A435" s="8" t="s">
        <v>1320</v>
      </c>
      <c r="B435" s="8">
        <v>55528</v>
      </c>
      <c r="C435" s="8" t="s">
        <v>1321</v>
      </c>
      <c r="D435" s="8" t="s">
        <v>42</v>
      </c>
      <c r="E435" s="8" t="s">
        <v>305</v>
      </c>
      <c r="F435" s="8" t="s">
        <v>1322</v>
      </c>
      <c r="G435" s="8" t="s">
        <v>22</v>
      </c>
      <c r="H435" s="9">
        <v>45309</v>
      </c>
      <c r="I435" s="8" t="s">
        <v>33</v>
      </c>
      <c r="J435" s="8"/>
    </row>
    <row r="436" spans="1:10" x14ac:dyDescent="0.3">
      <c r="A436" s="8" t="s">
        <v>420</v>
      </c>
      <c r="B436" s="8">
        <v>66014</v>
      </c>
      <c r="C436" s="8" t="s">
        <v>1323</v>
      </c>
      <c r="D436" s="8" t="s">
        <v>42</v>
      </c>
      <c r="E436" s="8" t="s">
        <v>43</v>
      </c>
      <c r="F436" s="8" t="s">
        <v>1324</v>
      </c>
      <c r="G436" s="8" t="s">
        <v>15</v>
      </c>
      <c r="H436" s="9">
        <v>45356</v>
      </c>
      <c r="I436" s="8" t="s">
        <v>39</v>
      </c>
      <c r="J436" s="8" t="s">
        <v>17</v>
      </c>
    </row>
    <row r="437" spans="1:10" x14ac:dyDescent="0.3">
      <c r="A437" s="8" t="s">
        <v>735</v>
      </c>
      <c r="B437" s="8">
        <v>32212</v>
      </c>
      <c r="C437" s="8" t="s">
        <v>1325</v>
      </c>
      <c r="D437" s="8" t="s">
        <v>12</v>
      </c>
      <c r="E437" s="8" t="s">
        <v>20</v>
      </c>
      <c r="F437" s="8" t="s">
        <v>1326</v>
      </c>
      <c r="G437" s="8" t="s">
        <v>22</v>
      </c>
      <c r="H437" s="9">
        <v>45521</v>
      </c>
      <c r="I437" s="8" t="s">
        <v>54</v>
      </c>
      <c r="J437" s="8" t="s">
        <v>50</v>
      </c>
    </row>
    <row r="438" spans="1:10" x14ac:dyDescent="0.3">
      <c r="A438" s="8" t="s">
        <v>1327</v>
      </c>
      <c r="B438" s="8">
        <v>81085</v>
      </c>
      <c r="C438" s="8" t="s">
        <v>1328</v>
      </c>
      <c r="D438" s="8" t="s">
        <v>57</v>
      </c>
      <c r="E438" s="8" t="s">
        <v>252</v>
      </c>
      <c r="F438" s="8" t="s">
        <v>1329</v>
      </c>
      <c r="G438" s="8" t="s">
        <v>22</v>
      </c>
      <c r="H438" s="9">
        <v>45924</v>
      </c>
      <c r="I438" s="8" t="s">
        <v>23</v>
      </c>
      <c r="J438" s="8"/>
    </row>
    <row r="439" spans="1:10" x14ac:dyDescent="0.3">
      <c r="A439" s="8" t="s">
        <v>183</v>
      </c>
      <c r="B439" s="8">
        <v>25052</v>
      </c>
      <c r="C439" s="8" t="s">
        <v>1330</v>
      </c>
      <c r="D439" s="8" t="s">
        <v>12</v>
      </c>
      <c r="E439" s="8" t="s">
        <v>13</v>
      </c>
      <c r="F439" s="8" t="s">
        <v>1331</v>
      </c>
      <c r="G439" s="8" t="s">
        <v>15</v>
      </c>
      <c r="H439" s="9">
        <v>45521</v>
      </c>
      <c r="I439" s="8" t="s">
        <v>39</v>
      </c>
      <c r="J439" s="8" t="s">
        <v>17</v>
      </c>
    </row>
    <row r="440" spans="1:10" x14ac:dyDescent="0.3">
      <c r="A440" s="8" t="s">
        <v>1332</v>
      </c>
      <c r="B440" s="8">
        <v>9371</v>
      </c>
      <c r="C440" s="8" t="s">
        <v>1333</v>
      </c>
      <c r="D440" s="8" t="s">
        <v>42</v>
      </c>
      <c r="E440" s="8" t="s">
        <v>43</v>
      </c>
      <c r="F440" s="8" t="s">
        <v>1334</v>
      </c>
      <c r="G440" s="8" t="s">
        <v>15</v>
      </c>
      <c r="H440" s="9">
        <v>45084</v>
      </c>
      <c r="I440" s="8" t="s">
        <v>23</v>
      </c>
      <c r="J440" s="8" t="s">
        <v>78</v>
      </c>
    </row>
    <row r="441" spans="1:10" x14ac:dyDescent="0.3">
      <c r="A441" s="8" t="s">
        <v>1335</v>
      </c>
      <c r="B441" s="8">
        <v>6207</v>
      </c>
      <c r="C441" s="8" t="s">
        <v>1336</v>
      </c>
      <c r="D441" s="8" t="s">
        <v>27</v>
      </c>
      <c r="E441" s="8" t="s">
        <v>98</v>
      </c>
      <c r="F441" s="8" t="s">
        <v>1337</v>
      </c>
      <c r="G441" s="8" t="s">
        <v>15</v>
      </c>
      <c r="H441" s="9">
        <v>45675</v>
      </c>
      <c r="I441" s="8" t="s">
        <v>54</v>
      </c>
      <c r="J441" s="8"/>
    </row>
    <row r="442" spans="1:10" x14ac:dyDescent="0.3">
      <c r="A442" s="8" t="s">
        <v>1338</v>
      </c>
      <c r="B442" s="8">
        <v>98453</v>
      </c>
      <c r="C442" s="8" t="s">
        <v>1339</v>
      </c>
      <c r="D442" s="8" t="s">
        <v>62</v>
      </c>
      <c r="E442" s="8" t="s">
        <v>63</v>
      </c>
      <c r="F442" s="8" t="s">
        <v>1340</v>
      </c>
      <c r="G442" s="8" t="s">
        <v>15</v>
      </c>
      <c r="H442" s="9">
        <v>45902</v>
      </c>
      <c r="I442" s="8" t="s">
        <v>33</v>
      </c>
      <c r="J442" s="8" t="s">
        <v>50</v>
      </c>
    </row>
    <row r="443" spans="1:10" x14ac:dyDescent="0.3">
      <c r="A443" s="8" t="s">
        <v>1341</v>
      </c>
      <c r="B443" s="8">
        <v>45694</v>
      </c>
      <c r="C443" s="8" t="s">
        <v>1342</v>
      </c>
      <c r="D443" s="8" t="s">
        <v>36</v>
      </c>
      <c r="E443" s="8" t="s">
        <v>127</v>
      </c>
      <c r="F443" s="8" t="s">
        <v>1343</v>
      </c>
      <c r="G443" s="8" t="s">
        <v>15</v>
      </c>
      <c r="H443" s="9">
        <v>45645</v>
      </c>
      <c r="I443" s="8" t="s">
        <v>33</v>
      </c>
      <c r="J443" s="8"/>
    </row>
    <row r="444" spans="1:10" x14ac:dyDescent="0.3">
      <c r="A444" s="8" t="s">
        <v>988</v>
      </c>
      <c r="B444" s="8">
        <v>14088</v>
      </c>
      <c r="C444" s="8" t="s">
        <v>1344</v>
      </c>
      <c r="D444" s="8" t="s">
        <v>36</v>
      </c>
      <c r="E444" s="8" t="s">
        <v>162</v>
      </c>
      <c r="F444" s="8" t="s">
        <v>1345</v>
      </c>
      <c r="G444" s="8" t="s">
        <v>22</v>
      </c>
      <c r="H444" s="9">
        <v>45247</v>
      </c>
      <c r="I444" s="8" t="s">
        <v>16</v>
      </c>
      <c r="J444" s="8"/>
    </row>
    <row r="445" spans="1:10" x14ac:dyDescent="0.3">
      <c r="A445" s="8" t="s">
        <v>1346</v>
      </c>
      <c r="B445" s="8">
        <v>72068</v>
      </c>
      <c r="C445" s="8" t="s">
        <v>1347</v>
      </c>
      <c r="D445" s="8" t="s">
        <v>36</v>
      </c>
      <c r="E445" s="8" t="s">
        <v>162</v>
      </c>
      <c r="F445" s="8" t="s">
        <v>1348</v>
      </c>
      <c r="G445" s="8" t="s">
        <v>22</v>
      </c>
      <c r="H445" s="9">
        <v>44969</v>
      </c>
      <c r="I445" s="8" t="s">
        <v>23</v>
      </c>
      <c r="J445" s="8" t="s">
        <v>17</v>
      </c>
    </row>
    <row r="446" spans="1:10" x14ac:dyDescent="0.3">
      <c r="A446" s="8" t="s">
        <v>1349</v>
      </c>
      <c r="B446" s="8">
        <v>90243</v>
      </c>
      <c r="C446" s="8" t="s">
        <v>1350</v>
      </c>
      <c r="D446" s="8" t="s">
        <v>84</v>
      </c>
      <c r="E446" s="8" t="s">
        <v>248</v>
      </c>
      <c r="F446" s="8" t="s">
        <v>1351</v>
      </c>
      <c r="G446" s="8" t="s">
        <v>22</v>
      </c>
      <c r="H446" s="9">
        <v>45815</v>
      </c>
      <c r="I446" s="8" t="s">
        <v>23</v>
      </c>
      <c r="J446" s="8"/>
    </row>
    <row r="447" spans="1:10" x14ac:dyDescent="0.3">
      <c r="A447" s="8" t="s">
        <v>1352</v>
      </c>
      <c r="B447" s="8">
        <v>83303</v>
      </c>
      <c r="C447" s="8" t="s">
        <v>1353</v>
      </c>
      <c r="D447" s="8" t="s">
        <v>42</v>
      </c>
      <c r="E447" s="8" t="s">
        <v>43</v>
      </c>
      <c r="F447" s="8" t="s">
        <v>1354</v>
      </c>
      <c r="G447" s="8" t="s">
        <v>22</v>
      </c>
      <c r="H447" s="9">
        <v>45761</v>
      </c>
      <c r="I447" s="8" t="s">
        <v>16</v>
      </c>
      <c r="J447" s="8" t="s">
        <v>95</v>
      </c>
    </row>
    <row r="448" spans="1:10" x14ac:dyDescent="0.3">
      <c r="A448" s="8" t="s">
        <v>1355</v>
      </c>
      <c r="B448" s="8">
        <v>94354</v>
      </c>
      <c r="C448" s="8" t="s">
        <v>1356</v>
      </c>
      <c r="D448" s="8" t="s">
        <v>36</v>
      </c>
      <c r="E448" s="8" t="s">
        <v>37</v>
      </c>
      <c r="F448" s="8" t="s">
        <v>1357</v>
      </c>
      <c r="G448" s="8" t="s">
        <v>22</v>
      </c>
      <c r="H448" s="9">
        <v>45697</v>
      </c>
      <c r="I448" s="8" t="s">
        <v>23</v>
      </c>
      <c r="J448" s="8"/>
    </row>
    <row r="449" spans="1:10" x14ac:dyDescent="0.3">
      <c r="A449" s="8" t="s">
        <v>403</v>
      </c>
      <c r="B449" s="8">
        <v>6242</v>
      </c>
      <c r="C449" s="8" t="s">
        <v>1358</v>
      </c>
      <c r="D449" s="8" t="s">
        <v>27</v>
      </c>
      <c r="E449" s="8" t="s">
        <v>241</v>
      </c>
      <c r="F449" s="8" t="s">
        <v>1359</v>
      </c>
      <c r="G449" s="8" t="s">
        <v>15</v>
      </c>
      <c r="H449" s="9">
        <v>45665</v>
      </c>
      <c r="I449" s="8" t="s">
        <v>39</v>
      </c>
      <c r="J449" s="8"/>
    </row>
    <row r="450" spans="1:10" x14ac:dyDescent="0.3">
      <c r="A450" s="8" t="s">
        <v>1186</v>
      </c>
      <c r="B450" s="8">
        <v>41143</v>
      </c>
      <c r="C450" s="8" t="s">
        <v>1360</v>
      </c>
      <c r="D450" s="8" t="s">
        <v>12</v>
      </c>
      <c r="E450" s="8" t="s">
        <v>13</v>
      </c>
      <c r="F450" s="8" t="s">
        <v>1361</v>
      </c>
      <c r="G450" s="8" t="s">
        <v>22</v>
      </c>
      <c r="H450" s="9">
        <v>45802</v>
      </c>
      <c r="I450" s="8" t="s">
        <v>16</v>
      </c>
      <c r="J450" s="8"/>
    </row>
    <row r="451" spans="1:10" x14ac:dyDescent="0.3">
      <c r="A451" s="8" t="s">
        <v>729</v>
      </c>
      <c r="B451" s="8">
        <v>62550</v>
      </c>
      <c r="C451" s="8" t="s">
        <v>1362</v>
      </c>
      <c r="D451" s="8" t="s">
        <v>84</v>
      </c>
      <c r="E451" s="8" t="s">
        <v>201</v>
      </c>
      <c r="F451" s="8" t="s">
        <v>1363</v>
      </c>
      <c r="G451" s="8" t="s">
        <v>15</v>
      </c>
      <c r="H451" s="9">
        <v>45151</v>
      </c>
      <c r="I451" s="8" t="s">
        <v>33</v>
      </c>
      <c r="J451" s="8"/>
    </row>
    <row r="452" spans="1:10" x14ac:dyDescent="0.3">
      <c r="A452" s="8" t="s">
        <v>1364</v>
      </c>
      <c r="B452" s="8">
        <v>25549</v>
      </c>
      <c r="C452" s="8" t="s">
        <v>1365</v>
      </c>
      <c r="D452" s="8" t="s">
        <v>12</v>
      </c>
      <c r="E452" s="8" t="s">
        <v>13</v>
      </c>
      <c r="F452" s="8" t="s">
        <v>1366</v>
      </c>
      <c r="G452" s="8" t="s">
        <v>15</v>
      </c>
      <c r="H452" s="9">
        <v>45542</v>
      </c>
      <c r="I452" s="8" t="s">
        <v>16</v>
      </c>
      <c r="J452" s="8" t="s">
        <v>78</v>
      </c>
    </row>
    <row r="453" spans="1:10" x14ac:dyDescent="0.3">
      <c r="A453" s="8" t="s">
        <v>1367</v>
      </c>
      <c r="B453" s="8">
        <v>6766</v>
      </c>
      <c r="C453" s="8" t="s">
        <v>1368</v>
      </c>
      <c r="D453" s="8" t="s">
        <v>71</v>
      </c>
      <c r="E453" s="8" t="s">
        <v>72</v>
      </c>
      <c r="F453" s="8" t="s">
        <v>1369</v>
      </c>
      <c r="G453" s="8" t="s">
        <v>15</v>
      </c>
      <c r="H453" s="9">
        <v>44901</v>
      </c>
      <c r="I453" s="8" t="s">
        <v>39</v>
      </c>
      <c r="J453" s="8"/>
    </row>
    <row r="454" spans="1:10" x14ac:dyDescent="0.3">
      <c r="A454" s="8" t="s">
        <v>1370</v>
      </c>
      <c r="B454" s="8">
        <v>48738</v>
      </c>
      <c r="C454" s="8" t="s">
        <v>1371</v>
      </c>
      <c r="D454" s="8" t="s">
        <v>71</v>
      </c>
      <c r="E454" s="8" t="s">
        <v>93</v>
      </c>
      <c r="F454" s="8" t="s">
        <v>1372</v>
      </c>
      <c r="G454" s="8" t="s">
        <v>22</v>
      </c>
      <c r="H454" s="9">
        <v>45920</v>
      </c>
      <c r="I454" s="8" t="s">
        <v>39</v>
      </c>
      <c r="J454" s="8"/>
    </row>
    <row r="455" spans="1:10" x14ac:dyDescent="0.3">
      <c r="A455" s="8" t="s">
        <v>1373</v>
      </c>
      <c r="B455" s="8">
        <v>58138</v>
      </c>
      <c r="C455" s="8" t="s">
        <v>1374</v>
      </c>
      <c r="D455" s="8" t="s">
        <v>47</v>
      </c>
      <c r="E455" s="8" t="s">
        <v>112</v>
      </c>
      <c r="F455" s="8" t="s">
        <v>1375</v>
      </c>
      <c r="G455" s="8" t="s">
        <v>15</v>
      </c>
      <c r="H455" s="9">
        <v>45351</v>
      </c>
      <c r="I455" s="8" t="s">
        <v>16</v>
      </c>
      <c r="J455" s="8" t="s">
        <v>78</v>
      </c>
    </row>
    <row r="456" spans="1:10" x14ac:dyDescent="0.3">
      <c r="A456" s="8" t="s">
        <v>1376</v>
      </c>
      <c r="B456" s="8">
        <v>65539</v>
      </c>
      <c r="C456" s="8" t="s">
        <v>1377</v>
      </c>
      <c r="D456" s="8" t="s">
        <v>71</v>
      </c>
      <c r="E456" s="8" t="s">
        <v>536</v>
      </c>
      <c r="F456" s="8" t="s">
        <v>1378</v>
      </c>
      <c r="G456" s="8" t="s">
        <v>22</v>
      </c>
      <c r="H456" s="9">
        <v>45621</v>
      </c>
      <c r="I456" s="8" t="s">
        <v>23</v>
      </c>
      <c r="J456" s="8" t="s">
        <v>78</v>
      </c>
    </row>
    <row r="457" spans="1:10" x14ac:dyDescent="0.3">
      <c r="A457" s="8" t="s">
        <v>1379</v>
      </c>
      <c r="B457" s="8">
        <v>68563</v>
      </c>
      <c r="C457" s="8" t="s">
        <v>1380</v>
      </c>
      <c r="D457" s="8" t="s">
        <v>12</v>
      </c>
      <c r="E457" s="8" t="s">
        <v>138</v>
      </c>
      <c r="F457" s="8" t="s">
        <v>1381</v>
      </c>
      <c r="G457" s="8" t="s">
        <v>15</v>
      </c>
      <c r="H457" s="9">
        <v>45503</v>
      </c>
      <c r="I457" s="8" t="s">
        <v>23</v>
      </c>
      <c r="J457" s="8"/>
    </row>
    <row r="458" spans="1:10" x14ac:dyDescent="0.3">
      <c r="A458" s="8" t="s">
        <v>439</v>
      </c>
      <c r="B458" s="8">
        <v>56141</v>
      </c>
      <c r="C458" s="8" t="s">
        <v>1382</v>
      </c>
      <c r="D458" s="8" t="s">
        <v>71</v>
      </c>
      <c r="E458" s="8" t="s">
        <v>374</v>
      </c>
      <c r="F458" s="8" t="s">
        <v>1383</v>
      </c>
      <c r="G458" s="8" t="s">
        <v>15</v>
      </c>
      <c r="H458" s="9">
        <v>45596</v>
      </c>
      <c r="I458" s="8" t="s">
        <v>16</v>
      </c>
      <c r="J458" s="8"/>
    </row>
    <row r="459" spans="1:10" x14ac:dyDescent="0.3">
      <c r="A459" s="8" t="s">
        <v>1384</v>
      </c>
      <c r="B459" s="8">
        <v>24153</v>
      </c>
      <c r="C459" s="8" t="s">
        <v>1385</v>
      </c>
      <c r="D459" s="8" t="s">
        <v>57</v>
      </c>
      <c r="E459" s="8" t="s">
        <v>312</v>
      </c>
      <c r="F459" s="8" t="s">
        <v>1386</v>
      </c>
      <c r="G459" s="8" t="s">
        <v>15</v>
      </c>
      <c r="H459" s="9">
        <v>45949</v>
      </c>
      <c r="I459" s="8" t="s">
        <v>54</v>
      </c>
      <c r="J459" s="8" t="s">
        <v>17</v>
      </c>
    </row>
    <row r="460" spans="1:10" x14ac:dyDescent="0.3">
      <c r="A460" s="8" t="s">
        <v>1387</v>
      </c>
      <c r="B460" s="8">
        <v>43482</v>
      </c>
      <c r="C460" s="8" t="s">
        <v>1388</v>
      </c>
      <c r="D460" s="8" t="s">
        <v>173</v>
      </c>
      <c r="E460" s="8" t="s">
        <v>398</v>
      </c>
      <c r="F460" s="8" t="s">
        <v>1389</v>
      </c>
      <c r="G460" s="8" t="s">
        <v>22</v>
      </c>
      <c r="H460" s="9">
        <v>44943</v>
      </c>
      <c r="I460" s="8" t="s">
        <v>23</v>
      </c>
      <c r="J460" s="8"/>
    </row>
    <row r="461" spans="1:10" x14ac:dyDescent="0.3">
      <c r="A461" s="8" t="s">
        <v>1390</v>
      </c>
      <c r="B461" s="8">
        <v>94566</v>
      </c>
      <c r="C461" s="8" t="s">
        <v>1391</v>
      </c>
      <c r="D461" s="8" t="s">
        <v>47</v>
      </c>
      <c r="E461" s="8" t="s">
        <v>425</v>
      </c>
      <c r="F461" s="8" t="s">
        <v>1392</v>
      </c>
      <c r="G461" s="8" t="s">
        <v>15</v>
      </c>
      <c r="H461" s="9">
        <v>44936</v>
      </c>
      <c r="I461" s="8" t="s">
        <v>23</v>
      </c>
      <c r="J461" s="8"/>
    </row>
    <row r="462" spans="1:10" x14ac:dyDescent="0.3">
      <c r="A462" s="8" t="s">
        <v>1393</v>
      </c>
      <c r="B462" s="8">
        <v>46578</v>
      </c>
      <c r="C462" s="8" t="s">
        <v>1394</v>
      </c>
      <c r="D462" s="8" t="s">
        <v>173</v>
      </c>
      <c r="E462" s="8" t="s">
        <v>174</v>
      </c>
      <c r="F462" s="8" t="s">
        <v>1395</v>
      </c>
      <c r="G462" s="8" t="s">
        <v>22</v>
      </c>
      <c r="H462" s="9">
        <v>45573</v>
      </c>
      <c r="I462" s="8" t="s">
        <v>33</v>
      </c>
      <c r="J462" s="8" t="s">
        <v>17</v>
      </c>
    </row>
    <row r="463" spans="1:10" x14ac:dyDescent="0.3">
      <c r="A463" s="8" t="s">
        <v>1396</v>
      </c>
      <c r="B463" s="8">
        <v>46711</v>
      </c>
      <c r="C463" s="8" t="s">
        <v>1397</v>
      </c>
      <c r="D463" s="8" t="s">
        <v>71</v>
      </c>
      <c r="E463" s="8" t="s">
        <v>536</v>
      </c>
      <c r="F463" s="8" t="s">
        <v>1398</v>
      </c>
      <c r="G463" s="8" t="s">
        <v>22</v>
      </c>
      <c r="H463" s="9">
        <v>45849</v>
      </c>
      <c r="I463" s="8" t="s">
        <v>39</v>
      </c>
      <c r="J463" s="8" t="s">
        <v>17</v>
      </c>
    </row>
    <row r="464" spans="1:10" x14ac:dyDescent="0.3">
      <c r="A464" s="8" t="s">
        <v>1399</v>
      </c>
      <c r="B464" s="8">
        <v>8019</v>
      </c>
      <c r="C464" s="8" t="s">
        <v>1400</v>
      </c>
      <c r="D464" s="8" t="s">
        <v>12</v>
      </c>
      <c r="E464" s="8" t="s">
        <v>20</v>
      </c>
      <c r="F464" s="8" t="s">
        <v>1401</v>
      </c>
      <c r="G464" s="8" t="s">
        <v>15</v>
      </c>
      <c r="H464" s="9">
        <v>45589</v>
      </c>
      <c r="I464" s="8" t="s">
        <v>54</v>
      </c>
      <c r="J464" s="8" t="s">
        <v>78</v>
      </c>
    </row>
    <row r="465" spans="1:10" x14ac:dyDescent="0.3">
      <c r="A465" s="8" t="s">
        <v>336</v>
      </c>
      <c r="B465" s="8">
        <v>48120</v>
      </c>
      <c r="C465" s="8" t="s">
        <v>1402</v>
      </c>
      <c r="D465" s="8" t="s">
        <v>173</v>
      </c>
      <c r="E465" s="8" t="s">
        <v>270</v>
      </c>
      <c r="F465" s="8" t="s">
        <v>1403</v>
      </c>
      <c r="G465" s="8" t="s">
        <v>15</v>
      </c>
      <c r="H465" s="9">
        <v>45730</v>
      </c>
      <c r="I465" s="8" t="s">
        <v>33</v>
      </c>
      <c r="J465" s="8"/>
    </row>
    <row r="466" spans="1:10" x14ac:dyDescent="0.3">
      <c r="A466" s="8" t="s">
        <v>1404</v>
      </c>
      <c r="B466" s="8">
        <v>80136</v>
      </c>
      <c r="C466" s="8" t="s">
        <v>1405</v>
      </c>
      <c r="D466" s="8" t="s">
        <v>57</v>
      </c>
      <c r="E466" s="8" t="s">
        <v>223</v>
      </c>
      <c r="F466" s="8" t="s">
        <v>1406</v>
      </c>
      <c r="G466" s="8" t="s">
        <v>22</v>
      </c>
      <c r="H466" s="9">
        <v>45004</v>
      </c>
      <c r="I466" s="8" t="s">
        <v>33</v>
      </c>
      <c r="J466" s="8"/>
    </row>
    <row r="467" spans="1:10" x14ac:dyDescent="0.3">
      <c r="A467" s="8" t="s">
        <v>1407</v>
      </c>
      <c r="B467" s="8">
        <v>31433</v>
      </c>
      <c r="C467" s="8" t="s">
        <v>1408</v>
      </c>
      <c r="D467" s="8" t="s">
        <v>62</v>
      </c>
      <c r="E467" s="8" t="s">
        <v>154</v>
      </c>
      <c r="F467" s="8" t="s">
        <v>1409</v>
      </c>
      <c r="G467" s="8" t="s">
        <v>15</v>
      </c>
      <c r="H467" s="9">
        <v>45500</v>
      </c>
      <c r="I467" s="8" t="s">
        <v>39</v>
      </c>
      <c r="J467" s="8"/>
    </row>
    <row r="468" spans="1:10" x14ac:dyDescent="0.3">
      <c r="A468" s="8" t="s">
        <v>1410</v>
      </c>
      <c r="B468" s="8">
        <v>4745</v>
      </c>
      <c r="C468" s="8" t="s">
        <v>1411</v>
      </c>
      <c r="D468" s="8" t="s">
        <v>47</v>
      </c>
      <c r="E468" s="8" t="s">
        <v>575</v>
      </c>
      <c r="F468" s="8" t="s">
        <v>1412</v>
      </c>
      <c r="G468" s="8" t="s">
        <v>22</v>
      </c>
      <c r="H468" s="9">
        <v>45961</v>
      </c>
      <c r="I468" s="8" t="s">
        <v>16</v>
      </c>
      <c r="J468" s="8" t="s">
        <v>95</v>
      </c>
    </row>
    <row r="469" spans="1:10" x14ac:dyDescent="0.3">
      <c r="A469" s="8" t="s">
        <v>1413</v>
      </c>
      <c r="B469" s="8">
        <v>49261</v>
      </c>
      <c r="C469" s="8" t="s">
        <v>1414</v>
      </c>
      <c r="D469" s="8" t="s">
        <v>62</v>
      </c>
      <c r="E469" s="8" t="s">
        <v>510</v>
      </c>
      <c r="F469" s="8" t="s">
        <v>1415</v>
      </c>
      <c r="G469" s="8" t="s">
        <v>22</v>
      </c>
      <c r="H469" s="9">
        <v>45052</v>
      </c>
      <c r="I469" s="8" t="s">
        <v>33</v>
      </c>
      <c r="J469" s="8" t="s">
        <v>17</v>
      </c>
    </row>
    <row r="470" spans="1:10" x14ac:dyDescent="0.3">
      <c r="A470" s="8" t="s">
        <v>1416</v>
      </c>
      <c r="B470" s="8">
        <v>18548</v>
      </c>
      <c r="C470" s="8" t="s">
        <v>1417</v>
      </c>
      <c r="D470" s="8" t="s">
        <v>57</v>
      </c>
      <c r="E470" s="8" t="s">
        <v>223</v>
      </c>
      <c r="F470" s="8" t="s">
        <v>1418</v>
      </c>
      <c r="G470" s="8" t="s">
        <v>22</v>
      </c>
      <c r="H470" s="9">
        <v>44925</v>
      </c>
      <c r="I470" s="8" t="s">
        <v>39</v>
      </c>
      <c r="J470" s="8"/>
    </row>
    <row r="471" spans="1:10" x14ac:dyDescent="0.3">
      <c r="A471" s="8" t="s">
        <v>1419</v>
      </c>
      <c r="B471" s="8">
        <v>37029</v>
      </c>
      <c r="C471" s="8" t="s">
        <v>1420</v>
      </c>
      <c r="D471" s="8" t="s">
        <v>12</v>
      </c>
      <c r="E471" s="8" t="s">
        <v>138</v>
      </c>
      <c r="F471" s="8" t="s">
        <v>1421</v>
      </c>
      <c r="G471" s="8" t="s">
        <v>22</v>
      </c>
      <c r="H471" s="9">
        <v>45549</v>
      </c>
      <c r="I471" s="8" t="s">
        <v>33</v>
      </c>
      <c r="J471" s="8"/>
    </row>
    <row r="472" spans="1:10" x14ac:dyDescent="0.3">
      <c r="A472" s="8" t="s">
        <v>10</v>
      </c>
      <c r="B472" s="8">
        <v>96927</v>
      </c>
      <c r="C472" s="8" t="s">
        <v>1422</v>
      </c>
      <c r="D472" s="8" t="s">
        <v>12</v>
      </c>
      <c r="E472" s="8" t="s">
        <v>13</v>
      </c>
      <c r="F472" s="8" t="s">
        <v>1423</v>
      </c>
      <c r="G472" s="8" t="s">
        <v>22</v>
      </c>
      <c r="H472" s="9">
        <v>45088</v>
      </c>
      <c r="I472" s="8" t="s">
        <v>39</v>
      </c>
      <c r="J472" s="8"/>
    </row>
    <row r="473" spans="1:10" x14ac:dyDescent="0.3">
      <c r="A473" s="8" t="s">
        <v>1424</v>
      </c>
      <c r="B473" s="8">
        <v>74120</v>
      </c>
      <c r="C473" s="8" t="s">
        <v>1425</v>
      </c>
      <c r="D473" s="8" t="s">
        <v>62</v>
      </c>
      <c r="E473" s="8" t="s">
        <v>510</v>
      </c>
      <c r="F473" s="8" t="s">
        <v>1426</v>
      </c>
      <c r="G473" s="8" t="s">
        <v>22</v>
      </c>
      <c r="H473" s="9">
        <v>45208</v>
      </c>
      <c r="I473" s="8" t="s">
        <v>33</v>
      </c>
      <c r="J473" s="8"/>
    </row>
    <row r="474" spans="1:10" x14ac:dyDescent="0.3">
      <c r="A474" s="8" t="s">
        <v>1427</v>
      </c>
      <c r="B474" s="8">
        <v>92780</v>
      </c>
      <c r="C474" s="8" t="s">
        <v>1428</v>
      </c>
      <c r="D474" s="8" t="s">
        <v>173</v>
      </c>
      <c r="E474" s="8" t="s">
        <v>270</v>
      </c>
      <c r="F474" s="8" t="s">
        <v>1429</v>
      </c>
      <c r="G474" s="8" t="s">
        <v>22</v>
      </c>
      <c r="H474" s="9">
        <v>45886</v>
      </c>
      <c r="I474" s="8" t="s">
        <v>54</v>
      </c>
      <c r="J474" s="8"/>
    </row>
    <row r="475" spans="1:10" x14ac:dyDescent="0.3">
      <c r="A475" s="8" t="s">
        <v>1430</v>
      </c>
      <c r="B475" s="8">
        <v>37932</v>
      </c>
      <c r="C475" s="8" t="s">
        <v>1431</v>
      </c>
      <c r="D475" s="8" t="s">
        <v>71</v>
      </c>
      <c r="E475" s="8" t="s">
        <v>277</v>
      </c>
      <c r="F475" s="8" t="s">
        <v>1432</v>
      </c>
      <c r="G475" s="8" t="s">
        <v>22</v>
      </c>
      <c r="H475" s="9">
        <v>45040</v>
      </c>
      <c r="I475" s="8" t="s">
        <v>16</v>
      </c>
      <c r="J475" s="8"/>
    </row>
    <row r="476" spans="1:10" x14ac:dyDescent="0.3">
      <c r="A476" s="8" t="s">
        <v>1433</v>
      </c>
      <c r="B476" s="8">
        <v>10207</v>
      </c>
      <c r="C476" s="8" t="s">
        <v>1434</v>
      </c>
      <c r="D476" s="8" t="s">
        <v>57</v>
      </c>
      <c r="E476" s="8" t="s">
        <v>58</v>
      </c>
      <c r="F476" s="8" t="s">
        <v>1435</v>
      </c>
      <c r="G476" s="8" t="s">
        <v>15</v>
      </c>
      <c r="H476" s="9">
        <v>44909</v>
      </c>
      <c r="I476" s="8" t="s">
        <v>39</v>
      </c>
      <c r="J476" s="8" t="s">
        <v>24</v>
      </c>
    </row>
    <row r="477" spans="1:10" x14ac:dyDescent="0.3">
      <c r="A477" s="8" t="s">
        <v>1436</v>
      </c>
      <c r="B477" s="8">
        <v>58842</v>
      </c>
      <c r="C477" s="8" t="s">
        <v>1437</v>
      </c>
      <c r="D477" s="8" t="s">
        <v>62</v>
      </c>
      <c r="E477" s="8" t="s">
        <v>316</v>
      </c>
      <c r="F477" s="8" t="s">
        <v>1438</v>
      </c>
      <c r="G477" s="8" t="s">
        <v>22</v>
      </c>
      <c r="H477" s="9">
        <v>45677</v>
      </c>
      <c r="I477" s="8" t="s">
        <v>23</v>
      </c>
      <c r="J477" s="8" t="s">
        <v>17</v>
      </c>
    </row>
    <row r="478" spans="1:10" x14ac:dyDescent="0.3">
      <c r="A478" s="8" t="s">
        <v>1439</v>
      </c>
      <c r="B478" s="8">
        <v>42390</v>
      </c>
      <c r="C478" s="8" t="s">
        <v>1440</v>
      </c>
      <c r="D478" s="8" t="s">
        <v>84</v>
      </c>
      <c r="E478" s="8" t="s">
        <v>119</v>
      </c>
      <c r="F478" s="8" t="s">
        <v>1441</v>
      </c>
      <c r="G478" s="8" t="s">
        <v>22</v>
      </c>
      <c r="H478" s="9">
        <v>45646</v>
      </c>
      <c r="I478" s="8" t="s">
        <v>23</v>
      </c>
      <c r="J478" s="8"/>
    </row>
    <row r="479" spans="1:10" x14ac:dyDescent="0.3">
      <c r="A479" s="8" t="s">
        <v>1442</v>
      </c>
      <c r="B479" s="8">
        <v>71564</v>
      </c>
      <c r="C479" s="8" t="s">
        <v>1443</v>
      </c>
      <c r="D479" s="8" t="s">
        <v>47</v>
      </c>
      <c r="E479" s="8" t="s">
        <v>112</v>
      </c>
      <c r="F479" s="8" t="s">
        <v>1444</v>
      </c>
      <c r="G479" s="8" t="s">
        <v>15</v>
      </c>
      <c r="H479" s="9">
        <v>45562</v>
      </c>
      <c r="I479" s="8" t="s">
        <v>54</v>
      </c>
      <c r="J479" s="8" t="s">
        <v>17</v>
      </c>
    </row>
    <row r="480" spans="1:10" x14ac:dyDescent="0.3">
      <c r="A480" s="8" t="s">
        <v>501</v>
      </c>
      <c r="B480" s="8">
        <v>21145</v>
      </c>
      <c r="C480" s="8" t="s">
        <v>1445</v>
      </c>
      <c r="D480" s="8" t="s">
        <v>42</v>
      </c>
      <c r="E480" s="8" t="s">
        <v>503</v>
      </c>
      <c r="F480" s="8" t="s">
        <v>1446</v>
      </c>
      <c r="G480" s="8" t="s">
        <v>22</v>
      </c>
      <c r="H480" s="9">
        <v>45189</v>
      </c>
      <c r="I480" s="8" t="s">
        <v>16</v>
      </c>
      <c r="J480" s="8"/>
    </row>
    <row r="481" spans="1:10" x14ac:dyDescent="0.3">
      <c r="A481" s="8" t="s">
        <v>1447</v>
      </c>
      <c r="B481" s="8">
        <v>29892</v>
      </c>
      <c r="C481" s="8" t="s">
        <v>1448</v>
      </c>
      <c r="D481" s="8" t="s">
        <v>27</v>
      </c>
      <c r="E481" s="8" t="s">
        <v>241</v>
      </c>
      <c r="F481" s="8" t="s">
        <v>1449</v>
      </c>
      <c r="G481" s="8" t="s">
        <v>15</v>
      </c>
      <c r="H481" s="9">
        <v>45097</v>
      </c>
      <c r="I481" s="8" t="s">
        <v>23</v>
      </c>
      <c r="J481" s="8" t="s">
        <v>95</v>
      </c>
    </row>
    <row r="482" spans="1:10" x14ac:dyDescent="0.3">
      <c r="A482" s="8" t="s">
        <v>1450</v>
      </c>
      <c r="B482" s="8">
        <v>18703</v>
      </c>
      <c r="C482" s="8" t="s">
        <v>1451</v>
      </c>
      <c r="D482" s="8" t="s">
        <v>47</v>
      </c>
      <c r="E482" s="8" t="s">
        <v>112</v>
      </c>
      <c r="F482" s="8" t="s">
        <v>1452</v>
      </c>
      <c r="G482" s="8" t="s">
        <v>22</v>
      </c>
      <c r="H482" s="9">
        <v>45963</v>
      </c>
      <c r="I482" s="8" t="s">
        <v>23</v>
      </c>
      <c r="J482" s="8" t="s">
        <v>50</v>
      </c>
    </row>
    <row r="483" spans="1:10" x14ac:dyDescent="0.3">
      <c r="A483" s="8" t="s">
        <v>1453</v>
      </c>
      <c r="B483" s="8">
        <v>47804</v>
      </c>
      <c r="C483" s="8" t="s">
        <v>1454</v>
      </c>
      <c r="D483" s="8" t="s">
        <v>12</v>
      </c>
      <c r="E483" s="8" t="s">
        <v>166</v>
      </c>
      <c r="F483" s="8" t="s">
        <v>1455</v>
      </c>
      <c r="G483" s="8" t="s">
        <v>22</v>
      </c>
      <c r="H483" s="9">
        <v>45623</v>
      </c>
      <c r="I483" s="8" t="s">
        <v>54</v>
      </c>
      <c r="J483" s="8"/>
    </row>
    <row r="484" spans="1:10" x14ac:dyDescent="0.3">
      <c r="A484" s="8" t="s">
        <v>1456</v>
      </c>
      <c r="B484" s="8">
        <v>17510</v>
      </c>
      <c r="C484" s="8" t="s">
        <v>1457</v>
      </c>
      <c r="D484" s="8" t="s">
        <v>47</v>
      </c>
      <c r="E484" s="8" t="s">
        <v>181</v>
      </c>
      <c r="F484" s="8" t="s">
        <v>1458</v>
      </c>
      <c r="G484" s="8" t="s">
        <v>15</v>
      </c>
      <c r="H484" s="9">
        <v>45246</v>
      </c>
      <c r="I484" s="8" t="s">
        <v>16</v>
      </c>
      <c r="J484" s="8" t="s">
        <v>17</v>
      </c>
    </row>
    <row r="485" spans="1:10" x14ac:dyDescent="0.3">
      <c r="A485" s="8" t="s">
        <v>1459</v>
      </c>
      <c r="B485" s="8">
        <v>94470</v>
      </c>
      <c r="C485" s="8" t="s">
        <v>1460</v>
      </c>
      <c r="D485" s="8" t="s">
        <v>27</v>
      </c>
      <c r="E485" s="8" t="s">
        <v>98</v>
      </c>
      <c r="F485" s="8" t="s">
        <v>1461</v>
      </c>
      <c r="G485" s="8" t="s">
        <v>15</v>
      </c>
      <c r="H485" s="9">
        <v>45179</v>
      </c>
      <c r="I485" s="8" t="s">
        <v>33</v>
      </c>
      <c r="J485" s="8" t="s">
        <v>50</v>
      </c>
    </row>
    <row r="486" spans="1:10" x14ac:dyDescent="0.3">
      <c r="A486" s="8" t="s">
        <v>1462</v>
      </c>
      <c r="B486" s="8">
        <v>54166</v>
      </c>
      <c r="C486" s="8" t="s">
        <v>1463</v>
      </c>
      <c r="D486" s="8" t="s">
        <v>27</v>
      </c>
      <c r="E486" s="8" t="s">
        <v>28</v>
      </c>
      <c r="F486" s="8" t="s">
        <v>1464</v>
      </c>
      <c r="G486" s="8" t="s">
        <v>22</v>
      </c>
      <c r="H486" s="9">
        <v>45250</v>
      </c>
      <c r="I486" s="8" t="s">
        <v>33</v>
      </c>
      <c r="J486" s="8" t="s">
        <v>78</v>
      </c>
    </row>
    <row r="487" spans="1:10" x14ac:dyDescent="0.3">
      <c r="A487" s="8" t="s">
        <v>1465</v>
      </c>
      <c r="B487" s="8">
        <v>84693</v>
      </c>
      <c r="C487" s="8" t="s">
        <v>1466</v>
      </c>
      <c r="D487" s="8" t="s">
        <v>62</v>
      </c>
      <c r="E487" s="8" t="s">
        <v>154</v>
      </c>
      <c r="F487" s="8" t="s">
        <v>1467</v>
      </c>
      <c r="G487" s="8" t="s">
        <v>15</v>
      </c>
      <c r="H487" s="9">
        <v>45546</v>
      </c>
      <c r="I487" s="8" t="s">
        <v>54</v>
      </c>
      <c r="J487" s="8" t="s">
        <v>95</v>
      </c>
    </row>
    <row r="488" spans="1:10" x14ac:dyDescent="0.3">
      <c r="A488" s="8" t="s">
        <v>69</v>
      </c>
      <c r="B488" s="8">
        <v>68312</v>
      </c>
      <c r="C488" s="8" t="s">
        <v>1468</v>
      </c>
      <c r="D488" s="8" t="s">
        <v>71</v>
      </c>
      <c r="E488" s="8" t="s">
        <v>72</v>
      </c>
      <c r="F488" s="8" t="s">
        <v>1469</v>
      </c>
      <c r="G488" s="8" t="s">
        <v>15</v>
      </c>
      <c r="H488" s="9">
        <v>45210</v>
      </c>
      <c r="I488" s="8" t="s">
        <v>16</v>
      </c>
      <c r="J488" s="8"/>
    </row>
    <row r="489" spans="1:10" x14ac:dyDescent="0.3">
      <c r="A489" s="8" t="s">
        <v>272</v>
      </c>
      <c r="B489" s="8">
        <v>72761</v>
      </c>
      <c r="C489" s="8" t="s">
        <v>1470</v>
      </c>
      <c r="D489" s="8" t="s">
        <v>173</v>
      </c>
      <c r="E489" s="8" t="s">
        <v>270</v>
      </c>
      <c r="F489" s="8" t="s">
        <v>1471</v>
      </c>
      <c r="G489" s="8" t="s">
        <v>15</v>
      </c>
      <c r="H489" s="9">
        <v>45943</v>
      </c>
      <c r="I489" s="8" t="s">
        <v>33</v>
      </c>
      <c r="J489" s="8" t="s">
        <v>24</v>
      </c>
    </row>
    <row r="490" spans="1:10" x14ac:dyDescent="0.3">
      <c r="A490" s="8" t="s">
        <v>1472</v>
      </c>
      <c r="B490" s="8">
        <v>57205</v>
      </c>
      <c r="C490" s="8" t="s">
        <v>1473</v>
      </c>
      <c r="D490" s="8" t="s">
        <v>57</v>
      </c>
      <c r="E490" s="8" t="s">
        <v>252</v>
      </c>
      <c r="F490" s="8" t="s">
        <v>1474</v>
      </c>
      <c r="G490" s="8" t="s">
        <v>22</v>
      </c>
      <c r="H490" s="9">
        <v>45177</v>
      </c>
      <c r="I490" s="8" t="s">
        <v>54</v>
      </c>
      <c r="J490" s="8" t="s">
        <v>78</v>
      </c>
    </row>
    <row r="491" spans="1:10" x14ac:dyDescent="0.3">
      <c r="A491" s="8" t="s">
        <v>1475</v>
      </c>
      <c r="B491" s="8">
        <v>20557</v>
      </c>
      <c r="C491" s="8" t="s">
        <v>1476</v>
      </c>
      <c r="D491" s="8" t="s">
        <v>84</v>
      </c>
      <c r="E491" s="8" t="s">
        <v>119</v>
      </c>
      <c r="F491" s="8" t="s">
        <v>1477</v>
      </c>
      <c r="G491" s="8" t="s">
        <v>15</v>
      </c>
      <c r="H491" s="9">
        <v>44895</v>
      </c>
      <c r="I491" s="8" t="s">
        <v>16</v>
      </c>
      <c r="J491" s="8"/>
    </row>
    <row r="492" spans="1:10" x14ac:dyDescent="0.3">
      <c r="A492" s="8" t="s">
        <v>1478</v>
      </c>
      <c r="B492" s="8">
        <v>93474</v>
      </c>
      <c r="C492" s="8" t="s">
        <v>1479</v>
      </c>
      <c r="D492" s="8" t="s">
        <v>42</v>
      </c>
      <c r="E492" s="8" t="s">
        <v>108</v>
      </c>
      <c r="F492" s="8" t="s">
        <v>1480</v>
      </c>
      <c r="G492" s="8" t="s">
        <v>22</v>
      </c>
      <c r="H492" s="9">
        <v>45954</v>
      </c>
      <c r="I492" s="8" t="s">
        <v>16</v>
      </c>
      <c r="J492" s="8"/>
    </row>
    <row r="493" spans="1:10" x14ac:dyDescent="0.3">
      <c r="A493" s="8" t="s">
        <v>1481</v>
      </c>
      <c r="B493" s="8">
        <v>37731</v>
      </c>
      <c r="C493" s="8" t="s">
        <v>1482</v>
      </c>
      <c r="D493" s="8" t="s">
        <v>47</v>
      </c>
      <c r="E493" s="8" t="s">
        <v>112</v>
      </c>
      <c r="F493" s="8" t="s">
        <v>1483</v>
      </c>
      <c r="G493" s="8" t="s">
        <v>22</v>
      </c>
      <c r="H493" s="9">
        <v>45087</v>
      </c>
      <c r="I493" s="8" t="s">
        <v>23</v>
      </c>
      <c r="J493" s="8" t="s">
        <v>50</v>
      </c>
    </row>
    <row r="494" spans="1:10" x14ac:dyDescent="0.3">
      <c r="A494" s="8" t="s">
        <v>1484</v>
      </c>
      <c r="B494" s="8">
        <v>72700</v>
      </c>
      <c r="C494" s="8" t="s">
        <v>1485</v>
      </c>
      <c r="D494" s="8" t="s">
        <v>173</v>
      </c>
      <c r="E494" s="8" t="s">
        <v>174</v>
      </c>
      <c r="F494" s="8" t="s">
        <v>1486</v>
      </c>
      <c r="G494" s="8" t="s">
        <v>22</v>
      </c>
      <c r="H494" s="9">
        <v>45587</v>
      </c>
      <c r="I494" s="8" t="s">
        <v>16</v>
      </c>
      <c r="J494" s="8" t="s">
        <v>24</v>
      </c>
    </row>
    <row r="495" spans="1:10" x14ac:dyDescent="0.3">
      <c r="A495" s="8" t="s">
        <v>602</v>
      </c>
      <c r="B495" s="8">
        <v>81035</v>
      </c>
      <c r="C495" s="8" t="s">
        <v>1487</v>
      </c>
      <c r="D495" s="8" t="s">
        <v>47</v>
      </c>
      <c r="E495" s="8" t="s">
        <v>181</v>
      </c>
      <c r="F495" s="8" t="s">
        <v>1488</v>
      </c>
      <c r="G495" s="8" t="s">
        <v>22</v>
      </c>
      <c r="H495" s="9">
        <v>45044</v>
      </c>
      <c r="I495" s="8" t="s">
        <v>16</v>
      </c>
      <c r="J495" s="8" t="s">
        <v>24</v>
      </c>
    </row>
    <row r="496" spans="1:10" x14ac:dyDescent="0.3">
      <c r="A496" s="8" t="s">
        <v>760</v>
      </c>
      <c r="B496" s="8">
        <v>78070</v>
      </c>
      <c r="C496" s="8" t="s">
        <v>1489</v>
      </c>
      <c r="D496" s="8" t="s">
        <v>47</v>
      </c>
      <c r="E496" s="8" t="s">
        <v>112</v>
      </c>
      <c r="F496" s="8" t="s">
        <v>1490</v>
      </c>
      <c r="G496" s="8" t="s">
        <v>15</v>
      </c>
      <c r="H496" s="9">
        <v>45124</v>
      </c>
      <c r="I496" s="8" t="s">
        <v>16</v>
      </c>
      <c r="J496" s="8"/>
    </row>
    <row r="497" spans="1:10" x14ac:dyDescent="0.3">
      <c r="A497" s="8" t="s">
        <v>1491</v>
      </c>
      <c r="B497" s="8">
        <v>94955</v>
      </c>
      <c r="C497" s="8" t="s">
        <v>1492</v>
      </c>
      <c r="D497" s="8" t="s">
        <v>84</v>
      </c>
      <c r="E497" s="8" t="s">
        <v>119</v>
      </c>
      <c r="F497" s="8" t="s">
        <v>1493</v>
      </c>
      <c r="G497" s="8" t="s">
        <v>15</v>
      </c>
      <c r="H497" s="9">
        <v>45811</v>
      </c>
      <c r="I497" s="8" t="s">
        <v>16</v>
      </c>
      <c r="J497" s="8" t="s">
        <v>78</v>
      </c>
    </row>
    <row r="498" spans="1:10" x14ac:dyDescent="0.3">
      <c r="A498" s="8" t="s">
        <v>1494</v>
      </c>
      <c r="B498" s="8">
        <v>5900</v>
      </c>
      <c r="C498" s="8" t="s">
        <v>1495</v>
      </c>
      <c r="D498" s="8" t="s">
        <v>71</v>
      </c>
      <c r="E498" s="8" t="s">
        <v>374</v>
      </c>
      <c r="F498" s="8" t="s">
        <v>1496</v>
      </c>
      <c r="G498" s="8" t="s">
        <v>22</v>
      </c>
      <c r="H498" s="9">
        <v>45422</v>
      </c>
      <c r="I498" s="8" t="s">
        <v>54</v>
      </c>
      <c r="J498" s="8"/>
    </row>
    <row r="499" spans="1:10" x14ac:dyDescent="0.3">
      <c r="A499" s="8" t="s">
        <v>146</v>
      </c>
      <c r="B499" s="8">
        <v>76099</v>
      </c>
      <c r="C499" s="8" t="s">
        <v>1497</v>
      </c>
      <c r="D499" s="8" t="s">
        <v>27</v>
      </c>
      <c r="E499" s="8" t="s">
        <v>98</v>
      </c>
      <c r="F499" s="8" t="s">
        <v>1498</v>
      </c>
      <c r="G499" s="8" t="s">
        <v>15</v>
      </c>
      <c r="H499" s="9">
        <v>45220</v>
      </c>
      <c r="I499" s="8" t="s">
        <v>54</v>
      </c>
      <c r="J499" s="8" t="s">
        <v>95</v>
      </c>
    </row>
    <row r="500" spans="1:10" x14ac:dyDescent="0.3">
      <c r="A500" s="8" t="s">
        <v>1499</v>
      </c>
      <c r="B500" s="8">
        <v>75492</v>
      </c>
      <c r="C500" s="8" t="s">
        <v>1500</v>
      </c>
      <c r="D500" s="8" t="s">
        <v>42</v>
      </c>
      <c r="E500" s="8" t="s">
        <v>43</v>
      </c>
      <c r="F500" s="8" t="s">
        <v>1501</v>
      </c>
      <c r="G500" s="8" t="s">
        <v>15</v>
      </c>
      <c r="H500" s="9">
        <v>45839</v>
      </c>
      <c r="I500" s="8" t="s">
        <v>33</v>
      </c>
      <c r="J500" s="8" t="s">
        <v>78</v>
      </c>
    </row>
    <row r="501" spans="1:10" x14ac:dyDescent="0.3">
      <c r="A501" s="8" t="s">
        <v>1502</v>
      </c>
      <c r="B501" s="8">
        <v>65779</v>
      </c>
      <c r="C501" s="8" t="s">
        <v>1503</v>
      </c>
      <c r="D501" s="8" t="s">
        <v>36</v>
      </c>
      <c r="E501" s="8" t="s">
        <v>37</v>
      </c>
      <c r="F501" s="8" t="s">
        <v>1504</v>
      </c>
      <c r="G501" s="8" t="s">
        <v>22</v>
      </c>
      <c r="H501" s="9">
        <v>45625</v>
      </c>
      <c r="I501" s="8" t="s">
        <v>23</v>
      </c>
      <c r="J501"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5DC9-7744-4CA2-9CAC-B65E5F8A186B}">
  <dimension ref="A1:R501"/>
  <sheetViews>
    <sheetView zoomScale="70" zoomScaleNormal="70" workbookViewId="0">
      <selection activeCell="K11" sqref="K11"/>
    </sheetView>
  </sheetViews>
  <sheetFormatPr defaultRowHeight="14.4" x14ac:dyDescent="0.3"/>
  <cols>
    <col min="1" max="1" width="36.88671875" bestFit="1" customWidth="1"/>
    <col min="2" max="2" width="10.6640625" bestFit="1" customWidth="1"/>
    <col min="3" max="3" width="14.33203125" bestFit="1" customWidth="1"/>
    <col min="4" max="4" width="8.33203125" bestFit="1" customWidth="1"/>
    <col min="5" max="5" width="12.109375" bestFit="1" customWidth="1"/>
    <col min="6" max="6" width="10.88671875" bestFit="1" customWidth="1"/>
    <col min="7" max="7" width="7.21875" bestFit="1" customWidth="1"/>
    <col min="8" max="8" width="15.5546875" bestFit="1" customWidth="1"/>
    <col min="9" max="9" width="13.109375" bestFit="1" customWidth="1"/>
    <col min="10" max="10" width="24.21875" bestFit="1" customWidth="1"/>
    <col min="11" max="11" width="14.109375" bestFit="1" customWidth="1"/>
    <col min="12" max="12" width="9.5546875" bestFit="1" customWidth="1"/>
    <col min="13" max="13" width="33.44140625" bestFit="1" customWidth="1"/>
    <col min="14" max="14" width="12.44140625" bestFit="1" customWidth="1"/>
    <col min="15" max="15" width="13.21875" bestFit="1" customWidth="1"/>
    <col min="16" max="16" width="10.21875" bestFit="1" customWidth="1"/>
    <col min="17" max="17" width="8.109375" bestFit="1" customWidth="1"/>
    <col min="18" max="18" width="10.109375" bestFit="1" customWidth="1"/>
  </cols>
  <sheetData>
    <row r="1" spans="1:18" x14ac:dyDescent="0.3">
      <c r="A1" t="s">
        <v>0</v>
      </c>
      <c r="B1" t="s">
        <v>1</v>
      </c>
      <c r="C1" t="s">
        <v>2</v>
      </c>
      <c r="D1" t="s">
        <v>3</v>
      </c>
      <c r="E1" t="s">
        <v>4</v>
      </c>
      <c r="F1" t="s">
        <v>5</v>
      </c>
      <c r="G1" t="s">
        <v>6</v>
      </c>
      <c r="H1" t="s">
        <v>7</v>
      </c>
      <c r="I1" t="s">
        <v>8</v>
      </c>
      <c r="J1" t="s">
        <v>9</v>
      </c>
      <c r="K1" t="s">
        <v>1505</v>
      </c>
      <c r="L1" t="s">
        <v>1506</v>
      </c>
      <c r="M1" t="s">
        <v>1507</v>
      </c>
      <c r="N1" t="s">
        <v>1508</v>
      </c>
      <c r="O1" t="s">
        <v>1509</v>
      </c>
      <c r="P1" t="s">
        <v>1510</v>
      </c>
      <c r="Q1" t="s">
        <v>1511</v>
      </c>
      <c r="R1" t="s">
        <v>1512</v>
      </c>
    </row>
    <row r="2" spans="1:18" x14ac:dyDescent="0.3">
      <c r="A2" t="s">
        <v>10</v>
      </c>
      <c r="B2" t="s">
        <v>1513</v>
      </c>
      <c r="C2" t="s">
        <v>11</v>
      </c>
      <c r="D2" t="s">
        <v>12</v>
      </c>
      <c r="E2" t="s">
        <v>13</v>
      </c>
      <c r="F2" t="s">
        <v>14</v>
      </c>
      <c r="G2" t="s">
        <v>15</v>
      </c>
      <c r="H2" s="13">
        <v>45482</v>
      </c>
      <c r="I2" t="s">
        <v>16</v>
      </c>
      <c r="J2" t="s">
        <v>17</v>
      </c>
      <c r="K2" t="s">
        <v>1514</v>
      </c>
      <c r="L2" t="s">
        <v>1514</v>
      </c>
      <c r="M2" t="s">
        <v>1515</v>
      </c>
      <c r="N2" t="s">
        <v>1516</v>
      </c>
      <c r="O2" t="s">
        <v>13</v>
      </c>
      <c r="P2" t="s">
        <v>1517</v>
      </c>
      <c r="Q2" t="s">
        <v>1518</v>
      </c>
      <c r="R2">
        <v>1</v>
      </c>
    </row>
    <row r="3" spans="1:18" x14ac:dyDescent="0.3">
      <c r="A3" t="s">
        <v>18</v>
      </c>
      <c r="B3" t="s">
        <v>1519</v>
      </c>
      <c r="C3" t="s">
        <v>19</v>
      </c>
      <c r="D3" t="s">
        <v>12</v>
      </c>
      <c r="E3" t="s">
        <v>20</v>
      </c>
      <c r="F3" t="s">
        <v>21</v>
      </c>
      <c r="G3" t="s">
        <v>22</v>
      </c>
      <c r="H3" s="13">
        <v>45242</v>
      </c>
      <c r="I3" t="s">
        <v>23</v>
      </c>
      <c r="J3" t="s">
        <v>24</v>
      </c>
      <c r="K3" t="s">
        <v>1514</v>
      </c>
      <c r="L3" t="s">
        <v>1514</v>
      </c>
      <c r="M3" t="s">
        <v>1520</v>
      </c>
      <c r="N3" t="s">
        <v>1514</v>
      </c>
      <c r="O3" t="s">
        <v>20</v>
      </c>
      <c r="P3" t="s">
        <v>1517</v>
      </c>
      <c r="Q3" t="s">
        <v>1514</v>
      </c>
      <c r="R3">
        <v>0</v>
      </c>
    </row>
    <row r="4" spans="1:18" x14ac:dyDescent="0.3">
      <c r="A4" t="s">
        <v>25</v>
      </c>
      <c r="B4" t="s">
        <v>1521</v>
      </c>
      <c r="C4" t="s">
        <v>26</v>
      </c>
      <c r="D4" t="s">
        <v>27</v>
      </c>
      <c r="E4" t="s">
        <v>28</v>
      </c>
      <c r="F4" t="s">
        <v>29</v>
      </c>
      <c r="G4" t="s">
        <v>22</v>
      </c>
      <c r="H4" s="13">
        <v>45259</v>
      </c>
      <c r="I4" t="s">
        <v>23</v>
      </c>
      <c r="K4" t="s">
        <v>1514</v>
      </c>
      <c r="L4" t="s">
        <v>1514</v>
      </c>
      <c r="M4" t="s">
        <v>27</v>
      </c>
      <c r="N4" t="s">
        <v>1514</v>
      </c>
      <c r="O4" t="s">
        <v>28</v>
      </c>
      <c r="P4" t="s">
        <v>1517</v>
      </c>
      <c r="Q4" t="s">
        <v>1514</v>
      </c>
      <c r="R4">
        <v>0</v>
      </c>
    </row>
    <row r="5" spans="1:18" x14ac:dyDescent="0.3">
      <c r="A5" t="s">
        <v>30</v>
      </c>
      <c r="B5" t="s">
        <v>1522</v>
      </c>
      <c r="C5" t="s">
        <v>31</v>
      </c>
      <c r="D5" t="s">
        <v>12</v>
      </c>
      <c r="E5" t="s">
        <v>13</v>
      </c>
      <c r="F5" t="s">
        <v>32</v>
      </c>
      <c r="G5" t="s">
        <v>22</v>
      </c>
      <c r="H5" s="13">
        <v>45406</v>
      </c>
      <c r="I5" t="s">
        <v>33</v>
      </c>
      <c r="K5" t="s">
        <v>1514</v>
      </c>
      <c r="L5" t="s">
        <v>1514</v>
      </c>
      <c r="M5" t="s">
        <v>1523</v>
      </c>
      <c r="N5" t="s">
        <v>1514</v>
      </c>
      <c r="O5" t="s">
        <v>13</v>
      </c>
      <c r="P5" t="s">
        <v>1517</v>
      </c>
      <c r="Q5" t="s">
        <v>1514</v>
      </c>
      <c r="R5">
        <v>0</v>
      </c>
    </row>
    <row r="6" spans="1:18" x14ac:dyDescent="0.3">
      <c r="A6" t="s">
        <v>34</v>
      </c>
      <c r="B6" t="s">
        <v>1524</v>
      </c>
      <c r="C6" t="s">
        <v>35</v>
      </c>
      <c r="D6" t="s">
        <v>36</v>
      </c>
      <c r="E6" t="s">
        <v>37</v>
      </c>
      <c r="F6" t="s">
        <v>38</v>
      </c>
      <c r="G6" t="s">
        <v>15</v>
      </c>
      <c r="H6" s="13">
        <v>44973</v>
      </c>
      <c r="I6" t="s">
        <v>39</v>
      </c>
      <c r="J6" t="s">
        <v>17</v>
      </c>
      <c r="K6" t="s">
        <v>1514</v>
      </c>
      <c r="L6" t="s">
        <v>1514</v>
      </c>
      <c r="M6" t="s">
        <v>1525</v>
      </c>
      <c r="N6" t="s">
        <v>1514</v>
      </c>
      <c r="O6" t="s">
        <v>37</v>
      </c>
      <c r="P6" t="s">
        <v>1517</v>
      </c>
      <c r="Q6" t="s">
        <v>1514</v>
      </c>
      <c r="R6">
        <v>0</v>
      </c>
    </row>
    <row r="7" spans="1:18" x14ac:dyDescent="0.3">
      <c r="A7" t="s">
        <v>40</v>
      </c>
      <c r="B7" t="s">
        <v>1526</v>
      </c>
      <c r="C7" t="s">
        <v>41</v>
      </c>
      <c r="D7" t="s">
        <v>42</v>
      </c>
      <c r="E7" t="s">
        <v>43</v>
      </c>
      <c r="F7" t="s">
        <v>44</v>
      </c>
      <c r="G7" t="s">
        <v>22</v>
      </c>
      <c r="H7" s="13">
        <v>45086</v>
      </c>
      <c r="I7" t="s">
        <v>23</v>
      </c>
      <c r="J7" t="s">
        <v>17</v>
      </c>
      <c r="K7" t="s">
        <v>1514</v>
      </c>
      <c r="L7" t="s">
        <v>1514</v>
      </c>
      <c r="M7" t="s">
        <v>43</v>
      </c>
      <c r="N7" t="s">
        <v>1514</v>
      </c>
      <c r="O7" t="s">
        <v>43</v>
      </c>
      <c r="P7" t="s">
        <v>1517</v>
      </c>
      <c r="Q7" t="s">
        <v>1514</v>
      </c>
      <c r="R7">
        <v>0</v>
      </c>
    </row>
    <row r="8" spans="1:18" x14ac:dyDescent="0.3">
      <c r="A8" t="s">
        <v>45</v>
      </c>
      <c r="B8" t="s">
        <v>1527</v>
      </c>
      <c r="C8" t="s">
        <v>46</v>
      </c>
      <c r="D8" t="s">
        <v>47</v>
      </c>
      <c r="E8" t="s">
        <v>48</v>
      </c>
      <c r="F8" t="s">
        <v>49</v>
      </c>
      <c r="G8" t="s">
        <v>15</v>
      </c>
      <c r="H8" s="13">
        <v>45240</v>
      </c>
      <c r="I8" t="s">
        <v>16</v>
      </c>
      <c r="J8" t="s">
        <v>50</v>
      </c>
      <c r="K8" t="s">
        <v>1514</v>
      </c>
      <c r="L8" t="s">
        <v>1514</v>
      </c>
      <c r="M8" t="s">
        <v>1528</v>
      </c>
      <c r="N8" t="s">
        <v>1514</v>
      </c>
      <c r="O8" t="s">
        <v>48</v>
      </c>
      <c r="P8" t="s">
        <v>1517</v>
      </c>
      <c r="Q8" t="s">
        <v>1514</v>
      </c>
      <c r="R8">
        <v>0</v>
      </c>
    </row>
    <row r="9" spans="1:18" x14ac:dyDescent="0.3">
      <c r="A9" t="s">
        <v>51</v>
      </c>
      <c r="B9" t="s">
        <v>1529</v>
      </c>
      <c r="C9" t="s">
        <v>52</v>
      </c>
      <c r="D9" t="s">
        <v>47</v>
      </c>
      <c r="E9" t="s">
        <v>48</v>
      </c>
      <c r="F9" t="s">
        <v>53</v>
      </c>
      <c r="G9" t="s">
        <v>15</v>
      </c>
      <c r="H9" s="13">
        <v>44972</v>
      </c>
      <c r="I9" t="s">
        <v>54</v>
      </c>
      <c r="J9" t="s">
        <v>50</v>
      </c>
      <c r="K9" t="s">
        <v>1514</v>
      </c>
      <c r="L9" t="s">
        <v>1514</v>
      </c>
      <c r="M9" t="s">
        <v>1530</v>
      </c>
      <c r="N9" t="s">
        <v>1514</v>
      </c>
      <c r="O9" t="s">
        <v>48</v>
      </c>
      <c r="P9" t="s">
        <v>1517</v>
      </c>
      <c r="Q9" t="s">
        <v>1514</v>
      </c>
      <c r="R9">
        <v>0</v>
      </c>
    </row>
    <row r="10" spans="1:18" x14ac:dyDescent="0.3">
      <c r="A10" t="s">
        <v>55</v>
      </c>
      <c r="B10" t="s">
        <v>1531</v>
      </c>
      <c r="C10" t="s">
        <v>56</v>
      </c>
      <c r="D10" t="s">
        <v>57</v>
      </c>
      <c r="E10" t="s">
        <v>58</v>
      </c>
      <c r="F10" t="s">
        <v>59</v>
      </c>
      <c r="G10" t="s">
        <v>22</v>
      </c>
      <c r="H10" s="13">
        <v>45573</v>
      </c>
      <c r="I10" t="s">
        <v>54</v>
      </c>
      <c r="J10" t="s">
        <v>50</v>
      </c>
      <c r="K10" t="s">
        <v>1514</v>
      </c>
      <c r="L10" t="s">
        <v>1514</v>
      </c>
      <c r="M10" t="s">
        <v>57</v>
      </c>
      <c r="N10" t="s">
        <v>1514</v>
      </c>
      <c r="O10" t="s">
        <v>58</v>
      </c>
      <c r="P10" t="s">
        <v>1517</v>
      </c>
      <c r="Q10" t="s">
        <v>1514</v>
      </c>
      <c r="R10">
        <v>0</v>
      </c>
    </row>
    <row r="11" spans="1:18" x14ac:dyDescent="0.3">
      <c r="A11" t="s">
        <v>60</v>
      </c>
      <c r="B11" t="s">
        <v>1532</v>
      </c>
      <c r="C11" t="s">
        <v>61</v>
      </c>
      <c r="D11" t="s">
        <v>62</v>
      </c>
      <c r="E11" t="s">
        <v>63</v>
      </c>
      <c r="F11" t="s">
        <v>64</v>
      </c>
      <c r="G11" t="s">
        <v>15</v>
      </c>
      <c r="H11" s="13">
        <v>45768</v>
      </c>
      <c r="I11" t="s">
        <v>33</v>
      </c>
      <c r="J11" t="s">
        <v>17</v>
      </c>
      <c r="K11" t="s">
        <v>1514</v>
      </c>
      <c r="L11" t="s">
        <v>1514</v>
      </c>
      <c r="M11" t="s">
        <v>1533</v>
      </c>
      <c r="N11" t="s">
        <v>1514</v>
      </c>
      <c r="O11" t="s">
        <v>63</v>
      </c>
      <c r="P11" t="s">
        <v>1517</v>
      </c>
      <c r="Q11" t="s">
        <v>1514</v>
      </c>
      <c r="R11">
        <v>0</v>
      </c>
    </row>
    <row r="12" spans="1:18" x14ac:dyDescent="0.3">
      <c r="A12" t="s">
        <v>65</v>
      </c>
      <c r="B12" t="s">
        <v>1534</v>
      </c>
      <c r="C12" t="s">
        <v>66</v>
      </c>
      <c r="D12" t="s">
        <v>36</v>
      </c>
      <c r="E12" t="s">
        <v>67</v>
      </c>
      <c r="F12" t="s">
        <v>68</v>
      </c>
      <c r="G12" t="s">
        <v>15</v>
      </c>
      <c r="H12" s="13">
        <v>44924</v>
      </c>
      <c r="I12" t="s">
        <v>54</v>
      </c>
      <c r="J12" t="s">
        <v>17</v>
      </c>
      <c r="K12" t="s">
        <v>1514</v>
      </c>
      <c r="L12" t="s">
        <v>1514</v>
      </c>
      <c r="M12" t="s">
        <v>67</v>
      </c>
      <c r="N12" t="s">
        <v>1514</v>
      </c>
      <c r="O12" t="s">
        <v>67</v>
      </c>
      <c r="P12" t="s">
        <v>1517</v>
      </c>
      <c r="Q12" t="s">
        <v>1514</v>
      </c>
      <c r="R12">
        <v>0</v>
      </c>
    </row>
    <row r="13" spans="1:18" x14ac:dyDescent="0.3">
      <c r="A13" t="s">
        <v>69</v>
      </c>
      <c r="B13" t="s">
        <v>1535</v>
      </c>
      <c r="C13" t="s">
        <v>70</v>
      </c>
      <c r="D13" t="s">
        <v>71</v>
      </c>
      <c r="E13" t="s">
        <v>72</v>
      </c>
      <c r="F13" t="s">
        <v>73</v>
      </c>
      <c r="G13" t="s">
        <v>15</v>
      </c>
      <c r="H13" s="13">
        <v>45943</v>
      </c>
      <c r="I13" t="s">
        <v>39</v>
      </c>
      <c r="K13" t="s">
        <v>1514</v>
      </c>
      <c r="L13" t="s">
        <v>1514</v>
      </c>
      <c r="M13" t="s">
        <v>1515</v>
      </c>
      <c r="N13" t="s">
        <v>1516</v>
      </c>
      <c r="O13" t="s">
        <v>72</v>
      </c>
      <c r="P13" t="s">
        <v>1517</v>
      </c>
      <c r="Q13" t="s">
        <v>1518</v>
      </c>
      <c r="R13">
        <v>1</v>
      </c>
    </row>
    <row r="14" spans="1:18" x14ac:dyDescent="0.3">
      <c r="A14" t="s">
        <v>74</v>
      </c>
      <c r="B14" t="s">
        <v>1536</v>
      </c>
      <c r="C14" t="s">
        <v>75</v>
      </c>
      <c r="D14" t="s">
        <v>42</v>
      </c>
      <c r="E14" t="s">
        <v>76</v>
      </c>
      <c r="F14" t="s">
        <v>77</v>
      </c>
      <c r="G14" t="s">
        <v>15</v>
      </c>
      <c r="H14" s="13">
        <v>45465</v>
      </c>
      <c r="I14" t="s">
        <v>54</v>
      </c>
      <c r="J14" t="s">
        <v>78</v>
      </c>
      <c r="K14" t="s">
        <v>1514</v>
      </c>
      <c r="L14" t="s">
        <v>1514</v>
      </c>
      <c r="M14" t="s">
        <v>74</v>
      </c>
      <c r="N14" t="s">
        <v>1514</v>
      </c>
      <c r="O14" t="s">
        <v>76</v>
      </c>
      <c r="P14" t="s">
        <v>1517</v>
      </c>
      <c r="Q14" t="s">
        <v>1514</v>
      </c>
      <c r="R14">
        <v>0</v>
      </c>
    </row>
    <row r="15" spans="1:18" x14ac:dyDescent="0.3">
      <c r="A15" t="s">
        <v>79</v>
      </c>
      <c r="B15" t="s">
        <v>1537</v>
      </c>
      <c r="C15" t="s">
        <v>80</v>
      </c>
      <c r="D15" t="s">
        <v>27</v>
      </c>
      <c r="E15" t="s">
        <v>28</v>
      </c>
      <c r="F15" t="s">
        <v>81</v>
      </c>
      <c r="G15" t="s">
        <v>22</v>
      </c>
      <c r="H15" s="13">
        <v>45344</v>
      </c>
      <c r="I15" t="s">
        <v>33</v>
      </c>
      <c r="K15" t="s">
        <v>1514</v>
      </c>
      <c r="L15" t="s">
        <v>1514</v>
      </c>
      <c r="M15" t="s">
        <v>1538</v>
      </c>
      <c r="N15" t="s">
        <v>1514</v>
      </c>
      <c r="O15" t="s">
        <v>28</v>
      </c>
      <c r="P15" t="s">
        <v>1517</v>
      </c>
      <c r="Q15" t="s">
        <v>1514</v>
      </c>
      <c r="R15">
        <v>0</v>
      </c>
    </row>
    <row r="16" spans="1:18" x14ac:dyDescent="0.3">
      <c r="A16" t="s">
        <v>82</v>
      </c>
      <c r="B16" t="s">
        <v>1539</v>
      </c>
      <c r="C16" t="s">
        <v>83</v>
      </c>
      <c r="D16" t="s">
        <v>84</v>
      </c>
      <c r="E16" t="s">
        <v>85</v>
      </c>
      <c r="F16" t="s">
        <v>86</v>
      </c>
      <c r="G16" t="s">
        <v>22</v>
      </c>
      <c r="H16" s="13">
        <v>45347</v>
      </c>
      <c r="I16" t="s">
        <v>23</v>
      </c>
      <c r="K16" t="s">
        <v>1514</v>
      </c>
      <c r="L16" t="s">
        <v>1514</v>
      </c>
      <c r="M16" t="s">
        <v>1515</v>
      </c>
      <c r="N16" t="s">
        <v>1516</v>
      </c>
      <c r="O16" t="s">
        <v>85</v>
      </c>
      <c r="P16" t="s">
        <v>1517</v>
      </c>
      <c r="Q16" t="s">
        <v>1518</v>
      </c>
      <c r="R16">
        <v>1</v>
      </c>
    </row>
    <row r="17" spans="1:18" x14ac:dyDescent="0.3">
      <c r="A17" t="s">
        <v>87</v>
      </c>
      <c r="B17" t="s">
        <v>1540</v>
      </c>
      <c r="C17" t="s">
        <v>88</v>
      </c>
      <c r="D17" t="s">
        <v>62</v>
      </c>
      <c r="E17" t="s">
        <v>89</v>
      </c>
      <c r="F17" t="s">
        <v>90</v>
      </c>
      <c r="G17" t="s">
        <v>22</v>
      </c>
      <c r="H17" s="13">
        <v>45771</v>
      </c>
      <c r="I17" t="s">
        <v>33</v>
      </c>
      <c r="K17" t="s">
        <v>1514</v>
      </c>
      <c r="L17" t="s">
        <v>1514</v>
      </c>
      <c r="M17" t="s">
        <v>62</v>
      </c>
      <c r="N17" t="s">
        <v>1514</v>
      </c>
      <c r="O17" t="s">
        <v>89</v>
      </c>
      <c r="P17" t="s">
        <v>1517</v>
      </c>
      <c r="Q17" t="s">
        <v>1514</v>
      </c>
      <c r="R17">
        <v>0</v>
      </c>
    </row>
    <row r="18" spans="1:18" x14ac:dyDescent="0.3">
      <c r="A18" t="s">
        <v>91</v>
      </c>
      <c r="B18" t="s">
        <v>1541</v>
      </c>
      <c r="C18" t="s">
        <v>92</v>
      </c>
      <c r="D18" t="s">
        <v>71</v>
      </c>
      <c r="E18" t="s">
        <v>93</v>
      </c>
      <c r="F18" t="s">
        <v>94</v>
      </c>
      <c r="G18" t="s">
        <v>15</v>
      </c>
      <c r="H18" s="13">
        <v>45494</v>
      </c>
      <c r="I18" t="s">
        <v>39</v>
      </c>
      <c r="J18" t="s">
        <v>95</v>
      </c>
      <c r="K18" t="s">
        <v>1514</v>
      </c>
      <c r="L18" t="s">
        <v>1514</v>
      </c>
      <c r="M18" t="s">
        <v>71</v>
      </c>
      <c r="N18" t="s">
        <v>1514</v>
      </c>
      <c r="O18" t="s">
        <v>93</v>
      </c>
      <c r="P18" t="s">
        <v>1517</v>
      </c>
      <c r="Q18" t="s">
        <v>1514</v>
      </c>
      <c r="R18">
        <v>0</v>
      </c>
    </row>
    <row r="19" spans="1:18" x14ac:dyDescent="0.3">
      <c r="A19" t="s">
        <v>96</v>
      </c>
      <c r="B19" t="s">
        <v>1542</v>
      </c>
      <c r="C19" t="s">
        <v>97</v>
      </c>
      <c r="D19" t="s">
        <v>27</v>
      </c>
      <c r="E19" t="s">
        <v>98</v>
      </c>
      <c r="F19" t="s">
        <v>99</v>
      </c>
      <c r="G19" t="s">
        <v>22</v>
      </c>
      <c r="H19" s="13">
        <v>45832</v>
      </c>
      <c r="I19" t="s">
        <v>54</v>
      </c>
      <c r="J19" t="s">
        <v>24</v>
      </c>
      <c r="K19" t="s">
        <v>1514</v>
      </c>
      <c r="L19" t="s">
        <v>1514</v>
      </c>
      <c r="M19" t="s">
        <v>98</v>
      </c>
      <c r="N19" t="s">
        <v>1514</v>
      </c>
      <c r="O19" t="s">
        <v>98</v>
      </c>
      <c r="P19" t="s">
        <v>1517</v>
      </c>
      <c r="Q19" t="s">
        <v>1514</v>
      </c>
      <c r="R19">
        <v>0</v>
      </c>
    </row>
    <row r="20" spans="1:18" x14ac:dyDescent="0.3">
      <c r="A20" t="s">
        <v>100</v>
      </c>
      <c r="B20" t="s">
        <v>1543</v>
      </c>
      <c r="C20" t="s">
        <v>101</v>
      </c>
      <c r="D20" t="s">
        <v>62</v>
      </c>
      <c r="E20" t="s">
        <v>63</v>
      </c>
      <c r="F20" t="s">
        <v>102</v>
      </c>
      <c r="G20" t="s">
        <v>15</v>
      </c>
      <c r="H20" s="13">
        <v>45430</v>
      </c>
      <c r="I20" t="s">
        <v>39</v>
      </c>
      <c r="K20" t="s">
        <v>1514</v>
      </c>
      <c r="L20" t="s">
        <v>1514</v>
      </c>
      <c r="M20" t="s">
        <v>1544</v>
      </c>
      <c r="N20" t="s">
        <v>1514</v>
      </c>
      <c r="O20" t="s">
        <v>63</v>
      </c>
      <c r="P20" t="s">
        <v>1517</v>
      </c>
      <c r="Q20" t="s">
        <v>1514</v>
      </c>
      <c r="R20">
        <v>0</v>
      </c>
    </row>
    <row r="21" spans="1:18" x14ac:dyDescent="0.3">
      <c r="A21" t="s">
        <v>103</v>
      </c>
      <c r="B21" t="s">
        <v>1545</v>
      </c>
      <c r="C21" t="s">
        <v>104</v>
      </c>
      <c r="D21" t="s">
        <v>71</v>
      </c>
      <c r="E21" t="s">
        <v>93</v>
      </c>
      <c r="F21" t="s">
        <v>105</v>
      </c>
      <c r="G21" t="s">
        <v>15</v>
      </c>
      <c r="H21" s="13">
        <v>45200</v>
      </c>
      <c r="I21" t="s">
        <v>39</v>
      </c>
      <c r="J21" t="s">
        <v>50</v>
      </c>
      <c r="K21" t="s">
        <v>1514</v>
      </c>
      <c r="L21" t="s">
        <v>1514</v>
      </c>
      <c r="M21" t="s">
        <v>1546</v>
      </c>
      <c r="N21" t="s">
        <v>1514</v>
      </c>
      <c r="O21" t="s">
        <v>93</v>
      </c>
      <c r="P21" t="s">
        <v>1517</v>
      </c>
      <c r="Q21" t="s">
        <v>1514</v>
      </c>
      <c r="R21">
        <v>0</v>
      </c>
    </row>
    <row r="22" spans="1:18" x14ac:dyDescent="0.3">
      <c r="A22" t="s">
        <v>106</v>
      </c>
      <c r="B22" t="s">
        <v>1547</v>
      </c>
      <c r="C22" t="s">
        <v>107</v>
      </c>
      <c r="D22" t="s">
        <v>42</v>
      </c>
      <c r="E22" t="s">
        <v>108</v>
      </c>
      <c r="F22" t="s">
        <v>109</v>
      </c>
      <c r="G22" t="s">
        <v>15</v>
      </c>
      <c r="H22" s="13">
        <v>45595</v>
      </c>
      <c r="I22" t="s">
        <v>33</v>
      </c>
      <c r="K22" t="s">
        <v>1514</v>
      </c>
      <c r="L22" t="s">
        <v>1514</v>
      </c>
      <c r="M22" t="s">
        <v>1548</v>
      </c>
      <c r="N22" t="s">
        <v>1514</v>
      </c>
      <c r="O22" t="s">
        <v>108</v>
      </c>
      <c r="P22" t="s">
        <v>1517</v>
      </c>
      <c r="Q22" t="s">
        <v>1514</v>
      </c>
      <c r="R22">
        <v>0</v>
      </c>
    </row>
    <row r="23" spans="1:18" x14ac:dyDescent="0.3">
      <c r="A23" t="s">
        <v>110</v>
      </c>
      <c r="B23" t="s">
        <v>1549</v>
      </c>
      <c r="C23" t="s">
        <v>111</v>
      </c>
      <c r="D23" t="s">
        <v>47</v>
      </c>
      <c r="E23" t="s">
        <v>112</v>
      </c>
      <c r="F23" t="s">
        <v>113</v>
      </c>
      <c r="G23" t="s">
        <v>15</v>
      </c>
      <c r="H23" s="13">
        <v>45965</v>
      </c>
      <c r="I23" t="s">
        <v>33</v>
      </c>
      <c r="K23" t="s">
        <v>1514</v>
      </c>
      <c r="L23" t="s">
        <v>1514</v>
      </c>
      <c r="M23" t="s">
        <v>110</v>
      </c>
      <c r="N23" t="s">
        <v>1514</v>
      </c>
      <c r="O23" t="s">
        <v>112</v>
      </c>
      <c r="P23" t="s">
        <v>1517</v>
      </c>
      <c r="Q23" t="s">
        <v>1514</v>
      </c>
      <c r="R23">
        <v>0</v>
      </c>
    </row>
    <row r="24" spans="1:18" x14ac:dyDescent="0.3">
      <c r="A24" t="s">
        <v>114</v>
      </c>
      <c r="B24" t="s">
        <v>1550</v>
      </c>
      <c r="C24" t="s">
        <v>115</v>
      </c>
      <c r="D24" t="s">
        <v>47</v>
      </c>
      <c r="E24" t="s">
        <v>48</v>
      </c>
      <c r="F24" t="s">
        <v>116</v>
      </c>
      <c r="G24" t="s">
        <v>15</v>
      </c>
      <c r="H24" s="13">
        <v>45742</v>
      </c>
      <c r="I24" t="s">
        <v>16</v>
      </c>
      <c r="K24" t="s">
        <v>1514</v>
      </c>
      <c r="L24" t="s">
        <v>1514</v>
      </c>
      <c r="M24" t="s">
        <v>1515</v>
      </c>
      <c r="N24" t="s">
        <v>1516</v>
      </c>
      <c r="O24" t="s">
        <v>48</v>
      </c>
      <c r="P24" t="s">
        <v>1517</v>
      </c>
      <c r="Q24" t="s">
        <v>1518</v>
      </c>
      <c r="R24">
        <v>1</v>
      </c>
    </row>
    <row r="25" spans="1:18" x14ac:dyDescent="0.3">
      <c r="A25" t="s">
        <v>117</v>
      </c>
      <c r="B25" t="s">
        <v>1551</v>
      </c>
      <c r="C25" t="s">
        <v>118</v>
      </c>
      <c r="D25" t="s">
        <v>84</v>
      </c>
      <c r="E25" t="s">
        <v>119</v>
      </c>
      <c r="F25" t="s">
        <v>120</v>
      </c>
      <c r="G25" t="s">
        <v>22</v>
      </c>
      <c r="H25" s="13">
        <v>44943</v>
      </c>
      <c r="I25" t="s">
        <v>23</v>
      </c>
      <c r="J25" t="s">
        <v>50</v>
      </c>
      <c r="K25" t="s">
        <v>1514</v>
      </c>
      <c r="L25" t="s">
        <v>1514</v>
      </c>
      <c r="M25" t="s">
        <v>117</v>
      </c>
      <c r="N25" t="s">
        <v>1514</v>
      </c>
      <c r="O25" t="s">
        <v>119</v>
      </c>
      <c r="P25" t="s">
        <v>1517</v>
      </c>
      <c r="Q25" t="s">
        <v>1514</v>
      </c>
      <c r="R25">
        <v>0</v>
      </c>
    </row>
    <row r="26" spans="1:18" x14ac:dyDescent="0.3">
      <c r="A26" t="s">
        <v>121</v>
      </c>
      <c r="B26" t="s">
        <v>1552</v>
      </c>
      <c r="C26" t="s">
        <v>122</v>
      </c>
      <c r="D26" t="s">
        <v>12</v>
      </c>
      <c r="E26" t="s">
        <v>123</v>
      </c>
      <c r="F26" t="s">
        <v>124</v>
      </c>
      <c r="G26" t="s">
        <v>15</v>
      </c>
      <c r="H26" s="13">
        <v>45674</v>
      </c>
      <c r="I26" t="s">
        <v>33</v>
      </c>
      <c r="K26" t="s">
        <v>1514</v>
      </c>
      <c r="L26" t="s">
        <v>1514</v>
      </c>
      <c r="M26" t="s">
        <v>1553</v>
      </c>
      <c r="N26" t="s">
        <v>1514</v>
      </c>
      <c r="O26" t="s">
        <v>123</v>
      </c>
      <c r="P26" t="s">
        <v>1517</v>
      </c>
      <c r="Q26" t="s">
        <v>1514</v>
      </c>
      <c r="R26">
        <v>0</v>
      </c>
    </row>
    <row r="27" spans="1:18" x14ac:dyDescent="0.3">
      <c r="A27" t="s">
        <v>125</v>
      </c>
      <c r="B27" t="s">
        <v>1554</v>
      </c>
      <c r="C27" t="s">
        <v>126</v>
      </c>
      <c r="D27" t="s">
        <v>36</v>
      </c>
      <c r="E27" t="s">
        <v>127</v>
      </c>
      <c r="F27" t="s">
        <v>128</v>
      </c>
      <c r="G27" t="s">
        <v>22</v>
      </c>
      <c r="H27" s="13">
        <v>45468</v>
      </c>
      <c r="I27" t="s">
        <v>16</v>
      </c>
      <c r="K27" t="s">
        <v>1514</v>
      </c>
      <c r="L27" t="s">
        <v>1514</v>
      </c>
      <c r="M27" t="s">
        <v>1555</v>
      </c>
      <c r="N27" t="s">
        <v>1514</v>
      </c>
      <c r="O27" t="s">
        <v>127</v>
      </c>
      <c r="P27" t="s">
        <v>1517</v>
      </c>
      <c r="Q27" t="s">
        <v>1514</v>
      </c>
      <c r="R27">
        <v>0</v>
      </c>
    </row>
    <row r="28" spans="1:18" x14ac:dyDescent="0.3">
      <c r="A28" t="s">
        <v>129</v>
      </c>
      <c r="B28" t="s">
        <v>1556</v>
      </c>
      <c r="C28" t="s">
        <v>130</v>
      </c>
      <c r="D28" t="s">
        <v>36</v>
      </c>
      <c r="E28" t="s">
        <v>131</v>
      </c>
      <c r="F28" t="s">
        <v>132</v>
      </c>
      <c r="G28" t="s">
        <v>15</v>
      </c>
      <c r="H28" s="13">
        <v>45326</v>
      </c>
      <c r="I28" t="s">
        <v>54</v>
      </c>
      <c r="K28" t="s">
        <v>1514</v>
      </c>
      <c r="L28" t="s">
        <v>1514</v>
      </c>
      <c r="M28" t="s">
        <v>1557</v>
      </c>
      <c r="N28" t="s">
        <v>1514</v>
      </c>
      <c r="O28" t="s">
        <v>131</v>
      </c>
      <c r="P28" t="s">
        <v>1517</v>
      </c>
      <c r="Q28" t="s">
        <v>1514</v>
      </c>
      <c r="R28">
        <v>0</v>
      </c>
    </row>
    <row r="29" spans="1:18" x14ac:dyDescent="0.3">
      <c r="A29" t="s">
        <v>133</v>
      </c>
      <c r="B29" t="s">
        <v>1558</v>
      </c>
      <c r="C29" t="s">
        <v>134</v>
      </c>
      <c r="D29" t="s">
        <v>27</v>
      </c>
      <c r="E29" t="s">
        <v>28</v>
      </c>
      <c r="F29" t="s">
        <v>135</v>
      </c>
      <c r="G29" t="s">
        <v>22</v>
      </c>
      <c r="H29" s="13">
        <v>45864</v>
      </c>
      <c r="I29" t="s">
        <v>54</v>
      </c>
      <c r="J29" t="s">
        <v>50</v>
      </c>
      <c r="K29" t="s">
        <v>1514</v>
      </c>
      <c r="L29" t="s">
        <v>1514</v>
      </c>
      <c r="M29" t="s">
        <v>1559</v>
      </c>
      <c r="N29" t="s">
        <v>1514</v>
      </c>
      <c r="O29" t="s">
        <v>28</v>
      </c>
      <c r="P29" t="s">
        <v>1517</v>
      </c>
      <c r="Q29" t="s">
        <v>1514</v>
      </c>
      <c r="R29">
        <v>0</v>
      </c>
    </row>
    <row r="30" spans="1:18" x14ac:dyDescent="0.3">
      <c r="A30" t="s">
        <v>136</v>
      </c>
      <c r="B30" t="s">
        <v>1560</v>
      </c>
      <c r="C30" t="s">
        <v>137</v>
      </c>
      <c r="D30" t="s">
        <v>12</v>
      </c>
      <c r="E30" t="s">
        <v>138</v>
      </c>
      <c r="F30" t="s">
        <v>139</v>
      </c>
      <c r="G30" t="s">
        <v>15</v>
      </c>
      <c r="H30" s="13">
        <v>45767</v>
      </c>
      <c r="I30" t="s">
        <v>39</v>
      </c>
      <c r="J30" t="s">
        <v>17</v>
      </c>
      <c r="K30" t="s">
        <v>1514</v>
      </c>
      <c r="L30" t="s">
        <v>1514</v>
      </c>
      <c r="M30" t="s">
        <v>1561</v>
      </c>
      <c r="N30" t="s">
        <v>1514</v>
      </c>
      <c r="O30" t="s">
        <v>138</v>
      </c>
      <c r="P30" t="s">
        <v>1517</v>
      </c>
      <c r="Q30" t="s">
        <v>1514</v>
      </c>
      <c r="R30">
        <v>0</v>
      </c>
    </row>
    <row r="31" spans="1:18" x14ac:dyDescent="0.3">
      <c r="A31" t="s">
        <v>140</v>
      </c>
      <c r="B31" t="s">
        <v>1562</v>
      </c>
      <c r="C31" t="s">
        <v>141</v>
      </c>
      <c r="D31" t="s">
        <v>47</v>
      </c>
      <c r="E31" t="s">
        <v>48</v>
      </c>
      <c r="F31" t="s">
        <v>142</v>
      </c>
      <c r="G31" t="s">
        <v>22</v>
      </c>
      <c r="H31" s="13">
        <v>45909</v>
      </c>
      <c r="I31" t="s">
        <v>33</v>
      </c>
      <c r="K31" t="s">
        <v>1514</v>
      </c>
      <c r="L31" t="s">
        <v>1514</v>
      </c>
      <c r="M31" t="s">
        <v>48</v>
      </c>
      <c r="N31" t="s">
        <v>1514</v>
      </c>
      <c r="O31" t="s">
        <v>48</v>
      </c>
      <c r="P31" t="s">
        <v>1517</v>
      </c>
      <c r="Q31" t="s">
        <v>1514</v>
      </c>
      <c r="R31">
        <v>0</v>
      </c>
    </row>
    <row r="32" spans="1:18" x14ac:dyDescent="0.3">
      <c r="A32" t="s">
        <v>143</v>
      </c>
      <c r="B32" t="s">
        <v>1563</v>
      </c>
      <c r="C32" t="s">
        <v>144</v>
      </c>
      <c r="D32" t="s">
        <v>71</v>
      </c>
      <c r="E32" t="s">
        <v>72</v>
      </c>
      <c r="F32" t="s">
        <v>145</v>
      </c>
      <c r="G32" t="s">
        <v>22</v>
      </c>
      <c r="H32" s="13">
        <v>45201</v>
      </c>
      <c r="I32" t="s">
        <v>39</v>
      </c>
      <c r="K32" t="s">
        <v>1514</v>
      </c>
      <c r="L32" t="s">
        <v>1514</v>
      </c>
      <c r="M32" t="s">
        <v>72</v>
      </c>
      <c r="N32" t="s">
        <v>1514</v>
      </c>
      <c r="O32" t="s">
        <v>72</v>
      </c>
      <c r="P32" t="s">
        <v>1517</v>
      </c>
      <c r="Q32" t="s">
        <v>1514</v>
      </c>
      <c r="R32">
        <v>0</v>
      </c>
    </row>
    <row r="33" spans="1:18" x14ac:dyDescent="0.3">
      <c r="A33" t="s">
        <v>146</v>
      </c>
      <c r="B33" t="s">
        <v>1564</v>
      </c>
      <c r="C33" t="s">
        <v>147</v>
      </c>
      <c r="D33" t="s">
        <v>27</v>
      </c>
      <c r="E33" t="s">
        <v>98</v>
      </c>
      <c r="F33" t="s">
        <v>148</v>
      </c>
      <c r="G33" t="s">
        <v>15</v>
      </c>
      <c r="H33" s="13">
        <v>45225</v>
      </c>
      <c r="I33" t="s">
        <v>16</v>
      </c>
      <c r="J33" t="s">
        <v>95</v>
      </c>
      <c r="K33" t="s">
        <v>1514</v>
      </c>
      <c r="L33" t="s">
        <v>1514</v>
      </c>
      <c r="M33" t="s">
        <v>27</v>
      </c>
      <c r="N33" t="s">
        <v>1514</v>
      </c>
      <c r="O33" t="s">
        <v>98</v>
      </c>
      <c r="P33" t="s">
        <v>1517</v>
      </c>
      <c r="Q33" t="s">
        <v>1514</v>
      </c>
      <c r="R33">
        <v>0</v>
      </c>
    </row>
    <row r="34" spans="1:18" x14ac:dyDescent="0.3">
      <c r="A34" t="s">
        <v>149</v>
      </c>
      <c r="B34" t="s">
        <v>1565</v>
      </c>
      <c r="C34" t="s">
        <v>150</v>
      </c>
      <c r="D34" t="s">
        <v>47</v>
      </c>
      <c r="E34" t="s">
        <v>112</v>
      </c>
      <c r="F34" t="s">
        <v>151</v>
      </c>
      <c r="G34" t="s">
        <v>15</v>
      </c>
      <c r="H34" s="13">
        <v>45132</v>
      </c>
      <c r="I34" t="s">
        <v>39</v>
      </c>
      <c r="J34" t="s">
        <v>50</v>
      </c>
      <c r="K34" t="s">
        <v>1514</v>
      </c>
      <c r="L34" t="s">
        <v>1514</v>
      </c>
      <c r="M34" t="s">
        <v>1566</v>
      </c>
      <c r="N34" t="s">
        <v>1514</v>
      </c>
      <c r="O34" t="s">
        <v>112</v>
      </c>
      <c r="P34" t="s">
        <v>1517</v>
      </c>
      <c r="Q34" t="s">
        <v>1514</v>
      </c>
      <c r="R34">
        <v>0</v>
      </c>
    </row>
    <row r="35" spans="1:18" x14ac:dyDescent="0.3">
      <c r="A35" t="s">
        <v>152</v>
      </c>
      <c r="B35" t="s">
        <v>1567</v>
      </c>
      <c r="C35" t="s">
        <v>153</v>
      </c>
      <c r="D35" t="s">
        <v>62</v>
      </c>
      <c r="E35" t="s">
        <v>154</v>
      </c>
      <c r="F35" t="s">
        <v>155</v>
      </c>
      <c r="G35" t="s">
        <v>15</v>
      </c>
      <c r="H35" s="13">
        <v>45662</v>
      </c>
      <c r="I35" t="s">
        <v>54</v>
      </c>
      <c r="J35" t="s">
        <v>17</v>
      </c>
      <c r="K35" t="s">
        <v>1514</v>
      </c>
      <c r="L35" t="s">
        <v>1514</v>
      </c>
      <c r="M35" t="s">
        <v>1568</v>
      </c>
      <c r="N35" t="s">
        <v>1514</v>
      </c>
      <c r="O35" t="s">
        <v>154</v>
      </c>
      <c r="P35" t="s">
        <v>1517</v>
      </c>
      <c r="Q35" t="s">
        <v>1514</v>
      </c>
      <c r="R35">
        <v>0</v>
      </c>
    </row>
    <row r="36" spans="1:18" x14ac:dyDescent="0.3">
      <c r="A36" t="s">
        <v>156</v>
      </c>
      <c r="B36" t="s">
        <v>1569</v>
      </c>
      <c r="C36" t="s">
        <v>157</v>
      </c>
      <c r="D36" t="s">
        <v>27</v>
      </c>
      <c r="E36" t="s">
        <v>158</v>
      </c>
      <c r="F36" t="s">
        <v>159</v>
      </c>
      <c r="G36" t="s">
        <v>15</v>
      </c>
      <c r="H36" s="13">
        <v>45181</v>
      </c>
      <c r="I36" t="s">
        <v>54</v>
      </c>
      <c r="K36" t="s">
        <v>1514</v>
      </c>
      <c r="L36" t="s">
        <v>1514</v>
      </c>
      <c r="M36" t="s">
        <v>1570</v>
      </c>
      <c r="N36" t="s">
        <v>1514</v>
      </c>
      <c r="O36" t="s">
        <v>158</v>
      </c>
      <c r="P36" t="s">
        <v>1517</v>
      </c>
      <c r="Q36" t="s">
        <v>1514</v>
      </c>
      <c r="R36">
        <v>0</v>
      </c>
    </row>
    <row r="37" spans="1:18" x14ac:dyDescent="0.3">
      <c r="A37" t="s">
        <v>160</v>
      </c>
      <c r="B37" t="s">
        <v>1571</v>
      </c>
      <c r="C37" t="s">
        <v>161</v>
      </c>
      <c r="D37" t="s">
        <v>36</v>
      </c>
      <c r="E37" t="s">
        <v>162</v>
      </c>
      <c r="F37" t="s">
        <v>163</v>
      </c>
      <c r="G37" t="s">
        <v>15</v>
      </c>
      <c r="H37" s="13">
        <v>45219</v>
      </c>
      <c r="I37" t="s">
        <v>39</v>
      </c>
      <c r="K37" t="s">
        <v>1514</v>
      </c>
      <c r="L37" t="s">
        <v>1514</v>
      </c>
      <c r="M37" t="s">
        <v>1572</v>
      </c>
      <c r="N37" t="s">
        <v>1514</v>
      </c>
      <c r="O37" t="s">
        <v>162</v>
      </c>
      <c r="P37" t="s">
        <v>1517</v>
      </c>
      <c r="Q37" t="s">
        <v>1514</v>
      </c>
      <c r="R37">
        <v>0</v>
      </c>
    </row>
    <row r="38" spans="1:18" x14ac:dyDescent="0.3">
      <c r="A38" t="s">
        <v>164</v>
      </c>
      <c r="B38" t="s">
        <v>1573</v>
      </c>
      <c r="C38" t="s">
        <v>165</v>
      </c>
      <c r="D38" t="s">
        <v>12</v>
      </c>
      <c r="E38" t="s">
        <v>166</v>
      </c>
      <c r="F38" t="s">
        <v>167</v>
      </c>
      <c r="G38" t="s">
        <v>22</v>
      </c>
      <c r="H38" s="13">
        <v>45643</v>
      </c>
      <c r="I38" t="s">
        <v>23</v>
      </c>
      <c r="K38" t="s">
        <v>1514</v>
      </c>
      <c r="L38" t="s">
        <v>1514</v>
      </c>
      <c r="M38" t="s">
        <v>1574</v>
      </c>
      <c r="N38" t="s">
        <v>1514</v>
      </c>
      <c r="O38" t="s">
        <v>166</v>
      </c>
      <c r="P38" t="s">
        <v>1517</v>
      </c>
      <c r="Q38" t="s">
        <v>1514</v>
      </c>
      <c r="R38">
        <v>0</v>
      </c>
    </row>
    <row r="39" spans="1:18" x14ac:dyDescent="0.3">
      <c r="A39" t="s">
        <v>168</v>
      </c>
      <c r="B39" t="s">
        <v>1575</v>
      </c>
      <c r="C39" t="s">
        <v>169</v>
      </c>
      <c r="D39" t="s">
        <v>36</v>
      </c>
      <c r="E39" t="s">
        <v>131</v>
      </c>
      <c r="F39" t="s">
        <v>170</v>
      </c>
      <c r="G39" t="s">
        <v>22</v>
      </c>
      <c r="H39" s="13">
        <v>45939</v>
      </c>
      <c r="I39" t="s">
        <v>54</v>
      </c>
      <c r="J39" t="s">
        <v>24</v>
      </c>
      <c r="K39" t="s">
        <v>1514</v>
      </c>
      <c r="L39" t="s">
        <v>1514</v>
      </c>
      <c r="M39" t="s">
        <v>1576</v>
      </c>
      <c r="N39" t="s">
        <v>1514</v>
      </c>
      <c r="O39" t="s">
        <v>131</v>
      </c>
      <c r="P39" t="s">
        <v>1517</v>
      </c>
      <c r="Q39" t="s">
        <v>1514</v>
      </c>
      <c r="R39">
        <v>0</v>
      </c>
    </row>
    <row r="40" spans="1:18" x14ac:dyDescent="0.3">
      <c r="A40" t="s">
        <v>171</v>
      </c>
      <c r="B40" t="s">
        <v>1577</v>
      </c>
      <c r="C40" t="s">
        <v>172</v>
      </c>
      <c r="D40" t="s">
        <v>173</v>
      </c>
      <c r="E40" t="s">
        <v>174</v>
      </c>
      <c r="F40" t="s">
        <v>175</v>
      </c>
      <c r="G40" t="s">
        <v>22</v>
      </c>
      <c r="H40" s="13">
        <v>45339</v>
      </c>
      <c r="I40" t="s">
        <v>16</v>
      </c>
      <c r="J40" t="s">
        <v>95</v>
      </c>
      <c r="K40" t="s">
        <v>1514</v>
      </c>
      <c r="L40" t="s">
        <v>1514</v>
      </c>
      <c r="M40" t="s">
        <v>1578</v>
      </c>
      <c r="N40" t="s">
        <v>1514</v>
      </c>
      <c r="O40" t="s">
        <v>174</v>
      </c>
      <c r="P40" t="s">
        <v>1517</v>
      </c>
      <c r="Q40" t="s">
        <v>1514</v>
      </c>
      <c r="R40">
        <v>0</v>
      </c>
    </row>
    <row r="41" spans="1:18" x14ac:dyDescent="0.3">
      <c r="A41" t="s">
        <v>176</v>
      </c>
      <c r="B41" t="s">
        <v>1579</v>
      </c>
      <c r="C41" t="s">
        <v>177</v>
      </c>
      <c r="D41" t="s">
        <v>47</v>
      </c>
      <c r="E41" t="s">
        <v>48</v>
      </c>
      <c r="F41" t="s">
        <v>178</v>
      </c>
      <c r="G41" t="s">
        <v>15</v>
      </c>
      <c r="H41" s="13">
        <v>45503</v>
      </c>
      <c r="I41" t="s">
        <v>39</v>
      </c>
      <c r="K41" t="s">
        <v>1514</v>
      </c>
      <c r="L41" t="s">
        <v>1514</v>
      </c>
      <c r="M41" t="s">
        <v>1580</v>
      </c>
      <c r="N41" t="s">
        <v>1514</v>
      </c>
      <c r="O41" t="s">
        <v>48</v>
      </c>
      <c r="P41" t="s">
        <v>1517</v>
      </c>
      <c r="Q41" t="s">
        <v>1514</v>
      </c>
      <c r="R41">
        <v>0</v>
      </c>
    </row>
    <row r="42" spans="1:18" x14ac:dyDescent="0.3">
      <c r="A42" t="s">
        <v>179</v>
      </c>
      <c r="B42" t="s">
        <v>1581</v>
      </c>
      <c r="C42" t="s">
        <v>180</v>
      </c>
      <c r="D42" t="s">
        <v>47</v>
      </c>
      <c r="E42" t="s">
        <v>181</v>
      </c>
      <c r="F42" t="s">
        <v>182</v>
      </c>
      <c r="G42" t="s">
        <v>22</v>
      </c>
      <c r="H42" s="13">
        <v>45028</v>
      </c>
      <c r="I42" t="s">
        <v>33</v>
      </c>
      <c r="J42" t="s">
        <v>95</v>
      </c>
      <c r="K42" t="s">
        <v>1514</v>
      </c>
      <c r="L42" t="s">
        <v>1514</v>
      </c>
      <c r="M42" t="s">
        <v>1582</v>
      </c>
      <c r="N42" t="s">
        <v>1514</v>
      </c>
      <c r="O42" t="s">
        <v>181</v>
      </c>
      <c r="P42" t="s">
        <v>1517</v>
      </c>
      <c r="Q42" t="s">
        <v>1514</v>
      </c>
      <c r="R42">
        <v>0</v>
      </c>
    </row>
    <row r="43" spans="1:18" x14ac:dyDescent="0.3">
      <c r="A43" t="s">
        <v>183</v>
      </c>
      <c r="B43" t="s">
        <v>1583</v>
      </c>
      <c r="C43" t="s">
        <v>184</v>
      </c>
      <c r="D43" t="s">
        <v>12</v>
      </c>
      <c r="E43" t="s">
        <v>13</v>
      </c>
      <c r="F43" t="s">
        <v>185</v>
      </c>
      <c r="G43" t="s">
        <v>22</v>
      </c>
      <c r="H43" s="13">
        <v>45067</v>
      </c>
      <c r="I43" t="s">
        <v>33</v>
      </c>
      <c r="K43" t="s">
        <v>1514</v>
      </c>
      <c r="L43" t="s">
        <v>1514</v>
      </c>
      <c r="M43" t="s">
        <v>12</v>
      </c>
      <c r="N43" t="s">
        <v>1514</v>
      </c>
      <c r="O43" t="s">
        <v>13</v>
      </c>
      <c r="P43" t="s">
        <v>1517</v>
      </c>
      <c r="Q43" t="s">
        <v>1514</v>
      </c>
      <c r="R43">
        <v>0</v>
      </c>
    </row>
    <row r="44" spans="1:18" x14ac:dyDescent="0.3">
      <c r="A44" t="s">
        <v>186</v>
      </c>
      <c r="B44" t="s">
        <v>1584</v>
      </c>
      <c r="C44" t="s">
        <v>187</v>
      </c>
      <c r="D44" t="s">
        <v>62</v>
      </c>
      <c r="E44" t="s">
        <v>89</v>
      </c>
      <c r="F44" t="s">
        <v>188</v>
      </c>
      <c r="G44" t="s">
        <v>22</v>
      </c>
      <c r="H44" s="13">
        <v>45464</v>
      </c>
      <c r="I44" t="s">
        <v>33</v>
      </c>
      <c r="J44" t="s">
        <v>78</v>
      </c>
      <c r="K44" t="s">
        <v>1514</v>
      </c>
      <c r="L44" t="s">
        <v>1514</v>
      </c>
      <c r="M44" t="s">
        <v>1585</v>
      </c>
      <c r="N44" t="s">
        <v>1514</v>
      </c>
      <c r="O44" t="s">
        <v>89</v>
      </c>
      <c r="P44" t="s">
        <v>1517</v>
      </c>
      <c r="Q44" t="s">
        <v>1514</v>
      </c>
      <c r="R44">
        <v>0</v>
      </c>
    </row>
    <row r="45" spans="1:18" x14ac:dyDescent="0.3">
      <c r="A45" t="s">
        <v>189</v>
      </c>
      <c r="B45" t="s">
        <v>1586</v>
      </c>
      <c r="C45" t="s">
        <v>190</v>
      </c>
      <c r="D45" t="s">
        <v>173</v>
      </c>
      <c r="E45" t="s">
        <v>191</v>
      </c>
      <c r="F45" t="s">
        <v>192</v>
      </c>
      <c r="G45" t="s">
        <v>15</v>
      </c>
      <c r="H45" s="13">
        <v>45741</v>
      </c>
      <c r="I45" t="s">
        <v>23</v>
      </c>
      <c r="J45" t="s">
        <v>50</v>
      </c>
      <c r="K45" t="s">
        <v>1514</v>
      </c>
      <c r="L45" t="s">
        <v>1514</v>
      </c>
      <c r="M45" t="s">
        <v>1587</v>
      </c>
      <c r="N45" t="s">
        <v>1514</v>
      </c>
      <c r="O45" t="s">
        <v>191</v>
      </c>
      <c r="P45" t="s">
        <v>1517</v>
      </c>
      <c r="Q45" t="s">
        <v>1514</v>
      </c>
      <c r="R45">
        <v>0</v>
      </c>
    </row>
    <row r="46" spans="1:18" x14ac:dyDescent="0.3">
      <c r="A46" t="s">
        <v>193</v>
      </c>
      <c r="B46" t="s">
        <v>1588</v>
      </c>
      <c r="C46" t="s">
        <v>194</v>
      </c>
      <c r="D46" t="s">
        <v>173</v>
      </c>
      <c r="E46" t="s">
        <v>191</v>
      </c>
      <c r="F46" t="s">
        <v>195</v>
      </c>
      <c r="G46" t="s">
        <v>22</v>
      </c>
      <c r="H46" s="13">
        <v>45257</v>
      </c>
      <c r="I46" t="s">
        <v>39</v>
      </c>
      <c r="K46" t="s">
        <v>1514</v>
      </c>
      <c r="L46" t="s">
        <v>1514</v>
      </c>
      <c r="M46" t="s">
        <v>1515</v>
      </c>
      <c r="N46" t="s">
        <v>1516</v>
      </c>
      <c r="O46" t="s">
        <v>191</v>
      </c>
      <c r="P46" t="s">
        <v>1517</v>
      </c>
      <c r="Q46" t="s">
        <v>1518</v>
      </c>
      <c r="R46">
        <v>1</v>
      </c>
    </row>
    <row r="47" spans="1:18" x14ac:dyDescent="0.3">
      <c r="A47" t="s">
        <v>196</v>
      </c>
      <c r="B47" t="s">
        <v>1589</v>
      </c>
      <c r="C47" t="s">
        <v>197</v>
      </c>
      <c r="D47" t="s">
        <v>36</v>
      </c>
      <c r="E47" t="s">
        <v>37</v>
      </c>
      <c r="F47" t="s">
        <v>198</v>
      </c>
      <c r="G47" t="s">
        <v>15</v>
      </c>
      <c r="H47" s="13">
        <v>45751</v>
      </c>
      <c r="I47" t="s">
        <v>54</v>
      </c>
      <c r="J47" t="s">
        <v>17</v>
      </c>
      <c r="K47" t="s">
        <v>1514</v>
      </c>
      <c r="L47" t="s">
        <v>1514</v>
      </c>
      <c r="M47" t="s">
        <v>196</v>
      </c>
      <c r="N47" t="s">
        <v>1514</v>
      </c>
      <c r="O47" t="s">
        <v>37</v>
      </c>
      <c r="P47" t="s">
        <v>1517</v>
      </c>
      <c r="Q47" t="s">
        <v>1514</v>
      </c>
      <c r="R47">
        <v>0</v>
      </c>
    </row>
    <row r="48" spans="1:18" x14ac:dyDescent="0.3">
      <c r="A48" t="s">
        <v>199</v>
      </c>
      <c r="B48" t="s">
        <v>1590</v>
      </c>
      <c r="C48" t="s">
        <v>200</v>
      </c>
      <c r="D48" t="s">
        <v>84</v>
      </c>
      <c r="E48" t="s">
        <v>201</v>
      </c>
      <c r="F48" t="s">
        <v>202</v>
      </c>
      <c r="G48" t="s">
        <v>22</v>
      </c>
      <c r="H48" s="13">
        <v>45278</v>
      </c>
      <c r="I48" t="s">
        <v>39</v>
      </c>
      <c r="K48" t="s">
        <v>1514</v>
      </c>
      <c r="L48" t="s">
        <v>1514</v>
      </c>
      <c r="M48" t="s">
        <v>1591</v>
      </c>
      <c r="N48" t="s">
        <v>1514</v>
      </c>
      <c r="O48" t="s">
        <v>201</v>
      </c>
      <c r="P48" t="s">
        <v>1517</v>
      </c>
      <c r="Q48" t="s">
        <v>1514</v>
      </c>
      <c r="R48">
        <v>0</v>
      </c>
    </row>
    <row r="49" spans="1:18" x14ac:dyDescent="0.3">
      <c r="A49" t="s">
        <v>203</v>
      </c>
      <c r="B49" t="s">
        <v>1592</v>
      </c>
      <c r="C49" t="s">
        <v>204</v>
      </c>
      <c r="D49" t="s">
        <v>62</v>
      </c>
      <c r="E49" t="s">
        <v>63</v>
      </c>
      <c r="F49" t="s">
        <v>205</v>
      </c>
      <c r="G49" t="s">
        <v>22</v>
      </c>
      <c r="H49" s="13">
        <v>44894</v>
      </c>
      <c r="I49" t="s">
        <v>39</v>
      </c>
      <c r="K49" t="s">
        <v>1514</v>
      </c>
      <c r="L49" t="s">
        <v>1514</v>
      </c>
      <c r="M49" t="s">
        <v>1593</v>
      </c>
      <c r="N49" t="s">
        <v>1514</v>
      </c>
      <c r="O49" t="s">
        <v>63</v>
      </c>
      <c r="P49" t="s">
        <v>1517</v>
      </c>
      <c r="Q49" t="s">
        <v>1514</v>
      </c>
      <c r="R49">
        <v>0</v>
      </c>
    </row>
    <row r="50" spans="1:18" x14ac:dyDescent="0.3">
      <c r="A50" t="s">
        <v>206</v>
      </c>
      <c r="B50" t="s">
        <v>1594</v>
      </c>
      <c r="C50" t="s">
        <v>207</v>
      </c>
      <c r="D50" t="s">
        <v>173</v>
      </c>
      <c r="E50" t="s">
        <v>191</v>
      </c>
      <c r="F50" t="s">
        <v>208</v>
      </c>
      <c r="G50" t="s">
        <v>15</v>
      </c>
      <c r="H50" s="13">
        <v>45785</v>
      </c>
      <c r="I50" t="s">
        <v>33</v>
      </c>
      <c r="K50" t="s">
        <v>1514</v>
      </c>
      <c r="L50" t="s">
        <v>1514</v>
      </c>
      <c r="M50" t="s">
        <v>1595</v>
      </c>
      <c r="N50" t="s">
        <v>1514</v>
      </c>
      <c r="O50" t="s">
        <v>191</v>
      </c>
      <c r="P50" t="s">
        <v>1517</v>
      </c>
      <c r="Q50" t="s">
        <v>1514</v>
      </c>
      <c r="R50">
        <v>0</v>
      </c>
    </row>
    <row r="51" spans="1:18" x14ac:dyDescent="0.3">
      <c r="A51" t="s">
        <v>209</v>
      </c>
      <c r="B51" t="s">
        <v>1596</v>
      </c>
      <c r="C51" t="s">
        <v>210</v>
      </c>
      <c r="D51" t="s">
        <v>36</v>
      </c>
      <c r="E51" t="s">
        <v>131</v>
      </c>
      <c r="F51" t="s">
        <v>211</v>
      </c>
      <c r="G51" t="s">
        <v>22</v>
      </c>
      <c r="H51" s="13">
        <v>45959</v>
      </c>
      <c r="I51" t="s">
        <v>33</v>
      </c>
      <c r="J51" t="s">
        <v>50</v>
      </c>
      <c r="K51" t="s">
        <v>1514</v>
      </c>
      <c r="L51" t="s">
        <v>1514</v>
      </c>
      <c r="M51" t="s">
        <v>1597</v>
      </c>
      <c r="N51" t="s">
        <v>1514</v>
      </c>
      <c r="O51" t="s">
        <v>131</v>
      </c>
      <c r="P51" t="s">
        <v>1517</v>
      </c>
      <c r="Q51" t="s">
        <v>1514</v>
      </c>
      <c r="R51">
        <v>0</v>
      </c>
    </row>
    <row r="52" spans="1:18" x14ac:dyDescent="0.3">
      <c r="A52" t="s">
        <v>212</v>
      </c>
      <c r="B52" t="s">
        <v>1598</v>
      </c>
      <c r="C52" t="s">
        <v>213</v>
      </c>
      <c r="D52" t="s">
        <v>47</v>
      </c>
      <c r="E52" t="s">
        <v>48</v>
      </c>
      <c r="F52" t="s">
        <v>214</v>
      </c>
      <c r="G52" t="s">
        <v>22</v>
      </c>
      <c r="H52" s="13">
        <v>45007</v>
      </c>
      <c r="I52" t="s">
        <v>16</v>
      </c>
      <c r="K52" t="s">
        <v>1514</v>
      </c>
      <c r="L52" t="s">
        <v>1514</v>
      </c>
      <c r="M52" t="s">
        <v>212</v>
      </c>
      <c r="N52" t="s">
        <v>1514</v>
      </c>
      <c r="O52" t="s">
        <v>48</v>
      </c>
      <c r="P52" t="s">
        <v>1517</v>
      </c>
      <c r="Q52" t="s">
        <v>1514</v>
      </c>
      <c r="R52">
        <v>0</v>
      </c>
    </row>
    <row r="53" spans="1:18" x14ac:dyDescent="0.3">
      <c r="A53" t="s">
        <v>215</v>
      </c>
      <c r="B53" t="s">
        <v>1599</v>
      </c>
      <c r="C53" t="s">
        <v>216</v>
      </c>
      <c r="D53" t="s">
        <v>84</v>
      </c>
      <c r="E53" t="s">
        <v>85</v>
      </c>
      <c r="F53" t="s">
        <v>217</v>
      </c>
      <c r="G53" t="s">
        <v>15</v>
      </c>
      <c r="H53" s="13">
        <v>45439</v>
      </c>
      <c r="I53" t="s">
        <v>33</v>
      </c>
      <c r="K53" t="s">
        <v>1514</v>
      </c>
      <c r="L53" t="s">
        <v>1514</v>
      </c>
      <c r="M53" t="s">
        <v>84</v>
      </c>
      <c r="N53" t="s">
        <v>1514</v>
      </c>
      <c r="O53" t="s">
        <v>85</v>
      </c>
      <c r="P53" t="s">
        <v>1517</v>
      </c>
      <c r="Q53" t="s">
        <v>1514</v>
      </c>
      <c r="R53">
        <v>0</v>
      </c>
    </row>
    <row r="54" spans="1:18" x14ac:dyDescent="0.3">
      <c r="A54" t="s">
        <v>218</v>
      </c>
      <c r="B54" t="s">
        <v>1600</v>
      </c>
      <c r="C54" t="s">
        <v>219</v>
      </c>
      <c r="D54" t="s">
        <v>62</v>
      </c>
      <c r="E54" t="s">
        <v>89</v>
      </c>
      <c r="F54" t="s">
        <v>220</v>
      </c>
      <c r="G54" t="s">
        <v>22</v>
      </c>
      <c r="H54" s="13">
        <v>45238</v>
      </c>
      <c r="I54" t="s">
        <v>16</v>
      </c>
      <c r="J54" t="s">
        <v>50</v>
      </c>
      <c r="K54" t="s">
        <v>1514</v>
      </c>
      <c r="L54" t="s">
        <v>1514</v>
      </c>
      <c r="M54" t="s">
        <v>1601</v>
      </c>
      <c r="N54" t="s">
        <v>1514</v>
      </c>
      <c r="O54" t="s">
        <v>89</v>
      </c>
      <c r="P54" t="s">
        <v>1517</v>
      </c>
      <c r="Q54" t="s">
        <v>1514</v>
      </c>
      <c r="R54">
        <v>0</v>
      </c>
    </row>
    <row r="55" spans="1:18" x14ac:dyDescent="0.3">
      <c r="A55" t="s">
        <v>221</v>
      </c>
      <c r="B55" t="s">
        <v>1602</v>
      </c>
      <c r="C55" t="s">
        <v>222</v>
      </c>
      <c r="D55" t="s">
        <v>57</v>
      </c>
      <c r="E55" t="s">
        <v>223</v>
      </c>
      <c r="F55" t="s">
        <v>224</v>
      </c>
      <c r="G55" t="s">
        <v>15</v>
      </c>
      <c r="H55" s="13">
        <v>45680</v>
      </c>
      <c r="I55" t="s">
        <v>33</v>
      </c>
      <c r="K55" t="s">
        <v>1514</v>
      </c>
      <c r="L55" t="s">
        <v>1514</v>
      </c>
      <c r="M55" t="s">
        <v>1515</v>
      </c>
      <c r="N55" t="s">
        <v>1516</v>
      </c>
      <c r="O55" t="s">
        <v>223</v>
      </c>
      <c r="P55" t="s">
        <v>1517</v>
      </c>
      <c r="Q55" t="s">
        <v>1518</v>
      </c>
      <c r="R55">
        <v>1</v>
      </c>
    </row>
    <row r="56" spans="1:18" x14ac:dyDescent="0.3">
      <c r="A56" t="s">
        <v>225</v>
      </c>
      <c r="B56" t="s">
        <v>1603</v>
      </c>
      <c r="C56" t="s">
        <v>226</v>
      </c>
      <c r="D56" t="s">
        <v>42</v>
      </c>
      <c r="E56" t="s">
        <v>76</v>
      </c>
      <c r="F56" t="s">
        <v>227</v>
      </c>
      <c r="G56" t="s">
        <v>15</v>
      </c>
      <c r="H56" s="13">
        <v>45817</v>
      </c>
      <c r="I56" t="s">
        <v>16</v>
      </c>
      <c r="K56" t="s">
        <v>1514</v>
      </c>
      <c r="L56" t="s">
        <v>1514</v>
      </c>
      <c r="M56" t="s">
        <v>1604</v>
      </c>
      <c r="N56" t="s">
        <v>1514</v>
      </c>
      <c r="O56" t="s">
        <v>76</v>
      </c>
      <c r="P56" t="s">
        <v>1517</v>
      </c>
      <c r="Q56" t="s">
        <v>1514</v>
      </c>
      <c r="R56">
        <v>0</v>
      </c>
    </row>
    <row r="57" spans="1:18" x14ac:dyDescent="0.3">
      <c r="A57" t="s">
        <v>228</v>
      </c>
      <c r="B57" t="s">
        <v>1605</v>
      </c>
      <c r="C57" t="s">
        <v>229</v>
      </c>
      <c r="D57" t="s">
        <v>27</v>
      </c>
      <c r="E57" t="s">
        <v>230</v>
      </c>
      <c r="F57" t="s">
        <v>231</v>
      </c>
      <c r="G57" t="s">
        <v>22</v>
      </c>
      <c r="H57" s="13">
        <v>45055</v>
      </c>
      <c r="I57" t="s">
        <v>16</v>
      </c>
      <c r="J57" t="s">
        <v>50</v>
      </c>
      <c r="K57" t="s">
        <v>1514</v>
      </c>
      <c r="L57" t="s">
        <v>1514</v>
      </c>
      <c r="M57" t="s">
        <v>1606</v>
      </c>
      <c r="N57" t="s">
        <v>1514</v>
      </c>
      <c r="O57" t="s">
        <v>230</v>
      </c>
      <c r="P57" t="s">
        <v>1517</v>
      </c>
      <c r="Q57" t="s">
        <v>1514</v>
      </c>
      <c r="R57">
        <v>0</v>
      </c>
    </row>
    <row r="58" spans="1:18" x14ac:dyDescent="0.3">
      <c r="A58" t="s">
        <v>232</v>
      </c>
      <c r="B58" t="s">
        <v>1607</v>
      </c>
      <c r="C58" t="s">
        <v>233</v>
      </c>
      <c r="D58" t="s">
        <v>84</v>
      </c>
      <c r="E58" t="s">
        <v>234</v>
      </c>
      <c r="F58" t="s">
        <v>235</v>
      </c>
      <c r="G58" t="s">
        <v>15</v>
      </c>
      <c r="H58" s="13">
        <v>45535</v>
      </c>
      <c r="I58" t="s">
        <v>39</v>
      </c>
      <c r="J58" t="s">
        <v>24</v>
      </c>
      <c r="K58" t="s">
        <v>1514</v>
      </c>
      <c r="L58" t="s">
        <v>1514</v>
      </c>
      <c r="M58" t="s">
        <v>1608</v>
      </c>
      <c r="N58" t="s">
        <v>1514</v>
      </c>
      <c r="O58" t="s">
        <v>234</v>
      </c>
      <c r="P58" t="s">
        <v>1517</v>
      </c>
      <c r="Q58" t="s">
        <v>1514</v>
      </c>
      <c r="R58">
        <v>0</v>
      </c>
    </row>
    <row r="59" spans="1:18" x14ac:dyDescent="0.3">
      <c r="A59" t="s">
        <v>236</v>
      </c>
      <c r="B59" t="s">
        <v>1609</v>
      </c>
      <c r="C59" t="s">
        <v>237</v>
      </c>
      <c r="D59" t="s">
        <v>47</v>
      </c>
      <c r="E59" t="s">
        <v>112</v>
      </c>
      <c r="F59" t="s">
        <v>238</v>
      </c>
      <c r="G59" t="s">
        <v>15</v>
      </c>
      <c r="H59" s="13">
        <v>45490</v>
      </c>
      <c r="I59" t="s">
        <v>39</v>
      </c>
      <c r="K59" t="s">
        <v>1514</v>
      </c>
      <c r="L59" t="s">
        <v>1514</v>
      </c>
      <c r="M59" t="s">
        <v>1610</v>
      </c>
      <c r="N59" t="s">
        <v>1514</v>
      </c>
      <c r="O59" t="s">
        <v>112</v>
      </c>
      <c r="P59" t="s">
        <v>1517</v>
      </c>
      <c r="Q59" t="s">
        <v>1514</v>
      </c>
      <c r="R59">
        <v>0</v>
      </c>
    </row>
    <row r="60" spans="1:18" x14ac:dyDescent="0.3">
      <c r="A60" t="s">
        <v>239</v>
      </c>
      <c r="B60" t="s">
        <v>1611</v>
      </c>
      <c r="C60" t="s">
        <v>240</v>
      </c>
      <c r="D60" t="s">
        <v>27</v>
      </c>
      <c r="E60" t="s">
        <v>241</v>
      </c>
      <c r="F60" t="s">
        <v>242</v>
      </c>
      <c r="G60" t="s">
        <v>22</v>
      </c>
      <c r="H60" s="13">
        <v>45027</v>
      </c>
      <c r="I60" t="s">
        <v>54</v>
      </c>
      <c r="K60" t="s">
        <v>1514</v>
      </c>
      <c r="L60" t="s">
        <v>1514</v>
      </c>
      <c r="M60" t="s">
        <v>1612</v>
      </c>
      <c r="N60" t="s">
        <v>1514</v>
      </c>
      <c r="O60" t="s">
        <v>241</v>
      </c>
      <c r="P60" t="s">
        <v>1517</v>
      </c>
      <c r="Q60" t="s">
        <v>1514</v>
      </c>
      <c r="R60">
        <v>0</v>
      </c>
    </row>
    <row r="61" spans="1:18" x14ac:dyDescent="0.3">
      <c r="A61" t="s">
        <v>243</v>
      </c>
      <c r="B61" t="s">
        <v>1613</v>
      </c>
      <c r="C61" t="s">
        <v>244</v>
      </c>
      <c r="D61" t="s">
        <v>36</v>
      </c>
      <c r="E61" t="s">
        <v>162</v>
      </c>
      <c r="F61" t="s">
        <v>245</v>
      </c>
      <c r="G61" t="s">
        <v>15</v>
      </c>
      <c r="H61" s="13">
        <v>45183</v>
      </c>
      <c r="I61" t="s">
        <v>39</v>
      </c>
      <c r="K61" t="s">
        <v>1514</v>
      </c>
      <c r="L61" t="s">
        <v>1514</v>
      </c>
      <c r="M61" t="s">
        <v>1614</v>
      </c>
      <c r="N61" t="s">
        <v>1514</v>
      </c>
      <c r="O61" t="s">
        <v>162</v>
      </c>
      <c r="P61" t="s">
        <v>1517</v>
      </c>
      <c r="Q61" t="s">
        <v>1514</v>
      </c>
      <c r="R61">
        <v>0</v>
      </c>
    </row>
    <row r="62" spans="1:18" x14ac:dyDescent="0.3">
      <c r="A62" t="s">
        <v>246</v>
      </c>
      <c r="B62" t="s">
        <v>1615</v>
      </c>
      <c r="C62" t="s">
        <v>247</v>
      </c>
      <c r="D62" t="s">
        <v>84</v>
      </c>
      <c r="E62" t="s">
        <v>248</v>
      </c>
      <c r="F62" t="s">
        <v>249</v>
      </c>
      <c r="G62" t="s">
        <v>15</v>
      </c>
      <c r="H62" s="13">
        <v>45858</v>
      </c>
      <c r="I62" t="s">
        <v>54</v>
      </c>
      <c r="J62" t="s">
        <v>50</v>
      </c>
      <c r="K62" t="s">
        <v>1514</v>
      </c>
      <c r="L62" t="s">
        <v>1514</v>
      </c>
      <c r="M62" t="s">
        <v>248</v>
      </c>
      <c r="N62" t="s">
        <v>1514</v>
      </c>
      <c r="O62" t="s">
        <v>248</v>
      </c>
      <c r="P62" t="s">
        <v>1517</v>
      </c>
      <c r="Q62" t="s">
        <v>1514</v>
      </c>
      <c r="R62">
        <v>0</v>
      </c>
    </row>
    <row r="63" spans="1:18" x14ac:dyDescent="0.3">
      <c r="A63" t="s">
        <v>250</v>
      </c>
      <c r="B63" t="s">
        <v>1616</v>
      </c>
      <c r="C63" t="s">
        <v>251</v>
      </c>
      <c r="D63" t="s">
        <v>57</v>
      </c>
      <c r="E63" t="s">
        <v>252</v>
      </c>
      <c r="F63" t="s">
        <v>253</v>
      </c>
      <c r="G63" t="s">
        <v>15</v>
      </c>
      <c r="H63" s="13">
        <v>45223</v>
      </c>
      <c r="I63" t="s">
        <v>39</v>
      </c>
      <c r="K63" t="s">
        <v>1514</v>
      </c>
      <c r="L63" t="s">
        <v>1514</v>
      </c>
      <c r="M63" t="s">
        <v>1515</v>
      </c>
      <c r="N63" t="s">
        <v>1516</v>
      </c>
      <c r="O63" t="s">
        <v>252</v>
      </c>
      <c r="P63" t="s">
        <v>1517</v>
      </c>
      <c r="Q63" t="s">
        <v>1518</v>
      </c>
      <c r="R63">
        <v>1</v>
      </c>
    </row>
    <row r="64" spans="1:18" x14ac:dyDescent="0.3">
      <c r="A64" t="s">
        <v>254</v>
      </c>
      <c r="B64" t="s">
        <v>1617</v>
      </c>
      <c r="C64" t="s">
        <v>255</v>
      </c>
      <c r="D64" t="s">
        <v>62</v>
      </c>
      <c r="E64" t="s">
        <v>154</v>
      </c>
      <c r="F64" t="s">
        <v>256</v>
      </c>
      <c r="G64" t="s">
        <v>22</v>
      </c>
      <c r="H64" s="13">
        <v>45673</v>
      </c>
      <c r="I64" t="s">
        <v>23</v>
      </c>
      <c r="J64" t="s">
        <v>17</v>
      </c>
      <c r="K64" t="s">
        <v>1514</v>
      </c>
      <c r="L64" t="s">
        <v>1514</v>
      </c>
      <c r="M64" t="s">
        <v>254</v>
      </c>
      <c r="N64" t="s">
        <v>1514</v>
      </c>
      <c r="O64" t="s">
        <v>154</v>
      </c>
      <c r="P64" t="s">
        <v>1517</v>
      </c>
      <c r="Q64" t="s">
        <v>1514</v>
      </c>
      <c r="R64">
        <v>0</v>
      </c>
    </row>
    <row r="65" spans="1:18" x14ac:dyDescent="0.3">
      <c r="A65" t="s">
        <v>257</v>
      </c>
      <c r="B65" t="s">
        <v>1618</v>
      </c>
      <c r="C65" t="s">
        <v>258</v>
      </c>
      <c r="D65" t="s">
        <v>84</v>
      </c>
      <c r="E65" t="s">
        <v>119</v>
      </c>
      <c r="F65" t="s">
        <v>259</v>
      </c>
      <c r="G65" t="s">
        <v>22</v>
      </c>
      <c r="H65" s="13">
        <v>45766</v>
      </c>
      <c r="I65" t="s">
        <v>16</v>
      </c>
      <c r="K65" t="s">
        <v>1514</v>
      </c>
      <c r="L65" t="s">
        <v>1514</v>
      </c>
      <c r="M65" t="s">
        <v>1619</v>
      </c>
      <c r="N65" t="s">
        <v>1514</v>
      </c>
      <c r="O65" t="s">
        <v>119</v>
      </c>
      <c r="P65" t="s">
        <v>1517</v>
      </c>
      <c r="Q65" t="s">
        <v>1514</v>
      </c>
      <c r="R65">
        <v>0</v>
      </c>
    </row>
    <row r="66" spans="1:18" x14ac:dyDescent="0.3">
      <c r="A66" t="s">
        <v>260</v>
      </c>
      <c r="B66" t="s">
        <v>1620</v>
      </c>
      <c r="C66" t="s">
        <v>261</v>
      </c>
      <c r="D66" t="s">
        <v>27</v>
      </c>
      <c r="E66" t="s">
        <v>230</v>
      </c>
      <c r="F66" t="s">
        <v>262</v>
      </c>
      <c r="G66" t="s">
        <v>22</v>
      </c>
      <c r="H66" s="13">
        <v>44944</v>
      </c>
      <c r="I66" t="s">
        <v>33</v>
      </c>
      <c r="J66" t="s">
        <v>17</v>
      </c>
      <c r="K66" t="s">
        <v>1514</v>
      </c>
      <c r="L66" t="s">
        <v>1514</v>
      </c>
      <c r="M66" t="s">
        <v>1621</v>
      </c>
      <c r="N66" t="s">
        <v>1514</v>
      </c>
      <c r="O66" t="s">
        <v>230</v>
      </c>
      <c r="P66" t="s">
        <v>1517</v>
      </c>
      <c r="Q66" t="s">
        <v>1514</v>
      </c>
      <c r="R66">
        <v>0</v>
      </c>
    </row>
    <row r="67" spans="1:18" x14ac:dyDescent="0.3">
      <c r="A67" t="s">
        <v>263</v>
      </c>
      <c r="B67" t="s">
        <v>1622</v>
      </c>
      <c r="C67" t="s">
        <v>264</v>
      </c>
      <c r="D67" t="s">
        <v>42</v>
      </c>
      <c r="E67" t="s">
        <v>108</v>
      </c>
      <c r="F67" t="s">
        <v>265</v>
      </c>
      <c r="G67" t="s">
        <v>15</v>
      </c>
      <c r="H67" s="13">
        <v>45890</v>
      </c>
      <c r="I67" t="s">
        <v>23</v>
      </c>
      <c r="J67" t="s">
        <v>78</v>
      </c>
      <c r="K67" t="s">
        <v>1514</v>
      </c>
      <c r="L67" t="s">
        <v>1514</v>
      </c>
      <c r="M67" t="s">
        <v>263</v>
      </c>
      <c r="N67" t="s">
        <v>1514</v>
      </c>
      <c r="O67" t="s">
        <v>108</v>
      </c>
      <c r="P67" t="s">
        <v>1517</v>
      </c>
      <c r="Q67" t="s">
        <v>1514</v>
      </c>
      <c r="R67">
        <v>0</v>
      </c>
    </row>
    <row r="68" spans="1:18" x14ac:dyDescent="0.3">
      <c r="A68" t="s">
        <v>82</v>
      </c>
      <c r="B68" t="s">
        <v>1623</v>
      </c>
      <c r="C68" t="s">
        <v>266</v>
      </c>
      <c r="D68" t="s">
        <v>84</v>
      </c>
      <c r="E68" t="s">
        <v>85</v>
      </c>
      <c r="F68" t="s">
        <v>267</v>
      </c>
      <c r="G68" t="s">
        <v>15</v>
      </c>
      <c r="H68" s="13">
        <v>45020</v>
      </c>
      <c r="I68" t="s">
        <v>39</v>
      </c>
      <c r="J68" t="s">
        <v>78</v>
      </c>
      <c r="K68" t="s">
        <v>1514</v>
      </c>
      <c r="L68" t="s">
        <v>1514</v>
      </c>
      <c r="M68" t="s">
        <v>1515</v>
      </c>
      <c r="N68" t="s">
        <v>1516</v>
      </c>
      <c r="O68" t="s">
        <v>85</v>
      </c>
      <c r="P68" t="s">
        <v>1517</v>
      </c>
      <c r="Q68" t="s">
        <v>1518</v>
      </c>
      <c r="R68">
        <v>1</v>
      </c>
    </row>
    <row r="69" spans="1:18" x14ac:dyDescent="0.3">
      <c r="A69" t="s">
        <v>268</v>
      </c>
      <c r="B69" t="s">
        <v>1624</v>
      </c>
      <c r="C69" t="s">
        <v>269</v>
      </c>
      <c r="D69" t="s">
        <v>173</v>
      </c>
      <c r="E69" t="s">
        <v>270</v>
      </c>
      <c r="F69" t="s">
        <v>271</v>
      </c>
      <c r="G69" t="s">
        <v>15</v>
      </c>
      <c r="H69" s="13">
        <v>45240</v>
      </c>
      <c r="I69" t="s">
        <v>16</v>
      </c>
      <c r="K69" t="s">
        <v>1514</v>
      </c>
      <c r="L69" t="s">
        <v>1514</v>
      </c>
      <c r="M69" t="s">
        <v>1625</v>
      </c>
      <c r="N69" t="s">
        <v>1514</v>
      </c>
      <c r="O69" t="s">
        <v>270</v>
      </c>
      <c r="P69" t="s">
        <v>1517</v>
      </c>
      <c r="Q69" t="s">
        <v>1514</v>
      </c>
      <c r="R69">
        <v>0</v>
      </c>
    </row>
    <row r="70" spans="1:18" x14ac:dyDescent="0.3">
      <c r="A70" t="s">
        <v>272</v>
      </c>
      <c r="B70" t="s">
        <v>1626</v>
      </c>
      <c r="C70" t="s">
        <v>273</v>
      </c>
      <c r="D70" t="s">
        <v>173</v>
      </c>
      <c r="E70" t="s">
        <v>270</v>
      </c>
      <c r="F70" t="s">
        <v>274</v>
      </c>
      <c r="G70" t="s">
        <v>15</v>
      </c>
      <c r="H70" s="13">
        <v>45709</v>
      </c>
      <c r="I70" t="s">
        <v>39</v>
      </c>
      <c r="J70" t="s">
        <v>24</v>
      </c>
      <c r="K70" t="s">
        <v>1514</v>
      </c>
      <c r="L70" t="s">
        <v>1514</v>
      </c>
      <c r="M70" t="s">
        <v>1515</v>
      </c>
      <c r="N70" t="s">
        <v>1516</v>
      </c>
      <c r="O70" t="s">
        <v>270</v>
      </c>
      <c r="P70" t="s">
        <v>1517</v>
      </c>
      <c r="Q70" t="s">
        <v>1518</v>
      </c>
      <c r="R70">
        <v>1</v>
      </c>
    </row>
    <row r="71" spans="1:18" x14ac:dyDescent="0.3">
      <c r="A71" t="s">
        <v>275</v>
      </c>
      <c r="B71" t="s">
        <v>1627</v>
      </c>
      <c r="C71" t="s">
        <v>276</v>
      </c>
      <c r="D71" t="s">
        <v>71</v>
      </c>
      <c r="E71" t="s">
        <v>277</v>
      </c>
      <c r="F71" t="s">
        <v>278</v>
      </c>
      <c r="G71" t="s">
        <v>15</v>
      </c>
      <c r="H71" s="13">
        <v>45382</v>
      </c>
      <c r="I71" t="s">
        <v>33</v>
      </c>
      <c r="J71" t="s">
        <v>50</v>
      </c>
      <c r="K71" t="s">
        <v>1514</v>
      </c>
      <c r="L71" t="s">
        <v>1514</v>
      </c>
      <c r="M71" t="s">
        <v>1628</v>
      </c>
      <c r="N71" t="s">
        <v>1514</v>
      </c>
      <c r="O71" t="s">
        <v>277</v>
      </c>
      <c r="P71" t="s">
        <v>1517</v>
      </c>
      <c r="Q71" t="s">
        <v>1514</v>
      </c>
      <c r="R71">
        <v>0</v>
      </c>
    </row>
    <row r="72" spans="1:18" x14ac:dyDescent="0.3">
      <c r="A72" t="s">
        <v>279</v>
      </c>
      <c r="B72" t="s">
        <v>1629</v>
      </c>
      <c r="C72" t="s">
        <v>280</v>
      </c>
      <c r="D72" t="s">
        <v>36</v>
      </c>
      <c r="E72" t="s">
        <v>131</v>
      </c>
      <c r="F72" t="s">
        <v>281</v>
      </c>
      <c r="G72" t="s">
        <v>15</v>
      </c>
      <c r="H72" s="13">
        <v>45568</v>
      </c>
      <c r="I72" t="s">
        <v>16</v>
      </c>
      <c r="K72" t="s">
        <v>1514</v>
      </c>
      <c r="L72" t="s">
        <v>1514</v>
      </c>
      <c r="M72" t="s">
        <v>1515</v>
      </c>
      <c r="N72" t="s">
        <v>1516</v>
      </c>
      <c r="O72" t="s">
        <v>131</v>
      </c>
      <c r="P72" t="s">
        <v>1517</v>
      </c>
      <c r="Q72" t="s">
        <v>1518</v>
      </c>
      <c r="R72">
        <v>1</v>
      </c>
    </row>
    <row r="73" spans="1:18" x14ac:dyDescent="0.3">
      <c r="A73" t="s">
        <v>282</v>
      </c>
      <c r="B73" t="s">
        <v>1630</v>
      </c>
      <c r="C73" t="s">
        <v>283</v>
      </c>
      <c r="D73" t="s">
        <v>47</v>
      </c>
      <c r="E73" t="s">
        <v>112</v>
      </c>
      <c r="F73" t="s">
        <v>284</v>
      </c>
      <c r="G73" t="s">
        <v>15</v>
      </c>
      <c r="H73" s="13">
        <v>45892</v>
      </c>
      <c r="I73" t="s">
        <v>39</v>
      </c>
      <c r="J73" t="s">
        <v>95</v>
      </c>
      <c r="K73" t="s">
        <v>1514</v>
      </c>
      <c r="L73" t="s">
        <v>1514</v>
      </c>
      <c r="M73" t="s">
        <v>1631</v>
      </c>
      <c r="N73" t="s">
        <v>1514</v>
      </c>
      <c r="O73" t="s">
        <v>112</v>
      </c>
      <c r="P73" t="s">
        <v>1517</v>
      </c>
      <c r="Q73" t="s">
        <v>1514</v>
      </c>
      <c r="R73">
        <v>0</v>
      </c>
    </row>
    <row r="74" spans="1:18" x14ac:dyDescent="0.3">
      <c r="A74" t="s">
        <v>285</v>
      </c>
      <c r="B74" t="s">
        <v>1632</v>
      </c>
      <c r="C74" t="s">
        <v>286</v>
      </c>
      <c r="D74" t="s">
        <v>47</v>
      </c>
      <c r="E74" t="s">
        <v>48</v>
      </c>
      <c r="F74" t="s">
        <v>287</v>
      </c>
      <c r="G74" t="s">
        <v>15</v>
      </c>
      <c r="H74" s="13">
        <v>44903</v>
      </c>
      <c r="I74" t="s">
        <v>33</v>
      </c>
      <c r="J74" t="s">
        <v>50</v>
      </c>
      <c r="K74" t="s">
        <v>1514</v>
      </c>
      <c r="L74" t="s">
        <v>1514</v>
      </c>
      <c r="M74" t="s">
        <v>1633</v>
      </c>
      <c r="N74" t="s">
        <v>1514</v>
      </c>
      <c r="O74" t="s">
        <v>48</v>
      </c>
      <c r="P74" t="s">
        <v>1517</v>
      </c>
      <c r="Q74" t="s">
        <v>1514</v>
      </c>
      <c r="R74">
        <v>0</v>
      </c>
    </row>
    <row r="75" spans="1:18" x14ac:dyDescent="0.3">
      <c r="A75" t="s">
        <v>288</v>
      </c>
      <c r="B75" t="s">
        <v>1634</v>
      </c>
      <c r="C75" t="s">
        <v>289</v>
      </c>
      <c r="D75" t="s">
        <v>42</v>
      </c>
      <c r="E75" t="s">
        <v>76</v>
      </c>
      <c r="F75" t="s">
        <v>290</v>
      </c>
      <c r="G75" t="s">
        <v>15</v>
      </c>
      <c r="H75" s="13">
        <v>45448</v>
      </c>
      <c r="I75" t="s">
        <v>39</v>
      </c>
      <c r="J75" t="s">
        <v>95</v>
      </c>
      <c r="K75" t="s">
        <v>1514</v>
      </c>
      <c r="L75" t="s">
        <v>1514</v>
      </c>
      <c r="M75" t="s">
        <v>1635</v>
      </c>
      <c r="N75" t="s">
        <v>1514</v>
      </c>
      <c r="O75" t="s">
        <v>76</v>
      </c>
      <c r="P75" t="s">
        <v>1517</v>
      </c>
      <c r="Q75" t="s">
        <v>1514</v>
      </c>
      <c r="R75">
        <v>0</v>
      </c>
    </row>
    <row r="76" spans="1:18" x14ac:dyDescent="0.3">
      <c r="A76" t="s">
        <v>291</v>
      </c>
      <c r="B76" t="s">
        <v>1636</v>
      </c>
      <c r="C76" t="s">
        <v>292</v>
      </c>
      <c r="D76" t="s">
        <v>84</v>
      </c>
      <c r="E76" t="s">
        <v>85</v>
      </c>
      <c r="F76" t="s">
        <v>293</v>
      </c>
      <c r="G76" t="s">
        <v>15</v>
      </c>
      <c r="H76" s="13">
        <v>45594</v>
      </c>
      <c r="I76" t="s">
        <v>23</v>
      </c>
      <c r="K76" t="s">
        <v>1514</v>
      </c>
      <c r="L76" t="s">
        <v>1514</v>
      </c>
      <c r="M76" t="s">
        <v>1637</v>
      </c>
      <c r="N76" t="s">
        <v>1514</v>
      </c>
      <c r="O76" t="s">
        <v>85</v>
      </c>
      <c r="P76" t="s">
        <v>1517</v>
      </c>
      <c r="Q76" t="s">
        <v>1514</v>
      </c>
      <c r="R76">
        <v>0</v>
      </c>
    </row>
    <row r="77" spans="1:18" x14ac:dyDescent="0.3">
      <c r="A77" t="s">
        <v>294</v>
      </c>
      <c r="B77" t="s">
        <v>1638</v>
      </c>
      <c r="C77" t="s">
        <v>295</v>
      </c>
      <c r="D77" t="s">
        <v>47</v>
      </c>
      <c r="E77" t="s">
        <v>112</v>
      </c>
      <c r="F77" t="s">
        <v>296</v>
      </c>
      <c r="G77" t="s">
        <v>22</v>
      </c>
      <c r="H77" s="13">
        <v>45526</v>
      </c>
      <c r="I77" t="s">
        <v>39</v>
      </c>
      <c r="J77" t="s">
        <v>78</v>
      </c>
      <c r="K77" t="s">
        <v>1514</v>
      </c>
      <c r="L77" t="s">
        <v>1514</v>
      </c>
      <c r="M77" t="s">
        <v>1639</v>
      </c>
      <c r="N77" t="s">
        <v>1514</v>
      </c>
      <c r="O77" t="s">
        <v>112</v>
      </c>
      <c r="P77" t="s">
        <v>1517</v>
      </c>
      <c r="Q77" t="s">
        <v>1514</v>
      </c>
      <c r="R77">
        <v>0</v>
      </c>
    </row>
    <row r="78" spans="1:18" x14ac:dyDescent="0.3">
      <c r="A78" t="s">
        <v>297</v>
      </c>
      <c r="B78" t="s">
        <v>1640</v>
      </c>
      <c r="C78" t="s">
        <v>298</v>
      </c>
      <c r="D78" t="s">
        <v>71</v>
      </c>
      <c r="E78" t="s">
        <v>93</v>
      </c>
      <c r="F78" t="s">
        <v>299</v>
      </c>
      <c r="G78" t="s">
        <v>22</v>
      </c>
      <c r="H78" s="13">
        <v>45113</v>
      </c>
      <c r="I78" t="s">
        <v>16</v>
      </c>
      <c r="J78" t="s">
        <v>78</v>
      </c>
      <c r="K78" t="s">
        <v>1514</v>
      </c>
      <c r="L78" t="s">
        <v>1514</v>
      </c>
      <c r="M78" t="s">
        <v>1641</v>
      </c>
      <c r="N78" t="s">
        <v>1514</v>
      </c>
      <c r="O78" t="s">
        <v>93</v>
      </c>
      <c r="P78" t="s">
        <v>1517</v>
      </c>
      <c r="Q78" t="s">
        <v>1514</v>
      </c>
      <c r="R78">
        <v>0</v>
      </c>
    </row>
    <row r="79" spans="1:18" x14ac:dyDescent="0.3">
      <c r="A79" t="s">
        <v>300</v>
      </c>
      <c r="B79" t="s">
        <v>1642</v>
      </c>
      <c r="C79" t="s">
        <v>301</v>
      </c>
      <c r="D79" t="s">
        <v>57</v>
      </c>
      <c r="E79" t="s">
        <v>58</v>
      </c>
      <c r="F79" t="s">
        <v>302</v>
      </c>
      <c r="G79" t="s">
        <v>15</v>
      </c>
      <c r="H79" s="13">
        <v>45495</v>
      </c>
      <c r="I79" t="s">
        <v>39</v>
      </c>
      <c r="J79" t="s">
        <v>24</v>
      </c>
      <c r="K79" t="s">
        <v>1514</v>
      </c>
      <c r="L79" t="s">
        <v>1514</v>
      </c>
      <c r="M79" t="s">
        <v>58</v>
      </c>
      <c r="N79" t="s">
        <v>1514</v>
      </c>
      <c r="O79" t="s">
        <v>58</v>
      </c>
      <c r="P79" t="s">
        <v>1517</v>
      </c>
      <c r="Q79" t="s">
        <v>1514</v>
      </c>
      <c r="R79">
        <v>0</v>
      </c>
    </row>
    <row r="80" spans="1:18" x14ac:dyDescent="0.3">
      <c r="A80" t="s">
        <v>303</v>
      </c>
      <c r="B80" t="s">
        <v>1643</v>
      </c>
      <c r="C80" t="s">
        <v>304</v>
      </c>
      <c r="D80" t="s">
        <v>42</v>
      </c>
      <c r="E80" t="s">
        <v>305</v>
      </c>
      <c r="F80" t="s">
        <v>306</v>
      </c>
      <c r="G80" t="s">
        <v>15</v>
      </c>
      <c r="H80" s="13">
        <v>45744</v>
      </c>
      <c r="I80" t="s">
        <v>16</v>
      </c>
      <c r="K80" t="s">
        <v>1514</v>
      </c>
      <c r="L80" t="s">
        <v>1514</v>
      </c>
      <c r="M80" t="s">
        <v>1644</v>
      </c>
      <c r="N80" t="s">
        <v>1514</v>
      </c>
      <c r="O80" t="s">
        <v>305</v>
      </c>
      <c r="P80" t="s">
        <v>1517</v>
      </c>
      <c r="Q80" t="s">
        <v>1514</v>
      </c>
      <c r="R80">
        <v>0</v>
      </c>
    </row>
    <row r="81" spans="1:18" x14ac:dyDescent="0.3">
      <c r="A81" t="s">
        <v>307</v>
      </c>
      <c r="B81" t="s">
        <v>1645</v>
      </c>
      <c r="C81" t="s">
        <v>308</v>
      </c>
      <c r="D81" t="s">
        <v>12</v>
      </c>
      <c r="E81" t="s">
        <v>138</v>
      </c>
      <c r="F81" t="s">
        <v>309</v>
      </c>
      <c r="G81" t="s">
        <v>15</v>
      </c>
      <c r="H81" s="13">
        <v>44970</v>
      </c>
      <c r="I81" t="s">
        <v>39</v>
      </c>
      <c r="J81" t="s">
        <v>95</v>
      </c>
      <c r="K81" t="s">
        <v>1514</v>
      </c>
      <c r="L81" t="s">
        <v>1514</v>
      </c>
      <c r="M81" t="s">
        <v>12</v>
      </c>
      <c r="N81" t="s">
        <v>1514</v>
      </c>
      <c r="O81" t="s">
        <v>138</v>
      </c>
      <c r="P81" t="s">
        <v>1517</v>
      </c>
      <c r="Q81" t="s">
        <v>1514</v>
      </c>
      <c r="R81">
        <v>0</v>
      </c>
    </row>
    <row r="82" spans="1:18" x14ac:dyDescent="0.3">
      <c r="A82" t="s">
        <v>310</v>
      </c>
      <c r="B82" t="s">
        <v>1646</v>
      </c>
      <c r="C82" t="s">
        <v>311</v>
      </c>
      <c r="D82" t="s">
        <v>57</v>
      </c>
      <c r="E82" t="s">
        <v>312</v>
      </c>
      <c r="F82" t="s">
        <v>313</v>
      </c>
      <c r="G82" t="s">
        <v>22</v>
      </c>
      <c r="H82" s="13">
        <v>45381</v>
      </c>
      <c r="I82" t="s">
        <v>23</v>
      </c>
      <c r="K82" t="s">
        <v>1514</v>
      </c>
      <c r="L82" t="s">
        <v>1514</v>
      </c>
      <c r="M82" t="s">
        <v>312</v>
      </c>
      <c r="N82" t="s">
        <v>1514</v>
      </c>
      <c r="O82" t="s">
        <v>312</v>
      </c>
      <c r="P82" t="s">
        <v>1517</v>
      </c>
      <c r="Q82" t="s">
        <v>1514</v>
      </c>
      <c r="R82">
        <v>0</v>
      </c>
    </row>
    <row r="83" spans="1:18" x14ac:dyDescent="0.3">
      <c r="A83" t="s">
        <v>314</v>
      </c>
      <c r="B83" t="s">
        <v>1647</v>
      </c>
      <c r="C83" t="s">
        <v>315</v>
      </c>
      <c r="D83" t="s">
        <v>62</v>
      </c>
      <c r="E83" t="s">
        <v>316</v>
      </c>
      <c r="F83" t="s">
        <v>317</v>
      </c>
      <c r="G83" t="s">
        <v>15</v>
      </c>
      <c r="H83" s="13">
        <v>45946</v>
      </c>
      <c r="I83" t="s">
        <v>54</v>
      </c>
      <c r="J83" t="s">
        <v>95</v>
      </c>
      <c r="K83" t="s">
        <v>1514</v>
      </c>
      <c r="L83" t="s">
        <v>1514</v>
      </c>
      <c r="M83" t="s">
        <v>316</v>
      </c>
      <c r="N83" t="s">
        <v>1514</v>
      </c>
      <c r="O83" t="s">
        <v>316</v>
      </c>
      <c r="P83" t="s">
        <v>1517</v>
      </c>
      <c r="Q83" t="s">
        <v>1514</v>
      </c>
      <c r="R83">
        <v>0</v>
      </c>
    </row>
    <row r="84" spans="1:18" x14ac:dyDescent="0.3">
      <c r="A84" t="s">
        <v>314</v>
      </c>
      <c r="B84" t="s">
        <v>1648</v>
      </c>
      <c r="C84" t="s">
        <v>318</v>
      </c>
      <c r="D84" t="s">
        <v>62</v>
      </c>
      <c r="E84" t="s">
        <v>316</v>
      </c>
      <c r="F84" t="s">
        <v>319</v>
      </c>
      <c r="G84" t="s">
        <v>22</v>
      </c>
      <c r="H84" s="13">
        <v>45791</v>
      </c>
      <c r="I84" t="s">
        <v>54</v>
      </c>
      <c r="K84" t="s">
        <v>1514</v>
      </c>
      <c r="L84" t="s">
        <v>1514</v>
      </c>
      <c r="M84" t="s">
        <v>316</v>
      </c>
      <c r="N84" t="s">
        <v>1514</v>
      </c>
      <c r="O84" t="s">
        <v>316</v>
      </c>
      <c r="P84" t="s">
        <v>1517</v>
      </c>
      <c r="Q84" t="s">
        <v>1514</v>
      </c>
      <c r="R84">
        <v>0</v>
      </c>
    </row>
    <row r="85" spans="1:18" x14ac:dyDescent="0.3">
      <c r="A85" t="s">
        <v>320</v>
      </c>
      <c r="B85" t="s">
        <v>1649</v>
      </c>
      <c r="C85" t="s">
        <v>321</v>
      </c>
      <c r="D85" t="s">
        <v>42</v>
      </c>
      <c r="E85" t="s">
        <v>76</v>
      </c>
      <c r="F85" t="s">
        <v>322</v>
      </c>
      <c r="G85" t="s">
        <v>22</v>
      </c>
      <c r="H85" s="13">
        <v>45718</v>
      </c>
      <c r="I85" t="s">
        <v>16</v>
      </c>
      <c r="J85" t="s">
        <v>95</v>
      </c>
      <c r="K85" t="s">
        <v>1514</v>
      </c>
      <c r="L85" t="s">
        <v>1514</v>
      </c>
      <c r="M85" t="s">
        <v>320</v>
      </c>
      <c r="N85" t="s">
        <v>1514</v>
      </c>
      <c r="O85" t="s">
        <v>76</v>
      </c>
      <c r="P85" t="s">
        <v>1517</v>
      </c>
      <c r="Q85" t="s">
        <v>1514</v>
      </c>
      <c r="R85">
        <v>0</v>
      </c>
    </row>
    <row r="86" spans="1:18" x14ac:dyDescent="0.3">
      <c r="A86" t="s">
        <v>323</v>
      </c>
      <c r="B86" t="s">
        <v>1650</v>
      </c>
      <c r="C86" t="s">
        <v>324</v>
      </c>
      <c r="D86" t="s">
        <v>12</v>
      </c>
      <c r="E86" t="s">
        <v>13</v>
      </c>
      <c r="F86" t="s">
        <v>325</v>
      </c>
      <c r="G86" t="s">
        <v>22</v>
      </c>
      <c r="H86" s="13">
        <v>45639</v>
      </c>
      <c r="I86" t="s">
        <v>39</v>
      </c>
      <c r="K86" t="s">
        <v>1514</v>
      </c>
      <c r="L86" t="s">
        <v>1514</v>
      </c>
      <c r="M86" t="s">
        <v>1651</v>
      </c>
      <c r="N86" t="s">
        <v>1514</v>
      </c>
      <c r="O86" t="s">
        <v>13</v>
      </c>
      <c r="P86" t="s">
        <v>1517</v>
      </c>
      <c r="Q86" t="s">
        <v>1514</v>
      </c>
      <c r="R86">
        <v>0</v>
      </c>
    </row>
    <row r="87" spans="1:18" x14ac:dyDescent="0.3">
      <c r="A87" t="s">
        <v>326</v>
      </c>
      <c r="B87" t="s">
        <v>1652</v>
      </c>
      <c r="C87" t="s">
        <v>327</v>
      </c>
      <c r="D87" t="s">
        <v>173</v>
      </c>
      <c r="E87" t="s">
        <v>328</v>
      </c>
      <c r="F87" t="s">
        <v>329</v>
      </c>
      <c r="G87" t="s">
        <v>15</v>
      </c>
      <c r="H87" s="13">
        <v>45027</v>
      </c>
      <c r="I87" t="s">
        <v>16</v>
      </c>
      <c r="K87" t="s">
        <v>1514</v>
      </c>
      <c r="L87" t="s">
        <v>1514</v>
      </c>
      <c r="M87" t="s">
        <v>1653</v>
      </c>
      <c r="N87" t="s">
        <v>1514</v>
      </c>
      <c r="O87" t="s">
        <v>328</v>
      </c>
      <c r="P87" t="s">
        <v>1517</v>
      </c>
      <c r="Q87" t="s">
        <v>1514</v>
      </c>
      <c r="R87">
        <v>0</v>
      </c>
    </row>
    <row r="88" spans="1:18" x14ac:dyDescent="0.3">
      <c r="A88" t="s">
        <v>330</v>
      </c>
      <c r="B88" t="s">
        <v>1654</v>
      </c>
      <c r="C88" t="s">
        <v>331</v>
      </c>
      <c r="D88" t="s">
        <v>36</v>
      </c>
      <c r="E88" t="s">
        <v>131</v>
      </c>
      <c r="F88" t="s">
        <v>332</v>
      </c>
      <c r="G88" t="s">
        <v>22</v>
      </c>
      <c r="H88" s="13">
        <v>45781</v>
      </c>
      <c r="I88" t="s">
        <v>54</v>
      </c>
      <c r="J88" t="s">
        <v>50</v>
      </c>
      <c r="K88" t="s">
        <v>1514</v>
      </c>
      <c r="L88" t="s">
        <v>1514</v>
      </c>
      <c r="M88" t="s">
        <v>1655</v>
      </c>
      <c r="N88" t="s">
        <v>1514</v>
      </c>
      <c r="O88" t="s">
        <v>131</v>
      </c>
      <c r="P88" t="s">
        <v>1517</v>
      </c>
      <c r="Q88" t="s">
        <v>1514</v>
      </c>
      <c r="R88">
        <v>0</v>
      </c>
    </row>
    <row r="89" spans="1:18" x14ac:dyDescent="0.3">
      <c r="A89" t="s">
        <v>333</v>
      </c>
      <c r="B89" t="s">
        <v>1656</v>
      </c>
      <c r="C89" t="s">
        <v>334</v>
      </c>
      <c r="D89" t="s">
        <v>47</v>
      </c>
      <c r="E89" t="s">
        <v>112</v>
      </c>
      <c r="F89" t="s">
        <v>335</v>
      </c>
      <c r="G89" t="s">
        <v>22</v>
      </c>
      <c r="H89" s="13">
        <v>45545</v>
      </c>
      <c r="I89" t="s">
        <v>54</v>
      </c>
      <c r="J89" t="s">
        <v>24</v>
      </c>
      <c r="K89" t="s">
        <v>1514</v>
      </c>
      <c r="L89" t="s">
        <v>1514</v>
      </c>
      <c r="M89" t="s">
        <v>112</v>
      </c>
      <c r="N89" t="s">
        <v>1514</v>
      </c>
      <c r="O89" t="s">
        <v>112</v>
      </c>
      <c r="P89" t="s">
        <v>1517</v>
      </c>
      <c r="Q89" t="s">
        <v>1514</v>
      </c>
      <c r="R89">
        <v>0</v>
      </c>
    </row>
    <row r="90" spans="1:18" x14ac:dyDescent="0.3">
      <c r="A90" t="s">
        <v>336</v>
      </c>
      <c r="B90" t="s">
        <v>1657</v>
      </c>
      <c r="C90" t="s">
        <v>337</v>
      </c>
      <c r="D90" t="s">
        <v>173</v>
      </c>
      <c r="E90" t="s">
        <v>270</v>
      </c>
      <c r="F90" t="s">
        <v>338</v>
      </c>
      <c r="G90" t="s">
        <v>15</v>
      </c>
      <c r="H90" s="13">
        <v>45515</v>
      </c>
      <c r="I90" t="s">
        <v>16</v>
      </c>
      <c r="J90" t="s">
        <v>95</v>
      </c>
      <c r="K90" t="s">
        <v>1514</v>
      </c>
      <c r="L90" t="s">
        <v>1514</v>
      </c>
      <c r="M90" t="s">
        <v>270</v>
      </c>
      <c r="N90" t="s">
        <v>1514</v>
      </c>
      <c r="O90" t="s">
        <v>270</v>
      </c>
      <c r="P90" t="s">
        <v>1517</v>
      </c>
      <c r="Q90" t="s">
        <v>1514</v>
      </c>
      <c r="R90">
        <v>0</v>
      </c>
    </row>
    <row r="91" spans="1:18" x14ac:dyDescent="0.3">
      <c r="A91" t="s">
        <v>339</v>
      </c>
      <c r="B91" t="s">
        <v>1658</v>
      </c>
      <c r="C91" t="s">
        <v>340</v>
      </c>
      <c r="D91" t="s">
        <v>71</v>
      </c>
      <c r="E91" t="s">
        <v>93</v>
      </c>
      <c r="F91" t="s">
        <v>341</v>
      </c>
      <c r="G91" t="s">
        <v>15</v>
      </c>
      <c r="H91" s="13">
        <v>45554</v>
      </c>
      <c r="I91" t="s">
        <v>16</v>
      </c>
      <c r="J91" t="s">
        <v>78</v>
      </c>
      <c r="K91" t="s">
        <v>1514</v>
      </c>
      <c r="L91" t="s">
        <v>1514</v>
      </c>
      <c r="M91" t="s">
        <v>1659</v>
      </c>
      <c r="N91" t="s">
        <v>1514</v>
      </c>
      <c r="O91" t="s">
        <v>93</v>
      </c>
      <c r="P91" t="s">
        <v>1517</v>
      </c>
      <c r="Q91" t="s">
        <v>1514</v>
      </c>
      <c r="R91">
        <v>0</v>
      </c>
    </row>
    <row r="92" spans="1:18" x14ac:dyDescent="0.3">
      <c r="A92" t="s">
        <v>342</v>
      </c>
      <c r="B92" t="s">
        <v>1660</v>
      </c>
      <c r="C92" t="s">
        <v>343</v>
      </c>
      <c r="D92" t="s">
        <v>62</v>
      </c>
      <c r="E92" t="s">
        <v>154</v>
      </c>
      <c r="F92" t="s">
        <v>344</v>
      </c>
      <c r="G92" t="s">
        <v>22</v>
      </c>
      <c r="H92" s="13">
        <v>45027</v>
      </c>
      <c r="I92" t="s">
        <v>39</v>
      </c>
      <c r="J92" t="s">
        <v>78</v>
      </c>
      <c r="K92" t="s">
        <v>1514</v>
      </c>
      <c r="L92" t="s">
        <v>1514</v>
      </c>
      <c r="M92" t="s">
        <v>1661</v>
      </c>
      <c r="N92" t="s">
        <v>1514</v>
      </c>
      <c r="O92" t="s">
        <v>154</v>
      </c>
      <c r="P92" t="s">
        <v>1517</v>
      </c>
      <c r="Q92" t="s">
        <v>1514</v>
      </c>
      <c r="R92">
        <v>0</v>
      </c>
    </row>
    <row r="93" spans="1:18" x14ac:dyDescent="0.3">
      <c r="A93" t="s">
        <v>345</v>
      </c>
      <c r="B93" t="s">
        <v>1662</v>
      </c>
      <c r="C93" t="s">
        <v>346</v>
      </c>
      <c r="D93" t="s">
        <v>12</v>
      </c>
      <c r="E93" t="s">
        <v>123</v>
      </c>
      <c r="F93" t="s">
        <v>347</v>
      </c>
      <c r="G93" t="s">
        <v>15</v>
      </c>
      <c r="H93" s="13">
        <v>45042</v>
      </c>
      <c r="I93" t="s">
        <v>33</v>
      </c>
      <c r="J93" t="s">
        <v>17</v>
      </c>
      <c r="K93" t="s">
        <v>1514</v>
      </c>
      <c r="L93" t="s">
        <v>1514</v>
      </c>
      <c r="M93" t="s">
        <v>1515</v>
      </c>
      <c r="N93" t="s">
        <v>1516</v>
      </c>
      <c r="O93" t="s">
        <v>123</v>
      </c>
      <c r="P93" t="s">
        <v>1517</v>
      </c>
      <c r="Q93" t="s">
        <v>1518</v>
      </c>
      <c r="R93">
        <v>1</v>
      </c>
    </row>
    <row r="94" spans="1:18" x14ac:dyDescent="0.3">
      <c r="A94" t="s">
        <v>348</v>
      </c>
      <c r="B94" t="s">
        <v>1663</v>
      </c>
      <c r="C94" t="s">
        <v>349</v>
      </c>
      <c r="D94" t="s">
        <v>27</v>
      </c>
      <c r="E94" t="s">
        <v>28</v>
      </c>
      <c r="F94" t="s">
        <v>350</v>
      </c>
      <c r="G94" t="s">
        <v>15</v>
      </c>
      <c r="H94" s="13">
        <v>45910</v>
      </c>
      <c r="I94" t="s">
        <v>23</v>
      </c>
      <c r="J94" t="s">
        <v>17</v>
      </c>
      <c r="K94" t="s">
        <v>1514</v>
      </c>
      <c r="L94" t="s">
        <v>1514</v>
      </c>
      <c r="M94" t="s">
        <v>1664</v>
      </c>
      <c r="N94" t="s">
        <v>1514</v>
      </c>
      <c r="O94" t="s">
        <v>28</v>
      </c>
      <c r="P94" t="s">
        <v>1517</v>
      </c>
      <c r="Q94" t="s">
        <v>1514</v>
      </c>
      <c r="R94">
        <v>0</v>
      </c>
    </row>
    <row r="95" spans="1:18" x14ac:dyDescent="0.3">
      <c r="A95" t="s">
        <v>351</v>
      </c>
      <c r="B95" t="s">
        <v>1665</v>
      </c>
      <c r="C95" t="s">
        <v>352</v>
      </c>
      <c r="D95" t="s">
        <v>62</v>
      </c>
      <c r="E95" t="s">
        <v>63</v>
      </c>
      <c r="F95" t="s">
        <v>353</v>
      </c>
      <c r="G95" t="s">
        <v>22</v>
      </c>
      <c r="H95" s="13">
        <v>44954</v>
      </c>
      <c r="I95" t="s">
        <v>33</v>
      </c>
      <c r="J95" t="s">
        <v>78</v>
      </c>
      <c r="K95" t="s">
        <v>1514</v>
      </c>
      <c r="L95" t="s">
        <v>1514</v>
      </c>
      <c r="M95" t="s">
        <v>62</v>
      </c>
      <c r="N95" t="s">
        <v>1514</v>
      </c>
      <c r="O95" t="s">
        <v>63</v>
      </c>
      <c r="P95" t="s">
        <v>1517</v>
      </c>
      <c r="Q95" t="s">
        <v>1514</v>
      </c>
      <c r="R95">
        <v>0</v>
      </c>
    </row>
    <row r="96" spans="1:18" x14ac:dyDescent="0.3">
      <c r="A96" t="s">
        <v>354</v>
      </c>
      <c r="B96" t="s">
        <v>1666</v>
      </c>
      <c r="C96" t="s">
        <v>355</v>
      </c>
      <c r="D96" t="s">
        <v>71</v>
      </c>
      <c r="E96" t="s">
        <v>277</v>
      </c>
      <c r="F96" t="s">
        <v>356</v>
      </c>
      <c r="G96" t="s">
        <v>22</v>
      </c>
      <c r="H96" s="13">
        <v>45305</v>
      </c>
      <c r="I96" t="s">
        <v>54</v>
      </c>
      <c r="K96" t="s">
        <v>1514</v>
      </c>
      <c r="L96" t="s">
        <v>1514</v>
      </c>
      <c r="M96" t="s">
        <v>1515</v>
      </c>
      <c r="N96" t="s">
        <v>1516</v>
      </c>
      <c r="O96" t="s">
        <v>277</v>
      </c>
      <c r="P96" t="s">
        <v>1517</v>
      </c>
      <c r="Q96" t="s">
        <v>1518</v>
      </c>
      <c r="R96">
        <v>1</v>
      </c>
    </row>
    <row r="97" spans="1:18" x14ac:dyDescent="0.3">
      <c r="A97" t="s">
        <v>357</v>
      </c>
      <c r="B97" t="s">
        <v>1667</v>
      </c>
      <c r="C97" t="s">
        <v>358</v>
      </c>
      <c r="D97" t="s">
        <v>12</v>
      </c>
      <c r="E97" t="s">
        <v>20</v>
      </c>
      <c r="F97" t="s">
        <v>359</v>
      </c>
      <c r="G97" t="s">
        <v>22</v>
      </c>
      <c r="H97" s="13">
        <v>45504</v>
      </c>
      <c r="I97" t="s">
        <v>23</v>
      </c>
      <c r="K97" t="s">
        <v>1514</v>
      </c>
      <c r="L97" t="s">
        <v>1514</v>
      </c>
      <c r="M97" t="s">
        <v>357</v>
      </c>
      <c r="N97" t="s">
        <v>1514</v>
      </c>
      <c r="O97" t="s">
        <v>20</v>
      </c>
      <c r="P97" t="s">
        <v>1517</v>
      </c>
      <c r="Q97" t="s">
        <v>1514</v>
      </c>
      <c r="R97">
        <v>0</v>
      </c>
    </row>
    <row r="98" spans="1:18" x14ac:dyDescent="0.3">
      <c r="A98" t="s">
        <v>360</v>
      </c>
      <c r="B98" t="s">
        <v>1668</v>
      </c>
      <c r="C98" t="s">
        <v>361</v>
      </c>
      <c r="D98" t="s">
        <v>12</v>
      </c>
      <c r="E98" t="s">
        <v>166</v>
      </c>
      <c r="F98" t="s">
        <v>362</v>
      </c>
      <c r="G98" t="s">
        <v>22</v>
      </c>
      <c r="H98" s="13">
        <v>45022</v>
      </c>
      <c r="I98" t="s">
        <v>39</v>
      </c>
      <c r="K98" t="s">
        <v>1514</v>
      </c>
      <c r="L98" t="s">
        <v>1514</v>
      </c>
      <c r="M98" t="s">
        <v>166</v>
      </c>
      <c r="N98" t="s">
        <v>1514</v>
      </c>
      <c r="O98" t="s">
        <v>166</v>
      </c>
      <c r="P98" t="s">
        <v>1517</v>
      </c>
      <c r="Q98" t="s">
        <v>1514</v>
      </c>
      <c r="R98">
        <v>0</v>
      </c>
    </row>
    <row r="99" spans="1:18" x14ac:dyDescent="0.3">
      <c r="A99" t="s">
        <v>363</v>
      </c>
      <c r="B99" t="s">
        <v>1669</v>
      </c>
      <c r="C99" t="s">
        <v>364</v>
      </c>
      <c r="D99" t="s">
        <v>27</v>
      </c>
      <c r="E99" t="s">
        <v>98</v>
      </c>
      <c r="F99" t="s">
        <v>365</v>
      </c>
      <c r="G99" t="s">
        <v>15</v>
      </c>
      <c r="H99" s="13">
        <v>44940</v>
      </c>
      <c r="I99" t="s">
        <v>16</v>
      </c>
      <c r="J99" t="s">
        <v>50</v>
      </c>
      <c r="K99" t="s">
        <v>1514</v>
      </c>
      <c r="L99" t="s">
        <v>1514</v>
      </c>
      <c r="M99" t="s">
        <v>1670</v>
      </c>
      <c r="N99" t="s">
        <v>1514</v>
      </c>
      <c r="O99" t="s">
        <v>98</v>
      </c>
      <c r="P99" t="s">
        <v>1517</v>
      </c>
      <c r="Q99" t="s">
        <v>1514</v>
      </c>
      <c r="R99">
        <v>0</v>
      </c>
    </row>
    <row r="100" spans="1:18" x14ac:dyDescent="0.3">
      <c r="A100" t="s">
        <v>366</v>
      </c>
      <c r="B100" t="s">
        <v>1671</v>
      </c>
      <c r="C100" t="s">
        <v>367</v>
      </c>
      <c r="D100" t="s">
        <v>62</v>
      </c>
      <c r="E100" t="s">
        <v>154</v>
      </c>
      <c r="F100" t="s">
        <v>368</v>
      </c>
      <c r="G100" t="s">
        <v>15</v>
      </c>
      <c r="H100" s="13">
        <v>45447</v>
      </c>
      <c r="I100" t="s">
        <v>54</v>
      </c>
      <c r="J100" t="s">
        <v>24</v>
      </c>
      <c r="K100" t="s">
        <v>1514</v>
      </c>
      <c r="L100" t="s">
        <v>1514</v>
      </c>
      <c r="M100" t="s">
        <v>1672</v>
      </c>
      <c r="N100" t="s">
        <v>1514</v>
      </c>
      <c r="O100" t="s">
        <v>154</v>
      </c>
      <c r="P100" t="s">
        <v>1517</v>
      </c>
      <c r="Q100" t="s">
        <v>1514</v>
      </c>
      <c r="R100">
        <v>0</v>
      </c>
    </row>
    <row r="101" spans="1:18" x14ac:dyDescent="0.3">
      <c r="A101" t="s">
        <v>369</v>
      </c>
      <c r="B101" t="s">
        <v>1673</v>
      </c>
      <c r="C101" t="s">
        <v>370</v>
      </c>
      <c r="D101" t="s">
        <v>71</v>
      </c>
      <c r="E101" t="s">
        <v>72</v>
      </c>
      <c r="F101" t="s">
        <v>371</v>
      </c>
      <c r="G101" t="s">
        <v>15</v>
      </c>
      <c r="H101" s="13">
        <v>45871</v>
      </c>
      <c r="I101" t="s">
        <v>39</v>
      </c>
      <c r="K101" t="s">
        <v>1514</v>
      </c>
      <c r="L101" t="s">
        <v>1514</v>
      </c>
      <c r="M101" t="s">
        <v>71</v>
      </c>
      <c r="N101" t="s">
        <v>1514</v>
      </c>
      <c r="O101" t="s">
        <v>72</v>
      </c>
      <c r="P101" t="s">
        <v>1517</v>
      </c>
      <c r="Q101" t="s">
        <v>1514</v>
      </c>
      <c r="R101">
        <v>0</v>
      </c>
    </row>
    <row r="102" spans="1:18" x14ac:dyDescent="0.3">
      <c r="A102" t="s">
        <v>372</v>
      </c>
      <c r="B102" t="s">
        <v>1674</v>
      </c>
      <c r="C102" t="s">
        <v>373</v>
      </c>
      <c r="D102" t="s">
        <v>71</v>
      </c>
      <c r="E102" t="s">
        <v>374</v>
      </c>
      <c r="F102" t="s">
        <v>375</v>
      </c>
      <c r="G102" t="s">
        <v>22</v>
      </c>
      <c r="H102" s="13">
        <v>45224</v>
      </c>
      <c r="I102" t="s">
        <v>33</v>
      </c>
      <c r="K102" t="s">
        <v>1514</v>
      </c>
      <c r="L102" t="s">
        <v>1514</v>
      </c>
      <c r="M102" t="s">
        <v>1675</v>
      </c>
      <c r="N102" t="s">
        <v>1514</v>
      </c>
      <c r="O102" t="s">
        <v>374</v>
      </c>
      <c r="P102" t="s">
        <v>1517</v>
      </c>
      <c r="Q102" t="s">
        <v>1514</v>
      </c>
      <c r="R102">
        <v>0</v>
      </c>
    </row>
    <row r="103" spans="1:18" x14ac:dyDescent="0.3">
      <c r="A103" t="s">
        <v>215</v>
      </c>
      <c r="B103" t="s">
        <v>1676</v>
      </c>
      <c r="C103" t="s">
        <v>376</v>
      </c>
      <c r="D103" t="s">
        <v>84</v>
      </c>
      <c r="E103" t="s">
        <v>85</v>
      </c>
      <c r="F103" t="s">
        <v>377</v>
      </c>
      <c r="G103" t="s">
        <v>15</v>
      </c>
      <c r="H103" s="13">
        <v>45197</v>
      </c>
      <c r="I103" t="s">
        <v>23</v>
      </c>
      <c r="K103" t="s">
        <v>1514</v>
      </c>
      <c r="L103" t="s">
        <v>1514</v>
      </c>
      <c r="M103" t="s">
        <v>84</v>
      </c>
      <c r="N103" t="s">
        <v>1514</v>
      </c>
      <c r="O103" t="s">
        <v>85</v>
      </c>
      <c r="P103" t="s">
        <v>1517</v>
      </c>
      <c r="Q103" t="s">
        <v>1514</v>
      </c>
      <c r="R103">
        <v>0</v>
      </c>
    </row>
    <row r="104" spans="1:18" x14ac:dyDescent="0.3">
      <c r="A104" t="s">
        <v>378</v>
      </c>
      <c r="B104" t="s">
        <v>1677</v>
      </c>
      <c r="C104" t="s">
        <v>379</v>
      </c>
      <c r="D104" t="s">
        <v>71</v>
      </c>
      <c r="E104" t="s">
        <v>277</v>
      </c>
      <c r="F104" t="s">
        <v>380</v>
      </c>
      <c r="G104" t="s">
        <v>15</v>
      </c>
      <c r="H104" s="13">
        <v>45581</v>
      </c>
      <c r="I104" t="s">
        <v>39</v>
      </c>
      <c r="J104" t="s">
        <v>95</v>
      </c>
      <c r="K104" t="s">
        <v>1514</v>
      </c>
      <c r="L104" t="s">
        <v>1514</v>
      </c>
      <c r="M104" t="s">
        <v>1678</v>
      </c>
      <c r="N104" t="s">
        <v>1514</v>
      </c>
      <c r="O104" t="s">
        <v>277</v>
      </c>
      <c r="P104" t="s">
        <v>1517</v>
      </c>
      <c r="Q104" t="s">
        <v>1514</v>
      </c>
      <c r="R104">
        <v>0</v>
      </c>
    </row>
    <row r="105" spans="1:18" x14ac:dyDescent="0.3">
      <c r="A105" t="s">
        <v>381</v>
      </c>
      <c r="B105" t="s">
        <v>1679</v>
      </c>
      <c r="C105" t="s">
        <v>382</v>
      </c>
      <c r="D105" t="s">
        <v>47</v>
      </c>
      <c r="E105" t="s">
        <v>48</v>
      </c>
      <c r="F105" t="s">
        <v>383</v>
      </c>
      <c r="G105" t="s">
        <v>15</v>
      </c>
      <c r="H105" s="13">
        <v>45793</v>
      </c>
      <c r="I105" t="s">
        <v>33</v>
      </c>
      <c r="J105" t="s">
        <v>78</v>
      </c>
      <c r="K105" t="s">
        <v>1514</v>
      </c>
      <c r="L105" t="s">
        <v>1514</v>
      </c>
      <c r="M105" t="s">
        <v>1680</v>
      </c>
      <c r="N105" t="s">
        <v>1514</v>
      </c>
      <c r="O105" t="s">
        <v>48</v>
      </c>
      <c r="P105" t="s">
        <v>1517</v>
      </c>
      <c r="Q105" t="s">
        <v>1514</v>
      </c>
      <c r="R105">
        <v>0</v>
      </c>
    </row>
    <row r="106" spans="1:18" x14ac:dyDescent="0.3">
      <c r="A106" t="s">
        <v>384</v>
      </c>
      <c r="B106" t="s">
        <v>1681</v>
      </c>
      <c r="C106" t="s">
        <v>385</v>
      </c>
      <c r="D106" t="s">
        <v>84</v>
      </c>
      <c r="E106" t="s">
        <v>201</v>
      </c>
      <c r="F106" t="s">
        <v>386</v>
      </c>
      <c r="G106" t="s">
        <v>22</v>
      </c>
      <c r="H106" s="13">
        <v>45795</v>
      </c>
      <c r="I106" t="s">
        <v>23</v>
      </c>
      <c r="K106" t="s">
        <v>1514</v>
      </c>
      <c r="L106" t="s">
        <v>1514</v>
      </c>
      <c r="M106" t="s">
        <v>1682</v>
      </c>
      <c r="N106" t="s">
        <v>1514</v>
      </c>
      <c r="O106" t="s">
        <v>201</v>
      </c>
      <c r="P106" t="s">
        <v>1517</v>
      </c>
      <c r="Q106" t="s">
        <v>1514</v>
      </c>
      <c r="R106">
        <v>0</v>
      </c>
    </row>
    <row r="107" spans="1:18" x14ac:dyDescent="0.3">
      <c r="A107" t="s">
        <v>387</v>
      </c>
      <c r="B107" t="s">
        <v>1683</v>
      </c>
      <c r="C107" t="s">
        <v>388</v>
      </c>
      <c r="D107" t="s">
        <v>71</v>
      </c>
      <c r="E107" t="s">
        <v>374</v>
      </c>
      <c r="F107" t="s">
        <v>389</v>
      </c>
      <c r="G107" t="s">
        <v>15</v>
      </c>
      <c r="H107" s="13">
        <v>45274</v>
      </c>
      <c r="I107" t="s">
        <v>16</v>
      </c>
      <c r="K107" t="s">
        <v>1514</v>
      </c>
      <c r="L107" t="s">
        <v>1514</v>
      </c>
      <c r="M107" t="s">
        <v>71</v>
      </c>
      <c r="N107" t="s">
        <v>1514</v>
      </c>
      <c r="O107" t="s">
        <v>374</v>
      </c>
      <c r="P107" t="s">
        <v>1517</v>
      </c>
      <c r="Q107" t="s">
        <v>1514</v>
      </c>
      <c r="R107">
        <v>0</v>
      </c>
    </row>
    <row r="108" spans="1:18" x14ac:dyDescent="0.3">
      <c r="A108" t="s">
        <v>390</v>
      </c>
      <c r="B108" t="s">
        <v>1684</v>
      </c>
      <c r="C108" t="s">
        <v>391</v>
      </c>
      <c r="D108" t="s">
        <v>36</v>
      </c>
      <c r="E108" t="s">
        <v>127</v>
      </c>
      <c r="F108" t="s">
        <v>392</v>
      </c>
      <c r="G108" t="s">
        <v>22</v>
      </c>
      <c r="H108" s="13">
        <v>45048</v>
      </c>
      <c r="I108" t="s">
        <v>23</v>
      </c>
      <c r="J108" t="s">
        <v>17</v>
      </c>
      <c r="K108" t="s">
        <v>1514</v>
      </c>
      <c r="L108" t="s">
        <v>1514</v>
      </c>
      <c r="M108" t="s">
        <v>1685</v>
      </c>
      <c r="N108" t="s">
        <v>1514</v>
      </c>
      <c r="O108" t="s">
        <v>127</v>
      </c>
      <c r="P108" t="s">
        <v>1517</v>
      </c>
      <c r="Q108" t="s">
        <v>1514</v>
      </c>
      <c r="R108">
        <v>0</v>
      </c>
    </row>
    <row r="109" spans="1:18" x14ac:dyDescent="0.3">
      <c r="A109" t="s">
        <v>393</v>
      </c>
      <c r="B109" t="s">
        <v>1686</v>
      </c>
      <c r="C109" t="s">
        <v>394</v>
      </c>
      <c r="D109" t="s">
        <v>36</v>
      </c>
      <c r="E109" t="s">
        <v>67</v>
      </c>
      <c r="F109" t="s">
        <v>395</v>
      </c>
      <c r="G109" t="s">
        <v>15</v>
      </c>
      <c r="H109" s="13">
        <v>45108</v>
      </c>
      <c r="I109" t="s">
        <v>16</v>
      </c>
      <c r="K109" t="s">
        <v>1514</v>
      </c>
      <c r="L109" t="s">
        <v>1514</v>
      </c>
      <c r="M109" t="s">
        <v>1515</v>
      </c>
      <c r="N109" t="s">
        <v>1516</v>
      </c>
      <c r="O109" t="s">
        <v>67</v>
      </c>
      <c r="P109" t="s">
        <v>1517</v>
      </c>
      <c r="Q109" t="s">
        <v>1518</v>
      </c>
      <c r="R109">
        <v>1</v>
      </c>
    </row>
    <row r="110" spans="1:18" x14ac:dyDescent="0.3">
      <c r="A110" t="s">
        <v>396</v>
      </c>
      <c r="B110" t="s">
        <v>1687</v>
      </c>
      <c r="C110" t="s">
        <v>397</v>
      </c>
      <c r="D110" t="s">
        <v>173</v>
      </c>
      <c r="E110" t="s">
        <v>398</v>
      </c>
      <c r="F110" t="s">
        <v>399</v>
      </c>
      <c r="G110" t="s">
        <v>22</v>
      </c>
      <c r="H110" s="13">
        <v>45428</v>
      </c>
      <c r="I110" t="s">
        <v>54</v>
      </c>
      <c r="J110" t="s">
        <v>50</v>
      </c>
      <c r="K110" t="s">
        <v>1514</v>
      </c>
      <c r="L110" t="s">
        <v>1514</v>
      </c>
      <c r="M110" t="s">
        <v>173</v>
      </c>
      <c r="N110" t="s">
        <v>1514</v>
      </c>
      <c r="O110" t="s">
        <v>398</v>
      </c>
      <c r="P110" t="s">
        <v>1517</v>
      </c>
      <c r="Q110" t="s">
        <v>1514</v>
      </c>
      <c r="R110">
        <v>0</v>
      </c>
    </row>
    <row r="111" spans="1:18" x14ac:dyDescent="0.3">
      <c r="A111" t="s">
        <v>400</v>
      </c>
      <c r="B111" t="s">
        <v>1688</v>
      </c>
      <c r="C111" t="s">
        <v>401</v>
      </c>
      <c r="D111" t="s">
        <v>47</v>
      </c>
      <c r="E111" t="s">
        <v>181</v>
      </c>
      <c r="F111" t="s">
        <v>402</v>
      </c>
      <c r="G111" t="s">
        <v>22</v>
      </c>
      <c r="H111" s="13">
        <v>45948</v>
      </c>
      <c r="I111" t="s">
        <v>39</v>
      </c>
      <c r="K111" t="s">
        <v>1514</v>
      </c>
      <c r="L111" t="s">
        <v>1514</v>
      </c>
      <c r="M111" t="s">
        <v>1689</v>
      </c>
      <c r="N111" t="s">
        <v>1514</v>
      </c>
      <c r="O111" t="s">
        <v>181</v>
      </c>
      <c r="P111" t="s">
        <v>1517</v>
      </c>
      <c r="Q111" t="s">
        <v>1514</v>
      </c>
      <c r="R111">
        <v>0</v>
      </c>
    </row>
    <row r="112" spans="1:18" x14ac:dyDescent="0.3">
      <c r="A112" t="s">
        <v>403</v>
      </c>
      <c r="B112" t="s">
        <v>1690</v>
      </c>
      <c r="C112" t="s">
        <v>404</v>
      </c>
      <c r="D112" t="s">
        <v>27</v>
      </c>
      <c r="E112" t="s">
        <v>241</v>
      </c>
      <c r="F112" t="s">
        <v>405</v>
      </c>
      <c r="G112" t="s">
        <v>15</v>
      </c>
      <c r="H112" s="13">
        <v>45170</v>
      </c>
      <c r="I112" t="s">
        <v>39</v>
      </c>
      <c r="J112" t="s">
        <v>95</v>
      </c>
      <c r="K112" t="s">
        <v>1514</v>
      </c>
      <c r="L112" t="s">
        <v>1514</v>
      </c>
      <c r="M112" t="s">
        <v>27</v>
      </c>
      <c r="N112" t="s">
        <v>1514</v>
      </c>
      <c r="O112" t="s">
        <v>241</v>
      </c>
      <c r="P112" t="s">
        <v>1517</v>
      </c>
      <c r="Q112" t="s">
        <v>1514</v>
      </c>
      <c r="R112">
        <v>0</v>
      </c>
    </row>
    <row r="113" spans="1:18" x14ac:dyDescent="0.3">
      <c r="A113" t="s">
        <v>406</v>
      </c>
      <c r="B113" t="s">
        <v>1691</v>
      </c>
      <c r="C113" t="s">
        <v>407</v>
      </c>
      <c r="D113" t="s">
        <v>173</v>
      </c>
      <c r="E113" t="s">
        <v>398</v>
      </c>
      <c r="F113" t="s">
        <v>408</v>
      </c>
      <c r="G113" t="s">
        <v>15</v>
      </c>
      <c r="H113" s="13">
        <v>45688</v>
      </c>
      <c r="I113" t="s">
        <v>54</v>
      </c>
      <c r="J113" t="s">
        <v>78</v>
      </c>
      <c r="K113" t="s">
        <v>1514</v>
      </c>
      <c r="L113" t="s">
        <v>1514</v>
      </c>
      <c r="M113" t="s">
        <v>1692</v>
      </c>
      <c r="N113" t="s">
        <v>1514</v>
      </c>
      <c r="O113" t="s">
        <v>398</v>
      </c>
      <c r="P113" t="s">
        <v>1517</v>
      </c>
      <c r="Q113" t="s">
        <v>1514</v>
      </c>
      <c r="R113">
        <v>0</v>
      </c>
    </row>
    <row r="114" spans="1:18" x14ac:dyDescent="0.3">
      <c r="A114" t="s">
        <v>183</v>
      </c>
      <c r="B114" t="s">
        <v>1693</v>
      </c>
      <c r="C114" t="s">
        <v>409</v>
      </c>
      <c r="D114" t="s">
        <v>12</v>
      </c>
      <c r="E114" t="s">
        <v>13</v>
      </c>
      <c r="F114" t="s">
        <v>410</v>
      </c>
      <c r="G114" t="s">
        <v>15</v>
      </c>
      <c r="H114" s="13">
        <v>45788</v>
      </c>
      <c r="I114" t="s">
        <v>33</v>
      </c>
      <c r="K114" t="s">
        <v>1514</v>
      </c>
      <c r="L114" t="s">
        <v>1514</v>
      </c>
      <c r="M114" t="s">
        <v>12</v>
      </c>
      <c r="N114" t="s">
        <v>1514</v>
      </c>
      <c r="O114" t="s">
        <v>13</v>
      </c>
      <c r="P114" t="s">
        <v>1517</v>
      </c>
      <c r="Q114" t="s">
        <v>1514</v>
      </c>
      <c r="R114">
        <v>0</v>
      </c>
    </row>
    <row r="115" spans="1:18" x14ac:dyDescent="0.3">
      <c r="A115" t="s">
        <v>411</v>
      </c>
      <c r="B115" t="s">
        <v>1694</v>
      </c>
      <c r="C115" t="s">
        <v>412</v>
      </c>
      <c r="D115" t="s">
        <v>84</v>
      </c>
      <c r="E115" t="s">
        <v>85</v>
      </c>
      <c r="F115" t="s">
        <v>413</v>
      </c>
      <c r="G115" t="s">
        <v>22</v>
      </c>
      <c r="H115" s="13">
        <v>45954</v>
      </c>
      <c r="I115" t="s">
        <v>16</v>
      </c>
      <c r="J115" t="s">
        <v>17</v>
      </c>
      <c r="K115" t="s">
        <v>1514</v>
      </c>
      <c r="L115" t="s">
        <v>1514</v>
      </c>
      <c r="M115" t="s">
        <v>1695</v>
      </c>
      <c r="N115" t="s">
        <v>1514</v>
      </c>
      <c r="O115" t="s">
        <v>85</v>
      </c>
      <c r="P115" t="s">
        <v>1517</v>
      </c>
      <c r="Q115" t="s">
        <v>1514</v>
      </c>
      <c r="R115">
        <v>0</v>
      </c>
    </row>
    <row r="116" spans="1:18" x14ac:dyDescent="0.3">
      <c r="A116" t="s">
        <v>414</v>
      </c>
      <c r="B116" t="s">
        <v>1696</v>
      </c>
      <c r="C116" t="s">
        <v>415</v>
      </c>
      <c r="D116" t="s">
        <v>173</v>
      </c>
      <c r="E116" t="s">
        <v>270</v>
      </c>
      <c r="F116" t="s">
        <v>416</v>
      </c>
      <c r="G116" t="s">
        <v>15</v>
      </c>
      <c r="H116" s="13">
        <v>45006</v>
      </c>
      <c r="I116" t="s">
        <v>16</v>
      </c>
      <c r="J116" t="s">
        <v>17</v>
      </c>
      <c r="K116" t="s">
        <v>1514</v>
      </c>
      <c r="L116" t="s">
        <v>1514</v>
      </c>
      <c r="M116" t="s">
        <v>414</v>
      </c>
      <c r="N116" t="s">
        <v>1514</v>
      </c>
      <c r="O116" t="s">
        <v>270</v>
      </c>
      <c r="P116" t="s">
        <v>1517</v>
      </c>
      <c r="Q116" t="s">
        <v>1514</v>
      </c>
      <c r="R116">
        <v>0</v>
      </c>
    </row>
    <row r="117" spans="1:18" x14ac:dyDescent="0.3">
      <c r="A117" t="s">
        <v>417</v>
      </c>
      <c r="B117" t="s">
        <v>1697</v>
      </c>
      <c r="C117" t="s">
        <v>418</v>
      </c>
      <c r="D117" t="s">
        <v>57</v>
      </c>
      <c r="E117" t="s">
        <v>252</v>
      </c>
      <c r="F117" t="s">
        <v>419</v>
      </c>
      <c r="G117" t="s">
        <v>15</v>
      </c>
      <c r="H117" s="13">
        <v>44925</v>
      </c>
      <c r="I117" t="s">
        <v>54</v>
      </c>
      <c r="K117" t="s">
        <v>1514</v>
      </c>
      <c r="L117" t="s">
        <v>1514</v>
      </c>
      <c r="M117" t="s">
        <v>1698</v>
      </c>
      <c r="N117" t="s">
        <v>1514</v>
      </c>
      <c r="O117" t="s">
        <v>252</v>
      </c>
      <c r="P117" t="s">
        <v>1517</v>
      </c>
      <c r="Q117" t="s">
        <v>1514</v>
      </c>
      <c r="R117">
        <v>0</v>
      </c>
    </row>
    <row r="118" spans="1:18" x14ac:dyDescent="0.3">
      <c r="A118" t="s">
        <v>420</v>
      </c>
      <c r="B118" t="s">
        <v>1699</v>
      </c>
      <c r="C118" t="s">
        <v>421</v>
      </c>
      <c r="D118" t="s">
        <v>42</v>
      </c>
      <c r="E118" t="s">
        <v>43</v>
      </c>
      <c r="F118" t="s">
        <v>422</v>
      </c>
      <c r="G118" t="s">
        <v>22</v>
      </c>
      <c r="H118" s="13">
        <v>45405</v>
      </c>
      <c r="I118" t="s">
        <v>54</v>
      </c>
      <c r="J118" t="s">
        <v>95</v>
      </c>
      <c r="K118" t="s">
        <v>1514</v>
      </c>
      <c r="L118" t="s">
        <v>1514</v>
      </c>
      <c r="M118" t="s">
        <v>42</v>
      </c>
      <c r="N118" t="s">
        <v>1514</v>
      </c>
      <c r="O118" t="s">
        <v>43</v>
      </c>
      <c r="P118" t="s">
        <v>1517</v>
      </c>
      <c r="Q118" t="s">
        <v>1514</v>
      </c>
      <c r="R118">
        <v>0</v>
      </c>
    </row>
    <row r="119" spans="1:18" x14ac:dyDescent="0.3">
      <c r="A119" t="s">
        <v>423</v>
      </c>
      <c r="B119" t="s">
        <v>1700</v>
      </c>
      <c r="C119" t="s">
        <v>424</v>
      </c>
      <c r="D119" t="s">
        <v>47</v>
      </c>
      <c r="E119" t="s">
        <v>425</v>
      </c>
      <c r="F119" t="s">
        <v>426</v>
      </c>
      <c r="G119" t="s">
        <v>22</v>
      </c>
      <c r="H119" s="13">
        <v>45266</v>
      </c>
      <c r="I119" t="s">
        <v>54</v>
      </c>
      <c r="J119" t="s">
        <v>95</v>
      </c>
      <c r="K119" t="s">
        <v>1514</v>
      </c>
      <c r="L119" t="s">
        <v>1514</v>
      </c>
      <c r="M119" t="s">
        <v>1701</v>
      </c>
      <c r="N119" t="s">
        <v>1514</v>
      </c>
      <c r="O119" t="s">
        <v>425</v>
      </c>
      <c r="P119" t="s">
        <v>1517</v>
      </c>
      <c r="Q119" t="s">
        <v>1514</v>
      </c>
      <c r="R119">
        <v>0</v>
      </c>
    </row>
    <row r="120" spans="1:18" x14ac:dyDescent="0.3">
      <c r="A120" t="s">
        <v>427</v>
      </c>
      <c r="B120" t="s">
        <v>1702</v>
      </c>
      <c r="C120" t="s">
        <v>428</v>
      </c>
      <c r="D120" t="s">
        <v>42</v>
      </c>
      <c r="E120" t="s">
        <v>76</v>
      </c>
      <c r="F120" t="s">
        <v>429</v>
      </c>
      <c r="G120" t="s">
        <v>22</v>
      </c>
      <c r="H120" s="13">
        <v>45805</v>
      </c>
      <c r="I120" t="s">
        <v>23</v>
      </c>
      <c r="K120" t="s">
        <v>1514</v>
      </c>
      <c r="L120" t="s">
        <v>1514</v>
      </c>
      <c r="M120" t="s">
        <v>1703</v>
      </c>
      <c r="N120" t="s">
        <v>1514</v>
      </c>
      <c r="O120" t="s">
        <v>76</v>
      </c>
      <c r="P120" t="s">
        <v>1517</v>
      </c>
      <c r="Q120" t="s">
        <v>1514</v>
      </c>
      <c r="R120">
        <v>0</v>
      </c>
    </row>
    <row r="121" spans="1:18" x14ac:dyDescent="0.3">
      <c r="A121" t="s">
        <v>430</v>
      </c>
      <c r="B121" t="s">
        <v>1704</v>
      </c>
      <c r="C121" t="s">
        <v>431</v>
      </c>
      <c r="D121" t="s">
        <v>84</v>
      </c>
      <c r="E121" t="s">
        <v>201</v>
      </c>
      <c r="F121" t="s">
        <v>432</v>
      </c>
      <c r="G121" t="s">
        <v>22</v>
      </c>
      <c r="H121" s="13">
        <v>45510</v>
      </c>
      <c r="I121" t="s">
        <v>54</v>
      </c>
      <c r="J121" t="s">
        <v>24</v>
      </c>
      <c r="K121" t="s">
        <v>1514</v>
      </c>
      <c r="L121" t="s">
        <v>1514</v>
      </c>
      <c r="M121" t="s">
        <v>201</v>
      </c>
      <c r="N121" t="s">
        <v>1514</v>
      </c>
      <c r="O121" t="s">
        <v>201</v>
      </c>
      <c r="P121" t="s">
        <v>1517</v>
      </c>
      <c r="Q121" t="s">
        <v>1514</v>
      </c>
      <c r="R121">
        <v>0</v>
      </c>
    </row>
    <row r="122" spans="1:18" x14ac:dyDescent="0.3">
      <c r="A122" t="s">
        <v>433</v>
      </c>
      <c r="B122" t="s">
        <v>1705</v>
      </c>
      <c r="C122" t="s">
        <v>434</v>
      </c>
      <c r="D122" t="s">
        <v>27</v>
      </c>
      <c r="E122" t="s">
        <v>98</v>
      </c>
      <c r="F122" t="s">
        <v>435</v>
      </c>
      <c r="G122" t="s">
        <v>22</v>
      </c>
      <c r="H122" s="13">
        <v>45134</v>
      </c>
      <c r="I122" t="s">
        <v>54</v>
      </c>
      <c r="K122" t="s">
        <v>1514</v>
      </c>
      <c r="L122" t="s">
        <v>1514</v>
      </c>
      <c r="M122" t="s">
        <v>1706</v>
      </c>
      <c r="N122" t="s">
        <v>1514</v>
      </c>
      <c r="O122" t="s">
        <v>98</v>
      </c>
      <c r="P122" t="s">
        <v>1517</v>
      </c>
      <c r="Q122" t="s">
        <v>1514</v>
      </c>
      <c r="R122">
        <v>0</v>
      </c>
    </row>
    <row r="123" spans="1:18" x14ac:dyDescent="0.3">
      <c r="A123" t="s">
        <v>436</v>
      </c>
      <c r="B123" t="s">
        <v>1707</v>
      </c>
      <c r="C123" t="s">
        <v>437</v>
      </c>
      <c r="D123" t="s">
        <v>36</v>
      </c>
      <c r="E123" t="s">
        <v>37</v>
      </c>
      <c r="F123" t="s">
        <v>438</v>
      </c>
      <c r="G123" t="s">
        <v>15</v>
      </c>
      <c r="H123" s="13">
        <v>45369</v>
      </c>
      <c r="I123" t="s">
        <v>33</v>
      </c>
      <c r="K123" t="s">
        <v>1514</v>
      </c>
      <c r="L123" t="s">
        <v>1514</v>
      </c>
      <c r="M123" t="s">
        <v>1708</v>
      </c>
      <c r="N123" t="s">
        <v>1514</v>
      </c>
      <c r="O123" t="s">
        <v>37</v>
      </c>
      <c r="P123" t="s">
        <v>1517</v>
      </c>
      <c r="Q123" t="s">
        <v>1514</v>
      </c>
      <c r="R123">
        <v>0</v>
      </c>
    </row>
    <row r="124" spans="1:18" x14ac:dyDescent="0.3">
      <c r="A124" t="s">
        <v>439</v>
      </c>
      <c r="B124" t="s">
        <v>1709</v>
      </c>
      <c r="C124" t="s">
        <v>440</v>
      </c>
      <c r="D124" t="s">
        <v>71</v>
      </c>
      <c r="E124" t="s">
        <v>374</v>
      </c>
      <c r="F124" t="s">
        <v>441</v>
      </c>
      <c r="G124" t="s">
        <v>15</v>
      </c>
      <c r="H124" s="13">
        <v>45949</v>
      </c>
      <c r="I124" t="s">
        <v>39</v>
      </c>
      <c r="J124" t="s">
        <v>24</v>
      </c>
      <c r="K124" t="s">
        <v>1514</v>
      </c>
      <c r="L124" t="s">
        <v>1514</v>
      </c>
      <c r="M124" t="s">
        <v>1515</v>
      </c>
      <c r="N124" t="s">
        <v>1516</v>
      </c>
      <c r="O124" t="s">
        <v>374</v>
      </c>
      <c r="P124" t="s">
        <v>1517</v>
      </c>
      <c r="Q124" t="s">
        <v>1518</v>
      </c>
      <c r="R124">
        <v>1</v>
      </c>
    </row>
    <row r="125" spans="1:18" x14ac:dyDescent="0.3">
      <c r="A125" t="s">
        <v>442</v>
      </c>
      <c r="B125" t="s">
        <v>1710</v>
      </c>
      <c r="C125" t="s">
        <v>443</v>
      </c>
      <c r="D125" t="s">
        <v>71</v>
      </c>
      <c r="E125" t="s">
        <v>93</v>
      </c>
      <c r="F125" t="s">
        <v>444</v>
      </c>
      <c r="G125" t="s">
        <v>22</v>
      </c>
      <c r="H125" s="13">
        <v>45655</v>
      </c>
      <c r="I125" t="s">
        <v>39</v>
      </c>
      <c r="J125" t="s">
        <v>50</v>
      </c>
      <c r="K125" t="s">
        <v>1514</v>
      </c>
      <c r="L125" t="s">
        <v>1514</v>
      </c>
      <c r="M125" t="s">
        <v>442</v>
      </c>
      <c r="N125" t="s">
        <v>1514</v>
      </c>
      <c r="O125" t="s">
        <v>93</v>
      </c>
      <c r="P125" t="s">
        <v>1517</v>
      </c>
      <c r="Q125" t="s">
        <v>1514</v>
      </c>
      <c r="R125">
        <v>0</v>
      </c>
    </row>
    <row r="126" spans="1:18" x14ac:dyDescent="0.3">
      <c r="A126" t="s">
        <v>445</v>
      </c>
      <c r="B126" t="s">
        <v>1711</v>
      </c>
      <c r="C126" t="s">
        <v>446</v>
      </c>
      <c r="D126" t="s">
        <v>47</v>
      </c>
      <c r="E126" t="s">
        <v>425</v>
      </c>
      <c r="F126" t="s">
        <v>447</v>
      </c>
      <c r="G126" t="s">
        <v>22</v>
      </c>
      <c r="H126" s="13">
        <v>45227</v>
      </c>
      <c r="I126" t="s">
        <v>16</v>
      </c>
      <c r="J126" t="s">
        <v>95</v>
      </c>
      <c r="K126" t="s">
        <v>1514</v>
      </c>
      <c r="L126" t="s">
        <v>1514</v>
      </c>
      <c r="M126" t="s">
        <v>1712</v>
      </c>
      <c r="N126" t="s">
        <v>1514</v>
      </c>
      <c r="O126" t="s">
        <v>425</v>
      </c>
      <c r="P126" t="s">
        <v>1517</v>
      </c>
      <c r="Q126" t="s">
        <v>1514</v>
      </c>
      <c r="R126">
        <v>0</v>
      </c>
    </row>
    <row r="127" spans="1:18" x14ac:dyDescent="0.3">
      <c r="A127" t="s">
        <v>140</v>
      </c>
      <c r="B127" t="s">
        <v>1713</v>
      </c>
      <c r="C127" t="s">
        <v>448</v>
      </c>
      <c r="D127" t="s">
        <v>47</v>
      </c>
      <c r="E127" t="s">
        <v>48</v>
      </c>
      <c r="F127" t="s">
        <v>449</v>
      </c>
      <c r="G127" t="s">
        <v>15</v>
      </c>
      <c r="H127" s="13">
        <v>45147</v>
      </c>
      <c r="I127" t="s">
        <v>54</v>
      </c>
      <c r="K127" t="s">
        <v>1514</v>
      </c>
      <c r="L127" t="s">
        <v>1514</v>
      </c>
      <c r="M127" t="s">
        <v>48</v>
      </c>
      <c r="N127" t="s">
        <v>1514</v>
      </c>
      <c r="O127" t="s">
        <v>48</v>
      </c>
      <c r="P127" t="s">
        <v>1517</v>
      </c>
      <c r="Q127" t="s">
        <v>1514</v>
      </c>
      <c r="R127">
        <v>0</v>
      </c>
    </row>
    <row r="128" spans="1:18" x14ac:dyDescent="0.3">
      <c r="A128" t="s">
        <v>450</v>
      </c>
      <c r="B128" t="s">
        <v>1714</v>
      </c>
      <c r="C128" t="s">
        <v>451</v>
      </c>
      <c r="D128" t="s">
        <v>57</v>
      </c>
      <c r="E128" t="s">
        <v>223</v>
      </c>
      <c r="F128" t="s">
        <v>452</v>
      </c>
      <c r="G128" t="s">
        <v>15</v>
      </c>
      <c r="H128" s="13">
        <v>44993</v>
      </c>
      <c r="I128" t="s">
        <v>54</v>
      </c>
      <c r="K128" t="s">
        <v>1514</v>
      </c>
      <c r="L128" t="s">
        <v>1514</v>
      </c>
      <c r="M128" t="s">
        <v>1715</v>
      </c>
      <c r="N128" t="s">
        <v>1514</v>
      </c>
      <c r="O128" t="s">
        <v>223</v>
      </c>
      <c r="P128" t="s">
        <v>1517</v>
      </c>
      <c r="Q128" t="s">
        <v>1514</v>
      </c>
      <c r="R128">
        <v>0</v>
      </c>
    </row>
    <row r="129" spans="1:18" x14ac:dyDescent="0.3">
      <c r="A129" t="s">
        <v>453</v>
      </c>
      <c r="B129" t="s">
        <v>1716</v>
      </c>
      <c r="C129" t="s">
        <v>454</v>
      </c>
      <c r="D129" t="s">
        <v>57</v>
      </c>
      <c r="E129" t="s">
        <v>223</v>
      </c>
      <c r="F129" t="s">
        <v>455</v>
      </c>
      <c r="G129" t="s">
        <v>22</v>
      </c>
      <c r="H129" s="13">
        <v>45256</v>
      </c>
      <c r="I129" t="s">
        <v>23</v>
      </c>
      <c r="J129" t="s">
        <v>50</v>
      </c>
      <c r="K129" t="s">
        <v>1514</v>
      </c>
      <c r="L129" t="s">
        <v>1514</v>
      </c>
      <c r="M129" t="s">
        <v>1717</v>
      </c>
      <c r="N129" t="s">
        <v>1514</v>
      </c>
      <c r="O129" t="s">
        <v>223</v>
      </c>
      <c r="P129" t="s">
        <v>1517</v>
      </c>
      <c r="Q129" t="s">
        <v>1514</v>
      </c>
      <c r="R129">
        <v>0</v>
      </c>
    </row>
    <row r="130" spans="1:18" x14ac:dyDescent="0.3">
      <c r="A130" t="s">
        <v>456</v>
      </c>
      <c r="B130" t="s">
        <v>1718</v>
      </c>
      <c r="C130" t="s">
        <v>457</v>
      </c>
      <c r="D130" t="s">
        <v>71</v>
      </c>
      <c r="E130" t="s">
        <v>93</v>
      </c>
      <c r="F130" t="s">
        <v>458</v>
      </c>
      <c r="G130" t="s">
        <v>22</v>
      </c>
      <c r="H130" s="13">
        <v>45981</v>
      </c>
      <c r="I130" t="s">
        <v>33</v>
      </c>
      <c r="K130" t="s">
        <v>1514</v>
      </c>
      <c r="L130" t="s">
        <v>1514</v>
      </c>
      <c r="M130" t="s">
        <v>1719</v>
      </c>
      <c r="N130" t="s">
        <v>1514</v>
      </c>
      <c r="O130" t="s">
        <v>93</v>
      </c>
      <c r="P130" t="s">
        <v>1517</v>
      </c>
      <c r="Q130" t="s">
        <v>1514</v>
      </c>
      <c r="R130">
        <v>0</v>
      </c>
    </row>
    <row r="131" spans="1:18" x14ac:dyDescent="0.3">
      <c r="A131" t="s">
        <v>459</v>
      </c>
      <c r="B131" t="s">
        <v>1720</v>
      </c>
      <c r="C131" t="s">
        <v>460</v>
      </c>
      <c r="D131" t="s">
        <v>84</v>
      </c>
      <c r="E131" t="s">
        <v>248</v>
      </c>
      <c r="F131" t="s">
        <v>461</v>
      </c>
      <c r="G131" t="s">
        <v>15</v>
      </c>
      <c r="H131" s="13">
        <v>45399</v>
      </c>
      <c r="I131" t="s">
        <v>39</v>
      </c>
      <c r="J131" t="s">
        <v>95</v>
      </c>
      <c r="K131" t="s">
        <v>1514</v>
      </c>
      <c r="L131" t="s">
        <v>1514</v>
      </c>
      <c r="M131" t="s">
        <v>1721</v>
      </c>
      <c r="N131" t="s">
        <v>1514</v>
      </c>
      <c r="O131" t="s">
        <v>248</v>
      </c>
      <c r="P131" t="s">
        <v>1517</v>
      </c>
      <c r="Q131" t="s">
        <v>1514</v>
      </c>
      <c r="R131">
        <v>0</v>
      </c>
    </row>
    <row r="132" spans="1:18" x14ac:dyDescent="0.3">
      <c r="A132" t="s">
        <v>462</v>
      </c>
      <c r="B132" t="s">
        <v>1722</v>
      </c>
      <c r="C132" t="s">
        <v>463</v>
      </c>
      <c r="D132" t="s">
        <v>84</v>
      </c>
      <c r="E132" t="s">
        <v>234</v>
      </c>
      <c r="F132" t="s">
        <v>464</v>
      </c>
      <c r="G132" t="s">
        <v>15</v>
      </c>
      <c r="H132" s="13">
        <v>45278</v>
      </c>
      <c r="I132" t="s">
        <v>33</v>
      </c>
      <c r="J132" t="s">
        <v>17</v>
      </c>
      <c r="K132" t="s">
        <v>1514</v>
      </c>
      <c r="L132" t="s">
        <v>1514</v>
      </c>
      <c r="M132" t="s">
        <v>1723</v>
      </c>
      <c r="N132" t="s">
        <v>1514</v>
      </c>
      <c r="O132" t="s">
        <v>234</v>
      </c>
      <c r="P132" t="s">
        <v>1517</v>
      </c>
      <c r="Q132" t="s">
        <v>1514</v>
      </c>
      <c r="R132">
        <v>0</v>
      </c>
    </row>
    <row r="133" spans="1:18" x14ac:dyDescent="0.3">
      <c r="A133" t="s">
        <v>465</v>
      </c>
      <c r="B133" t="s">
        <v>1724</v>
      </c>
      <c r="C133" t="s">
        <v>466</v>
      </c>
      <c r="D133" t="s">
        <v>42</v>
      </c>
      <c r="E133" t="s">
        <v>108</v>
      </c>
      <c r="F133" t="s">
        <v>467</v>
      </c>
      <c r="G133" t="s">
        <v>15</v>
      </c>
      <c r="H133" s="13">
        <v>45394</v>
      </c>
      <c r="I133" t="s">
        <v>39</v>
      </c>
      <c r="K133" t="s">
        <v>1514</v>
      </c>
      <c r="L133" t="s">
        <v>1514</v>
      </c>
      <c r="M133" t="s">
        <v>465</v>
      </c>
      <c r="N133" t="s">
        <v>1514</v>
      </c>
      <c r="O133" t="s">
        <v>108</v>
      </c>
      <c r="P133" t="s">
        <v>1517</v>
      </c>
      <c r="Q133" t="s">
        <v>1514</v>
      </c>
      <c r="R133">
        <v>0</v>
      </c>
    </row>
    <row r="134" spans="1:18" x14ac:dyDescent="0.3">
      <c r="A134" t="s">
        <v>468</v>
      </c>
      <c r="B134" t="s">
        <v>1725</v>
      </c>
      <c r="C134" t="s">
        <v>469</v>
      </c>
      <c r="D134" t="s">
        <v>42</v>
      </c>
      <c r="E134" t="s">
        <v>305</v>
      </c>
      <c r="F134" t="s">
        <v>470</v>
      </c>
      <c r="G134" t="s">
        <v>22</v>
      </c>
      <c r="H134" s="13">
        <v>45889</v>
      </c>
      <c r="I134" t="s">
        <v>39</v>
      </c>
      <c r="J134" t="s">
        <v>78</v>
      </c>
      <c r="K134" t="s">
        <v>1514</v>
      </c>
      <c r="L134" t="s">
        <v>1514</v>
      </c>
      <c r="M134" t="s">
        <v>468</v>
      </c>
      <c r="N134" t="s">
        <v>1514</v>
      </c>
      <c r="O134" t="s">
        <v>305</v>
      </c>
      <c r="P134" t="s">
        <v>1517</v>
      </c>
      <c r="Q134" t="s">
        <v>1514</v>
      </c>
      <c r="R134">
        <v>0</v>
      </c>
    </row>
    <row r="135" spans="1:18" x14ac:dyDescent="0.3">
      <c r="A135" t="s">
        <v>143</v>
      </c>
      <c r="B135" t="s">
        <v>1726</v>
      </c>
      <c r="C135" t="s">
        <v>471</v>
      </c>
      <c r="D135" t="s">
        <v>71</v>
      </c>
      <c r="E135" t="s">
        <v>72</v>
      </c>
      <c r="F135" t="s">
        <v>472</v>
      </c>
      <c r="G135" t="s">
        <v>22</v>
      </c>
      <c r="H135" s="13">
        <v>45929</v>
      </c>
      <c r="I135" t="s">
        <v>54</v>
      </c>
      <c r="J135" t="s">
        <v>50</v>
      </c>
      <c r="K135" t="s">
        <v>1514</v>
      </c>
      <c r="L135" t="s">
        <v>1514</v>
      </c>
      <c r="M135" t="s">
        <v>72</v>
      </c>
      <c r="N135" t="s">
        <v>1514</v>
      </c>
      <c r="O135" t="s">
        <v>72</v>
      </c>
      <c r="P135" t="s">
        <v>1517</v>
      </c>
      <c r="Q135" t="s">
        <v>1514</v>
      </c>
      <c r="R135">
        <v>0</v>
      </c>
    </row>
    <row r="136" spans="1:18" x14ac:dyDescent="0.3">
      <c r="A136" t="s">
        <v>473</v>
      </c>
      <c r="B136" t="s">
        <v>1727</v>
      </c>
      <c r="C136" t="s">
        <v>474</v>
      </c>
      <c r="D136" t="s">
        <v>57</v>
      </c>
      <c r="E136" t="s">
        <v>252</v>
      </c>
      <c r="F136" t="s">
        <v>475</v>
      </c>
      <c r="G136" t="s">
        <v>15</v>
      </c>
      <c r="H136" s="13">
        <v>45696</v>
      </c>
      <c r="I136" t="s">
        <v>16</v>
      </c>
      <c r="K136" t="s">
        <v>1514</v>
      </c>
      <c r="L136" t="s">
        <v>1514</v>
      </c>
      <c r="M136" t="s">
        <v>1728</v>
      </c>
      <c r="N136" t="s">
        <v>1514</v>
      </c>
      <c r="O136" t="s">
        <v>252</v>
      </c>
      <c r="P136" t="s">
        <v>1517</v>
      </c>
      <c r="Q136" t="s">
        <v>1514</v>
      </c>
      <c r="R136">
        <v>0</v>
      </c>
    </row>
    <row r="137" spans="1:18" x14ac:dyDescent="0.3">
      <c r="A137" t="s">
        <v>476</v>
      </c>
      <c r="B137" t="s">
        <v>1729</v>
      </c>
      <c r="C137" t="s">
        <v>477</v>
      </c>
      <c r="D137" t="s">
        <v>57</v>
      </c>
      <c r="E137" t="s">
        <v>223</v>
      </c>
      <c r="F137" t="s">
        <v>478</v>
      </c>
      <c r="G137" t="s">
        <v>15</v>
      </c>
      <c r="H137" s="13">
        <v>45376</v>
      </c>
      <c r="I137" t="s">
        <v>39</v>
      </c>
      <c r="K137" t="s">
        <v>1514</v>
      </c>
      <c r="L137" t="s">
        <v>1514</v>
      </c>
      <c r="M137" t="s">
        <v>476</v>
      </c>
      <c r="N137" t="s">
        <v>1514</v>
      </c>
      <c r="O137" t="s">
        <v>223</v>
      </c>
      <c r="P137" t="s">
        <v>1517</v>
      </c>
      <c r="Q137" t="s">
        <v>1514</v>
      </c>
      <c r="R137">
        <v>0</v>
      </c>
    </row>
    <row r="138" spans="1:18" x14ac:dyDescent="0.3">
      <c r="A138" t="s">
        <v>479</v>
      </c>
      <c r="B138" t="s">
        <v>1730</v>
      </c>
      <c r="C138" t="s">
        <v>480</v>
      </c>
      <c r="D138" t="s">
        <v>57</v>
      </c>
      <c r="E138" t="s">
        <v>481</v>
      </c>
      <c r="F138" t="s">
        <v>482</v>
      </c>
      <c r="G138" t="s">
        <v>15</v>
      </c>
      <c r="H138" s="13">
        <v>44931</v>
      </c>
      <c r="I138" t="s">
        <v>39</v>
      </c>
      <c r="K138" t="s">
        <v>1514</v>
      </c>
      <c r="L138" t="s">
        <v>1514</v>
      </c>
      <c r="M138" t="s">
        <v>1731</v>
      </c>
      <c r="N138" t="s">
        <v>1514</v>
      </c>
      <c r="O138" t="s">
        <v>481</v>
      </c>
      <c r="P138" t="s">
        <v>1517</v>
      </c>
      <c r="Q138" t="s">
        <v>1514</v>
      </c>
      <c r="R138">
        <v>0</v>
      </c>
    </row>
    <row r="139" spans="1:18" x14ac:dyDescent="0.3">
      <c r="A139" t="s">
        <v>483</v>
      </c>
      <c r="B139" t="s">
        <v>1732</v>
      </c>
      <c r="C139" t="s">
        <v>484</v>
      </c>
      <c r="D139" t="s">
        <v>12</v>
      </c>
      <c r="E139" t="s">
        <v>20</v>
      </c>
      <c r="F139" t="s">
        <v>485</v>
      </c>
      <c r="G139" t="s">
        <v>15</v>
      </c>
      <c r="H139" s="13">
        <v>45657</v>
      </c>
      <c r="I139" t="s">
        <v>39</v>
      </c>
      <c r="K139" t="s">
        <v>1514</v>
      </c>
      <c r="L139" t="s">
        <v>1514</v>
      </c>
      <c r="M139" t="s">
        <v>12</v>
      </c>
      <c r="N139" t="s">
        <v>1514</v>
      </c>
      <c r="O139" t="s">
        <v>20</v>
      </c>
      <c r="P139" t="s">
        <v>1517</v>
      </c>
      <c r="Q139" t="s">
        <v>1514</v>
      </c>
      <c r="R139">
        <v>0</v>
      </c>
    </row>
    <row r="140" spans="1:18" x14ac:dyDescent="0.3">
      <c r="A140" t="s">
        <v>486</v>
      </c>
      <c r="B140" t="s">
        <v>1733</v>
      </c>
      <c r="C140" t="s">
        <v>487</v>
      </c>
      <c r="D140" t="s">
        <v>84</v>
      </c>
      <c r="E140" t="s">
        <v>234</v>
      </c>
      <c r="F140" t="s">
        <v>488</v>
      </c>
      <c r="G140" t="s">
        <v>22</v>
      </c>
      <c r="H140" s="13">
        <v>45222</v>
      </c>
      <c r="I140" t="s">
        <v>16</v>
      </c>
      <c r="K140" t="s">
        <v>1514</v>
      </c>
      <c r="L140" t="s">
        <v>1514</v>
      </c>
      <c r="M140" t="s">
        <v>1734</v>
      </c>
      <c r="N140" t="s">
        <v>1514</v>
      </c>
      <c r="O140" t="s">
        <v>234</v>
      </c>
      <c r="P140" t="s">
        <v>1517</v>
      </c>
      <c r="Q140" t="s">
        <v>1514</v>
      </c>
      <c r="R140">
        <v>0</v>
      </c>
    </row>
    <row r="141" spans="1:18" x14ac:dyDescent="0.3">
      <c r="A141" t="s">
        <v>489</v>
      </c>
      <c r="B141" t="s">
        <v>1735</v>
      </c>
      <c r="C141" t="s">
        <v>490</v>
      </c>
      <c r="D141" t="s">
        <v>62</v>
      </c>
      <c r="E141" t="s">
        <v>89</v>
      </c>
      <c r="F141" t="s">
        <v>491</v>
      </c>
      <c r="G141" t="s">
        <v>15</v>
      </c>
      <c r="H141" s="13">
        <v>45550</v>
      </c>
      <c r="I141" t="s">
        <v>54</v>
      </c>
      <c r="J141" t="s">
        <v>95</v>
      </c>
      <c r="K141" t="s">
        <v>1514</v>
      </c>
      <c r="L141" t="s">
        <v>1514</v>
      </c>
      <c r="M141" t="s">
        <v>89</v>
      </c>
      <c r="N141" t="s">
        <v>1514</v>
      </c>
      <c r="O141" t="s">
        <v>89</v>
      </c>
      <c r="P141" t="s">
        <v>1517</v>
      </c>
      <c r="Q141" t="s">
        <v>1514</v>
      </c>
      <c r="R141">
        <v>0</v>
      </c>
    </row>
    <row r="142" spans="1:18" x14ac:dyDescent="0.3">
      <c r="A142" t="s">
        <v>492</v>
      </c>
      <c r="B142" t="s">
        <v>1736</v>
      </c>
      <c r="C142" t="s">
        <v>493</v>
      </c>
      <c r="D142" t="s">
        <v>62</v>
      </c>
      <c r="E142" t="s">
        <v>154</v>
      </c>
      <c r="F142" t="s">
        <v>494</v>
      </c>
      <c r="G142" t="s">
        <v>22</v>
      </c>
      <c r="H142" s="13">
        <v>45251</v>
      </c>
      <c r="I142" t="s">
        <v>33</v>
      </c>
      <c r="K142" t="s">
        <v>1514</v>
      </c>
      <c r="L142" t="s">
        <v>1514</v>
      </c>
      <c r="M142" t="s">
        <v>1737</v>
      </c>
      <c r="N142" t="s">
        <v>1514</v>
      </c>
      <c r="O142" t="s">
        <v>154</v>
      </c>
      <c r="P142" t="s">
        <v>1517</v>
      </c>
      <c r="Q142" t="s">
        <v>1514</v>
      </c>
      <c r="R142">
        <v>0</v>
      </c>
    </row>
    <row r="143" spans="1:18" x14ac:dyDescent="0.3">
      <c r="A143" t="s">
        <v>495</v>
      </c>
      <c r="B143" t="s">
        <v>1738</v>
      </c>
      <c r="C143" t="s">
        <v>496</v>
      </c>
      <c r="D143" t="s">
        <v>36</v>
      </c>
      <c r="E143" t="s">
        <v>127</v>
      </c>
      <c r="F143" t="s">
        <v>497</v>
      </c>
      <c r="G143" t="s">
        <v>22</v>
      </c>
      <c r="H143" s="13">
        <v>45458</v>
      </c>
      <c r="I143" t="s">
        <v>54</v>
      </c>
      <c r="J143" t="s">
        <v>50</v>
      </c>
      <c r="K143" t="s">
        <v>1514</v>
      </c>
      <c r="L143" t="s">
        <v>1514</v>
      </c>
      <c r="M143" t="s">
        <v>495</v>
      </c>
      <c r="N143" t="s">
        <v>1514</v>
      </c>
      <c r="O143" t="s">
        <v>127</v>
      </c>
      <c r="P143" t="s">
        <v>1517</v>
      </c>
      <c r="Q143" t="s">
        <v>1514</v>
      </c>
      <c r="R143">
        <v>0</v>
      </c>
    </row>
    <row r="144" spans="1:18" x14ac:dyDescent="0.3">
      <c r="A144" t="s">
        <v>498</v>
      </c>
      <c r="B144" t="s">
        <v>1739</v>
      </c>
      <c r="C144" t="s">
        <v>499</v>
      </c>
      <c r="D144" t="s">
        <v>27</v>
      </c>
      <c r="E144" t="s">
        <v>230</v>
      </c>
      <c r="F144" t="s">
        <v>500</v>
      </c>
      <c r="G144" t="s">
        <v>15</v>
      </c>
      <c r="H144" s="13">
        <v>45304</v>
      </c>
      <c r="I144" t="s">
        <v>39</v>
      </c>
      <c r="K144" t="s">
        <v>1514</v>
      </c>
      <c r="L144" t="s">
        <v>1514</v>
      </c>
      <c r="M144" t="s">
        <v>1740</v>
      </c>
      <c r="N144" t="s">
        <v>1514</v>
      </c>
      <c r="O144" t="s">
        <v>230</v>
      </c>
      <c r="P144" t="s">
        <v>1517</v>
      </c>
      <c r="Q144" t="s">
        <v>1514</v>
      </c>
      <c r="R144">
        <v>0</v>
      </c>
    </row>
    <row r="145" spans="1:18" x14ac:dyDescent="0.3">
      <c r="A145" t="s">
        <v>501</v>
      </c>
      <c r="B145" t="s">
        <v>1741</v>
      </c>
      <c r="C145" t="s">
        <v>502</v>
      </c>
      <c r="D145" t="s">
        <v>42</v>
      </c>
      <c r="E145" t="s">
        <v>503</v>
      </c>
      <c r="F145" t="s">
        <v>504</v>
      </c>
      <c r="G145" t="s">
        <v>15</v>
      </c>
      <c r="H145" s="13">
        <v>45012</v>
      </c>
      <c r="I145" t="s">
        <v>39</v>
      </c>
      <c r="K145" t="s">
        <v>1514</v>
      </c>
      <c r="L145" t="s">
        <v>1514</v>
      </c>
      <c r="M145" t="s">
        <v>42</v>
      </c>
      <c r="N145" t="s">
        <v>1514</v>
      </c>
      <c r="O145" t="s">
        <v>503</v>
      </c>
      <c r="P145" t="s">
        <v>1517</v>
      </c>
      <c r="Q145" t="s">
        <v>1514</v>
      </c>
      <c r="R145">
        <v>0</v>
      </c>
    </row>
    <row r="146" spans="1:18" x14ac:dyDescent="0.3">
      <c r="A146" t="s">
        <v>505</v>
      </c>
      <c r="B146" t="s">
        <v>1742</v>
      </c>
      <c r="C146" t="s">
        <v>506</v>
      </c>
      <c r="D146" t="s">
        <v>27</v>
      </c>
      <c r="E146" t="s">
        <v>158</v>
      </c>
      <c r="F146" t="s">
        <v>507</v>
      </c>
      <c r="G146" t="s">
        <v>15</v>
      </c>
      <c r="H146" s="13">
        <v>45935</v>
      </c>
      <c r="I146" t="s">
        <v>54</v>
      </c>
      <c r="J146" t="s">
        <v>78</v>
      </c>
      <c r="K146" t="s">
        <v>1514</v>
      </c>
      <c r="L146" t="s">
        <v>1514</v>
      </c>
      <c r="M146" t="s">
        <v>1743</v>
      </c>
      <c r="N146" t="s">
        <v>1514</v>
      </c>
      <c r="O146" t="s">
        <v>158</v>
      </c>
      <c r="P146" t="s">
        <v>1517</v>
      </c>
      <c r="Q146" t="s">
        <v>1514</v>
      </c>
      <c r="R146">
        <v>0</v>
      </c>
    </row>
    <row r="147" spans="1:18" x14ac:dyDescent="0.3">
      <c r="A147" t="s">
        <v>508</v>
      </c>
      <c r="B147" t="s">
        <v>1744</v>
      </c>
      <c r="C147" t="s">
        <v>509</v>
      </c>
      <c r="D147" t="s">
        <v>62</v>
      </c>
      <c r="E147" t="s">
        <v>510</v>
      </c>
      <c r="F147" t="s">
        <v>511</v>
      </c>
      <c r="G147" t="s">
        <v>22</v>
      </c>
      <c r="H147" s="13">
        <v>45485</v>
      </c>
      <c r="I147" t="s">
        <v>33</v>
      </c>
      <c r="J147" t="s">
        <v>17</v>
      </c>
      <c r="K147" t="s">
        <v>1514</v>
      </c>
      <c r="L147" t="s">
        <v>1514</v>
      </c>
      <c r="M147" t="s">
        <v>1745</v>
      </c>
      <c r="N147" t="s">
        <v>1514</v>
      </c>
      <c r="O147" t="s">
        <v>510</v>
      </c>
      <c r="P147" t="s">
        <v>1517</v>
      </c>
      <c r="Q147" t="s">
        <v>1514</v>
      </c>
      <c r="R147">
        <v>0</v>
      </c>
    </row>
    <row r="148" spans="1:18" x14ac:dyDescent="0.3">
      <c r="A148" t="s">
        <v>512</v>
      </c>
      <c r="B148" t="s">
        <v>1746</v>
      </c>
      <c r="C148" t="s">
        <v>513</v>
      </c>
      <c r="D148" t="s">
        <v>36</v>
      </c>
      <c r="E148" t="s">
        <v>131</v>
      </c>
      <c r="F148" t="s">
        <v>514</v>
      </c>
      <c r="G148" t="s">
        <v>15</v>
      </c>
      <c r="H148" s="13">
        <v>45414</v>
      </c>
      <c r="I148" t="s">
        <v>39</v>
      </c>
      <c r="J148" t="s">
        <v>78</v>
      </c>
      <c r="K148" t="s">
        <v>1514</v>
      </c>
      <c r="L148" t="s">
        <v>1514</v>
      </c>
      <c r="M148" t="s">
        <v>1747</v>
      </c>
      <c r="N148" t="s">
        <v>1514</v>
      </c>
      <c r="O148" t="s">
        <v>131</v>
      </c>
      <c r="P148" t="s">
        <v>1517</v>
      </c>
      <c r="Q148" t="s">
        <v>1514</v>
      </c>
      <c r="R148">
        <v>0</v>
      </c>
    </row>
    <row r="149" spans="1:18" x14ac:dyDescent="0.3">
      <c r="A149" t="s">
        <v>515</v>
      </c>
      <c r="B149" t="s">
        <v>1748</v>
      </c>
      <c r="C149" t="s">
        <v>516</v>
      </c>
      <c r="D149" t="s">
        <v>173</v>
      </c>
      <c r="E149" t="s">
        <v>328</v>
      </c>
      <c r="F149" t="s">
        <v>517</v>
      </c>
      <c r="G149" t="s">
        <v>22</v>
      </c>
      <c r="H149" s="13">
        <v>45959</v>
      </c>
      <c r="I149" t="s">
        <v>39</v>
      </c>
      <c r="J149" t="s">
        <v>50</v>
      </c>
      <c r="K149" t="s">
        <v>1514</v>
      </c>
      <c r="L149" t="s">
        <v>1514</v>
      </c>
      <c r="M149" t="s">
        <v>515</v>
      </c>
      <c r="N149" t="s">
        <v>1514</v>
      </c>
      <c r="O149" t="s">
        <v>328</v>
      </c>
      <c r="P149" t="s">
        <v>1517</v>
      </c>
      <c r="Q149" t="s">
        <v>1514</v>
      </c>
      <c r="R149">
        <v>0</v>
      </c>
    </row>
    <row r="150" spans="1:18" x14ac:dyDescent="0.3">
      <c r="A150" t="s">
        <v>518</v>
      </c>
      <c r="B150" t="s">
        <v>1749</v>
      </c>
      <c r="C150" t="s">
        <v>519</v>
      </c>
      <c r="D150" t="s">
        <v>27</v>
      </c>
      <c r="E150" t="s">
        <v>158</v>
      </c>
      <c r="F150" t="s">
        <v>520</v>
      </c>
      <c r="G150" t="s">
        <v>22</v>
      </c>
      <c r="H150" s="13">
        <v>45188</v>
      </c>
      <c r="I150" t="s">
        <v>54</v>
      </c>
      <c r="K150" t="s">
        <v>1514</v>
      </c>
      <c r="L150" t="s">
        <v>1514</v>
      </c>
      <c r="M150" t="s">
        <v>1750</v>
      </c>
      <c r="N150" t="s">
        <v>1514</v>
      </c>
      <c r="O150" t="s">
        <v>158</v>
      </c>
      <c r="P150" t="s">
        <v>1517</v>
      </c>
      <c r="Q150" t="s">
        <v>1514</v>
      </c>
      <c r="R150">
        <v>0</v>
      </c>
    </row>
    <row r="151" spans="1:18" x14ac:dyDescent="0.3">
      <c r="A151" t="s">
        <v>307</v>
      </c>
      <c r="B151" t="s">
        <v>1751</v>
      </c>
      <c r="C151" t="s">
        <v>521</v>
      </c>
      <c r="D151" t="s">
        <v>12</v>
      </c>
      <c r="E151" t="s">
        <v>138</v>
      </c>
      <c r="F151" t="s">
        <v>522</v>
      </c>
      <c r="G151" t="s">
        <v>15</v>
      </c>
      <c r="H151" s="13">
        <v>45375</v>
      </c>
      <c r="I151" t="s">
        <v>54</v>
      </c>
      <c r="K151" t="s">
        <v>1514</v>
      </c>
      <c r="L151" t="s">
        <v>1514</v>
      </c>
      <c r="M151" t="s">
        <v>12</v>
      </c>
      <c r="N151" t="s">
        <v>1514</v>
      </c>
      <c r="O151" t="s">
        <v>138</v>
      </c>
      <c r="P151" t="s">
        <v>1517</v>
      </c>
      <c r="Q151" t="s">
        <v>1514</v>
      </c>
      <c r="R151">
        <v>0</v>
      </c>
    </row>
    <row r="152" spans="1:18" x14ac:dyDescent="0.3">
      <c r="A152" t="s">
        <v>403</v>
      </c>
      <c r="B152" t="s">
        <v>1752</v>
      </c>
      <c r="C152" t="s">
        <v>523</v>
      </c>
      <c r="D152" t="s">
        <v>27</v>
      </c>
      <c r="E152" t="s">
        <v>241</v>
      </c>
      <c r="F152" t="s">
        <v>524</v>
      </c>
      <c r="G152" t="s">
        <v>22</v>
      </c>
      <c r="H152" s="13">
        <v>45222</v>
      </c>
      <c r="I152" t="s">
        <v>16</v>
      </c>
      <c r="J152" t="s">
        <v>17</v>
      </c>
      <c r="K152" t="s">
        <v>1514</v>
      </c>
      <c r="L152" t="s">
        <v>1514</v>
      </c>
      <c r="M152" t="s">
        <v>27</v>
      </c>
      <c r="N152" t="s">
        <v>1514</v>
      </c>
      <c r="O152" t="s">
        <v>241</v>
      </c>
      <c r="P152" t="s">
        <v>1517</v>
      </c>
      <c r="Q152" t="s">
        <v>1514</v>
      </c>
      <c r="R152">
        <v>0</v>
      </c>
    </row>
    <row r="153" spans="1:18" x14ac:dyDescent="0.3">
      <c r="A153" t="s">
        <v>525</v>
      </c>
      <c r="B153" t="s">
        <v>1753</v>
      </c>
      <c r="C153" t="s">
        <v>526</v>
      </c>
      <c r="D153" t="s">
        <v>36</v>
      </c>
      <c r="E153" t="s">
        <v>37</v>
      </c>
      <c r="F153" t="s">
        <v>527</v>
      </c>
      <c r="G153" t="s">
        <v>22</v>
      </c>
      <c r="H153" s="13">
        <v>45785</v>
      </c>
      <c r="I153" t="s">
        <v>39</v>
      </c>
      <c r="J153" t="s">
        <v>95</v>
      </c>
      <c r="K153" t="s">
        <v>1514</v>
      </c>
      <c r="L153" t="s">
        <v>1514</v>
      </c>
      <c r="M153" t="s">
        <v>36</v>
      </c>
      <c r="N153" t="s">
        <v>1514</v>
      </c>
      <c r="O153" t="s">
        <v>37</v>
      </c>
      <c r="P153" t="s">
        <v>1517</v>
      </c>
      <c r="Q153" t="s">
        <v>1514</v>
      </c>
      <c r="R153">
        <v>0</v>
      </c>
    </row>
    <row r="154" spans="1:18" x14ac:dyDescent="0.3">
      <c r="A154" t="s">
        <v>528</v>
      </c>
      <c r="B154" t="s">
        <v>1754</v>
      </c>
      <c r="C154" t="s">
        <v>529</v>
      </c>
      <c r="D154" t="s">
        <v>173</v>
      </c>
      <c r="E154" t="s">
        <v>174</v>
      </c>
      <c r="F154" t="s">
        <v>530</v>
      </c>
      <c r="G154" t="s">
        <v>15</v>
      </c>
      <c r="H154" s="13">
        <v>45380</v>
      </c>
      <c r="I154" t="s">
        <v>23</v>
      </c>
      <c r="J154" t="s">
        <v>24</v>
      </c>
      <c r="K154" t="s">
        <v>1514</v>
      </c>
      <c r="L154" t="s">
        <v>1514</v>
      </c>
      <c r="M154" t="s">
        <v>1755</v>
      </c>
      <c r="N154" t="s">
        <v>1514</v>
      </c>
      <c r="O154" t="s">
        <v>174</v>
      </c>
      <c r="P154" t="s">
        <v>1517</v>
      </c>
      <c r="Q154" t="s">
        <v>1514</v>
      </c>
      <c r="R154">
        <v>0</v>
      </c>
    </row>
    <row r="155" spans="1:18" x14ac:dyDescent="0.3">
      <c r="A155" t="s">
        <v>531</v>
      </c>
      <c r="B155" t="s">
        <v>1756</v>
      </c>
      <c r="C155" t="s">
        <v>532</v>
      </c>
      <c r="D155" t="s">
        <v>71</v>
      </c>
      <c r="E155" t="s">
        <v>277</v>
      </c>
      <c r="F155" t="s">
        <v>533</v>
      </c>
      <c r="G155" t="s">
        <v>15</v>
      </c>
      <c r="H155" s="13">
        <v>45745</v>
      </c>
      <c r="I155" t="s">
        <v>23</v>
      </c>
      <c r="J155" t="s">
        <v>78</v>
      </c>
      <c r="K155" t="s">
        <v>1514</v>
      </c>
      <c r="L155" t="s">
        <v>1514</v>
      </c>
      <c r="M155" t="s">
        <v>277</v>
      </c>
      <c r="N155" t="s">
        <v>1514</v>
      </c>
      <c r="O155" t="s">
        <v>277</v>
      </c>
      <c r="P155" t="s">
        <v>1517</v>
      </c>
      <c r="Q155" t="s">
        <v>1514</v>
      </c>
      <c r="R155">
        <v>0</v>
      </c>
    </row>
    <row r="156" spans="1:18" x14ac:dyDescent="0.3">
      <c r="A156" t="s">
        <v>534</v>
      </c>
      <c r="B156" t="s">
        <v>1757</v>
      </c>
      <c r="C156" t="s">
        <v>535</v>
      </c>
      <c r="D156" t="s">
        <v>71</v>
      </c>
      <c r="E156" t="s">
        <v>536</v>
      </c>
      <c r="F156" t="s">
        <v>537</v>
      </c>
      <c r="G156" t="s">
        <v>22</v>
      </c>
      <c r="H156" s="13">
        <v>45059</v>
      </c>
      <c r="I156" t="s">
        <v>39</v>
      </c>
      <c r="K156" t="s">
        <v>1514</v>
      </c>
      <c r="L156" t="s">
        <v>1514</v>
      </c>
      <c r="M156" t="s">
        <v>1758</v>
      </c>
      <c r="N156" t="s">
        <v>1514</v>
      </c>
      <c r="O156" t="s">
        <v>536</v>
      </c>
      <c r="P156" t="s">
        <v>1517</v>
      </c>
      <c r="Q156" t="s">
        <v>1514</v>
      </c>
      <c r="R156">
        <v>0</v>
      </c>
    </row>
    <row r="157" spans="1:18" x14ac:dyDescent="0.3">
      <c r="A157" t="s">
        <v>538</v>
      </c>
      <c r="B157" t="s">
        <v>1759</v>
      </c>
      <c r="C157" t="s">
        <v>539</v>
      </c>
      <c r="D157" t="s">
        <v>71</v>
      </c>
      <c r="E157" t="s">
        <v>536</v>
      </c>
      <c r="F157" t="s">
        <v>540</v>
      </c>
      <c r="G157" t="s">
        <v>15</v>
      </c>
      <c r="H157" s="13">
        <v>45349</v>
      </c>
      <c r="I157" t="s">
        <v>33</v>
      </c>
      <c r="J157" t="s">
        <v>95</v>
      </c>
      <c r="K157" t="s">
        <v>1514</v>
      </c>
      <c r="L157" t="s">
        <v>1514</v>
      </c>
      <c r="M157" t="s">
        <v>1760</v>
      </c>
      <c r="N157" t="s">
        <v>1514</v>
      </c>
      <c r="O157" t="s">
        <v>536</v>
      </c>
      <c r="P157" t="s">
        <v>1517</v>
      </c>
      <c r="Q157" t="s">
        <v>1514</v>
      </c>
      <c r="R157">
        <v>0</v>
      </c>
    </row>
    <row r="158" spans="1:18" x14ac:dyDescent="0.3">
      <c r="A158" t="s">
        <v>541</v>
      </c>
      <c r="B158" t="s">
        <v>1761</v>
      </c>
      <c r="C158" t="s">
        <v>542</v>
      </c>
      <c r="D158" t="s">
        <v>47</v>
      </c>
      <c r="E158" t="s">
        <v>425</v>
      </c>
      <c r="F158" t="s">
        <v>543</v>
      </c>
      <c r="G158" t="s">
        <v>22</v>
      </c>
      <c r="H158" s="13">
        <v>45147</v>
      </c>
      <c r="I158" t="s">
        <v>16</v>
      </c>
      <c r="K158" t="s">
        <v>1514</v>
      </c>
      <c r="L158" t="s">
        <v>1514</v>
      </c>
      <c r="M158" t="s">
        <v>541</v>
      </c>
      <c r="N158" t="s">
        <v>1514</v>
      </c>
      <c r="O158" t="s">
        <v>425</v>
      </c>
      <c r="P158" t="s">
        <v>1517</v>
      </c>
      <c r="Q158" t="s">
        <v>1514</v>
      </c>
      <c r="R158">
        <v>0</v>
      </c>
    </row>
    <row r="159" spans="1:18" x14ac:dyDescent="0.3">
      <c r="A159" t="s">
        <v>544</v>
      </c>
      <c r="B159" t="s">
        <v>1762</v>
      </c>
      <c r="C159" t="s">
        <v>545</v>
      </c>
      <c r="D159" t="s">
        <v>47</v>
      </c>
      <c r="E159" t="s">
        <v>112</v>
      </c>
      <c r="F159" t="s">
        <v>546</v>
      </c>
      <c r="G159" t="s">
        <v>15</v>
      </c>
      <c r="H159" s="13">
        <v>45309</v>
      </c>
      <c r="I159" t="s">
        <v>23</v>
      </c>
      <c r="J159" t="s">
        <v>50</v>
      </c>
      <c r="K159" t="s">
        <v>1514</v>
      </c>
      <c r="L159" t="s">
        <v>1514</v>
      </c>
      <c r="M159" t="s">
        <v>544</v>
      </c>
      <c r="N159" t="s">
        <v>1514</v>
      </c>
      <c r="O159" t="s">
        <v>112</v>
      </c>
      <c r="P159" t="s">
        <v>1517</v>
      </c>
      <c r="Q159" t="s">
        <v>1514</v>
      </c>
      <c r="R159">
        <v>0</v>
      </c>
    </row>
    <row r="160" spans="1:18" x14ac:dyDescent="0.3">
      <c r="A160" t="s">
        <v>547</v>
      </c>
      <c r="B160" t="s">
        <v>1763</v>
      </c>
      <c r="C160" t="s">
        <v>548</v>
      </c>
      <c r="D160" t="s">
        <v>12</v>
      </c>
      <c r="E160" t="s">
        <v>166</v>
      </c>
      <c r="F160" t="s">
        <v>549</v>
      </c>
      <c r="G160" t="s">
        <v>22</v>
      </c>
      <c r="H160" s="13">
        <v>45437</v>
      </c>
      <c r="I160" t="s">
        <v>23</v>
      </c>
      <c r="J160" t="s">
        <v>24</v>
      </c>
      <c r="K160" t="s">
        <v>1514</v>
      </c>
      <c r="L160" t="s">
        <v>1514</v>
      </c>
      <c r="M160" t="s">
        <v>1764</v>
      </c>
      <c r="N160" t="s">
        <v>1514</v>
      </c>
      <c r="O160" t="s">
        <v>166</v>
      </c>
      <c r="P160" t="s">
        <v>1517</v>
      </c>
      <c r="Q160" t="s">
        <v>1514</v>
      </c>
      <c r="R160">
        <v>0</v>
      </c>
    </row>
    <row r="161" spans="1:18" x14ac:dyDescent="0.3">
      <c r="A161" t="s">
        <v>40</v>
      </c>
      <c r="B161" t="s">
        <v>1765</v>
      </c>
      <c r="C161" t="s">
        <v>550</v>
      </c>
      <c r="D161" t="s">
        <v>42</v>
      </c>
      <c r="E161" t="s">
        <v>43</v>
      </c>
      <c r="F161" t="s">
        <v>551</v>
      </c>
      <c r="G161" t="s">
        <v>15</v>
      </c>
      <c r="H161" s="13">
        <v>45413</v>
      </c>
      <c r="I161" t="s">
        <v>54</v>
      </c>
      <c r="J161" t="s">
        <v>17</v>
      </c>
      <c r="K161" t="s">
        <v>1514</v>
      </c>
      <c r="L161" t="s">
        <v>1514</v>
      </c>
      <c r="M161" t="s">
        <v>43</v>
      </c>
      <c r="N161" t="s">
        <v>1514</v>
      </c>
      <c r="O161" t="s">
        <v>43</v>
      </c>
      <c r="P161" t="s">
        <v>1517</v>
      </c>
      <c r="Q161" t="s">
        <v>1514</v>
      </c>
      <c r="R161">
        <v>0</v>
      </c>
    </row>
    <row r="162" spans="1:18" x14ac:dyDescent="0.3">
      <c r="A162" t="s">
        <v>552</v>
      </c>
      <c r="B162" t="s">
        <v>1766</v>
      </c>
      <c r="C162" t="s">
        <v>553</v>
      </c>
      <c r="D162" t="s">
        <v>173</v>
      </c>
      <c r="E162" t="s">
        <v>328</v>
      </c>
      <c r="F162" t="s">
        <v>554</v>
      </c>
      <c r="G162" t="s">
        <v>15</v>
      </c>
      <c r="H162" s="13">
        <v>45171</v>
      </c>
      <c r="I162" t="s">
        <v>23</v>
      </c>
      <c r="J162" t="s">
        <v>50</v>
      </c>
      <c r="K162" t="s">
        <v>1514</v>
      </c>
      <c r="L162" t="s">
        <v>1514</v>
      </c>
      <c r="M162" t="s">
        <v>1515</v>
      </c>
      <c r="N162" t="s">
        <v>1516</v>
      </c>
      <c r="O162" t="s">
        <v>328</v>
      </c>
      <c r="P162" t="s">
        <v>1517</v>
      </c>
      <c r="Q162" t="s">
        <v>1518</v>
      </c>
      <c r="R162">
        <v>1</v>
      </c>
    </row>
    <row r="163" spans="1:18" x14ac:dyDescent="0.3">
      <c r="A163" t="s">
        <v>555</v>
      </c>
      <c r="B163" t="s">
        <v>1767</v>
      </c>
      <c r="C163" t="s">
        <v>556</v>
      </c>
      <c r="D163" t="s">
        <v>27</v>
      </c>
      <c r="E163" t="s">
        <v>158</v>
      </c>
      <c r="F163" t="s">
        <v>557</v>
      </c>
      <c r="G163" t="s">
        <v>22</v>
      </c>
      <c r="H163" s="13">
        <v>45254</v>
      </c>
      <c r="I163" t="s">
        <v>54</v>
      </c>
      <c r="J163" t="s">
        <v>24</v>
      </c>
      <c r="K163" t="s">
        <v>1514</v>
      </c>
      <c r="L163" t="s">
        <v>1514</v>
      </c>
      <c r="M163" t="s">
        <v>1768</v>
      </c>
      <c r="N163" t="s">
        <v>1514</v>
      </c>
      <c r="O163" t="s">
        <v>158</v>
      </c>
      <c r="P163" t="s">
        <v>1517</v>
      </c>
      <c r="Q163" t="s">
        <v>1514</v>
      </c>
      <c r="R163">
        <v>0</v>
      </c>
    </row>
    <row r="164" spans="1:18" x14ac:dyDescent="0.3">
      <c r="A164" t="s">
        <v>558</v>
      </c>
      <c r="B164" t="s">
        <v>1769</v>
      </c>
      <c r="C164" t="s">
        <v>559</v>
      </c>
      <c r="D164" t="s">
        <v>57</v>
      </c>
      <c r="E164" t="s">
        <v>312</v>
      </c>
      <c r="F164" t="s">
        <v>560</v>
      </c>
      <c r="G164" t="s">
        <v>22</v>
      </c>
      <c r="H164" s="13">
        <v>45587</v>
      </c>
      <c r="I164" t="s">
        <v>39</v>
      </c>
      <c r="J164" t="s">
        <v>78</v>
      </c>
      <c r="K164" t="s">
        <v>1514</v>
      </c>
      <c r="L164" t="s">
        <v>1514</v>
      </c>
      <c r="M164" t="s">
        <v>1770</v>
      </c>
      <c r="N164" t="s">
        <v>1514</v>
      </c>
      <c r="O164" t="s">
        <v>312</v>
      </c>
      <c r="P164" t="s">
        <v>1517</v>
      </c>
      <c r="Q164" t="s">
        <v>1514</v>
      </c>
      <c r="R164">
        <v>0</v>
      </c>
    </row>
    <row r="165" spans="1:18" x14ac:dyDescent="0.3">
      <c r="A165" t="s">
        <v>561</v>
      </c>
      <c r="B165" t="s">
        <v>1771</v>
      </c>
      <c r="C165" t="s">
        <v>562</v>
      </c>
      <c r="D165" t="s">
        <v>173</v>
      </c>
      <c r="E165" t="s">
        <v>191</v>
      </c>
      <c r="F165" t="s">
        <v>563</v>
      </c>
      <c r="G165" t="s">
        <v>15</v>
      </c>
      <c r="H165" s="13">
        <v>45299</v>
      </c>
      <c r="I165" t="s">
        <v>23</v>
      </c>
      <c r="J165" t="s">
        <v>95</v>
      </c>
      <c r="K165" t="s">
        <v>1514</v>
      </c>
      <c r="L165" t="s">
        <v>1514</v>
      </c>
      <c r="M165" t="s">
        <v>191</v>
      </c>
      <c r="N165" t="s">
        <v>1514</v>
      </c>
      <c r="O165" t="s">
        <v>191</v>
      </c>
      <c r="P165" t="s">
        <v>1517</v>
      </c>
      <c r="Q165" t="s">
        <v>1514</v>
      </c>
      <c r="R165">
        <v>0</v>
      </c>
    </row>
    <row r="166" spans="1:18" x14ac:dyDescent="0.3">
      <c r="A166" t="s">
        <v>564</v>
      </c>
      <c r="B166" t="s">
        <v>1772</v>
      </c>
      <c r="C166" t="s">
        <v>565</v>
      </c>
      <c r="D166" t="s">
        <v>84</v>
      </c>
      <c r="E166" t="s">
        <v>248</v>
      </c>
      <c r="F166" t="s">
        <v>566</v>
      </c>
      <c r="G166" t="s">
        <v>15</v>
      </c>
      <c r="H166" s="13">
        <v>45817</v>
      </c>
      <c r="I166" t="s">
        <v>39</v>
      </c>
      <c r="J166" t="s">
        <v>24</v>
      </c>
      <c r="K166" t="s">
        <v>1514</v>
      </c>
      <c r="L166" t="s">
        <v>1514</v>
      </c>
      <c r="M166" t="s">
        <v>1773</v>
      </c>
      <c r="N166" t="s">
        <v>1514</v>
      </c>
      <c r="O166" t="s">
        <v>248</v>
      </c>
      <c r="P166" t="s">
        <v>1517</v>
      </c>
      <c r="Q166" t="s">
        <v>1514</v>
      </c>
      <c r="R166">
        <v>0</v>
      </c>
    </row>
    <row r="167" spans="1:18" x14ac:dyDescent="0.3">
      <c r="A167" t="s">
        <v>567</v>
      </c>
      <c r="B167" t="s">
        <v>1774</v>
      </c>
      <c r="C167" t="s">
        <v>568</v>
      </c>
      <c r="D167" t="s">
        <v>71</v>
      </c>
      <c r="E167" t="s">
        <v>536</v>
      </c>
      <c r="F167" t="s">
        <v>569</v>
      </c>
      <c r="G167" t="s">
        <v>15</v>
      </c>
      <c r="H167" s="13">
        <v>45286</v>
      </c>
      <c r="I167" t="s">
        <v>33</v>
      </c>
      <c r="J167" t="s">
        <v>17</v>
      </c>
      <c r="K167" t="s">
        <v>1514</v>
      </c>
      <c r="L167" t="s">
        <v>1514</v>
      </c>
      <c r="M167" t="s">
        <v>1515</v>
      </c>
      <c r="N167" t="s">
        <v>1516</v>
      </c>
      <c r="O167" t="s">
        <v>536</v>
      </c>
      <c r="P167" t="s">
        <v>1517</v>
      </c>
      <c r="Q167" t="s">
        <v>1518</v>
      </c>
      <c r="R167">
        <v>1</v>
      </c>
    </row>
    <row r="168" spans="1:18" x14ac:dyDescent="0.3">
      <c r="A168" t="s">
        <v>570</v>
      </c>
      <c r="B168" t="s">
        <v>1775</v>
      </c>
      <c r="C168" t="s">
        <v>571</v>
      </c>
      <c r="D168" t="s">
        <v>84</v>
      </c>
      <c r="E168" t="s">
        <v>248</v>
      </c>
      <c r="F168" t="s">
        <v>572</v>
      </c>
      <c r="G168" t="s">
        <v>22</v>
      </c>
      <c r="H168" s="13">
        <v>45124</v>
      </c>
      <c r="I168" t="s">
        <v>23</v>
      </c>
      <c r="J168" t="s">
        <v>78</v>
      </c>
      <c r="K168" t="s">
        <v>1514</v>
      </c>
      <c r="L168" t="s">
        <v>1514</v>
      </c>
      <c r="M168" t="s">
        <v>1515</v>
      </c>
      <c r="N168" t="s">
        <v>1516</v>
      </c>
      <c r="O168" t="s">
        <v>248</v>
      </c>
      <c r="P168" t="s">
        <v>1517</v>
      </c>
      <c r="Q168" t="s">
        <v>1518</v>
      </c>
      <c r="R168">
        <v>1</v>
      </c>
    </row>
    <row r="169" spans="1:18" x14ac:dyDescent="0.3">
      <c r="A169" t="s">
        <v>573</v>
      </c>
      <c r="B169" t="s">
        <v>1776</v>
      </c>
      <c r="C169" t="s">
        <v>574</v>
      </c>
      <c r="D169" t="s">
        <v>47</v>
      </c>
      <c r="E169" t="s">
        <v>575</v>
      </c>
      <c r="F169" t="s">
        <v>576</v>
      </c>
      <c r="G169" t="s">
        <v>22</v>
      </c>
      <c r="H169" s="13">
        <v>45822</v>
      </c>
      <c r="I169" t="s">
        <v>23</v>
      </c>
      <c r="J169" t="s">
        <v>50</v>
      </c>
      <c r="K169" t="s">
        <v>1514</v>
      </c>
      <c r="L169" t="s">
        <v>1514</v>
      </c>
      <c r="M169" t="s">
        <v>1777</v>
      </c>
      <c r="N169" t="s">
        <v>1514</v>
      </c>
      <c r="O169" t="s">
        <v>575</v>
      </c>
      <c r="P169" t="s">
        <v>1517</v>
      </c>
      <c r="Q169" t="s">
        <v>1514</v>
      </c>
      <c r="R169">
        <v>0</v>
      </c>
    </row>
    <row r="170" spans="1:18" x14ac:dyDescent="0.3">
      <c r="A170" t="s">
        <v>577</v>
      </c>
      <c r="B170" t="s">
        <v>1778</v>
      </c>
      <c r="C170" t="s">
        <v>578</v>
      </c>
      <c r="D170" t="s">
        <v>71</v>
      </c>
      <c r="E170" t="s">
        <v>93</v>
      </c>
      <c r="F170" t="s">
        <v>579</v>
      </c>
      <c r="G170" t="s">
        <v>15</v>
      </c>
      <c r="H170" s="13">
        <v>45502</v>
      </c>
      <c r="I170" t="s">
        <v>16</v>
      </c>
      <c r="K170" t="s">
        <v>1514</v>
      </c>
      <c r="L170" t="s">
        <v>1514</v>
      </c>
      <c r="M170" t="s">
        <v>1779</v>
      </c>
      <c r="N170" t="s">
        <v>1514</v>
      </c>
      <c r="O170" t="s">
        <v>93</v>
      </c>
      <c r="P170" t="s">
        <v>1517</v>
      </c>
      <c r="Q170" t="s">
        <v>1514</v>
      </c>
      <c r="R170">
        <v>0</v>
      </c>
    </row>
    <row r="171" spans="1:18" x14ac:dyDescent="0.3">
      <c r="A171" t="s">
        <v>580</v>
      </c>
      <c r="B171" t="s">
        <v>1780</v>
      </c>
      <c r="C171" t="s">
        <v>581</v>
      </c>
      <c r="D171" t="s">
        <v>36</v>
      </c>
      <c r="E171" t="s">
        <v>37</v>
      </c>
      <c r="F171" t="s">
        <v>582</v>
      </c>
      <c r="G171" t="s">
        <v>22</v>
      </c>
      <c r="H171" s="13">
        <v>45739</v>
      </c>
      <c r="I171" t="s">
        <v>54</v>
      </c>
      <c r="K171" t="s">
        <v>1514</v>
      </c>
      <c r="L171" t="s">
        <v>1514</v>
      </c>
      <c r="M171" t="s">
        <v>1781</v>
      </c>
      <c r="N171" t="s">
        <v>1514</v>
      </c>
      <c r="O171" t="s">
        <v>37</v>
      </c>
      <c r="P171" t="s">
        <v>1517</v>
      </c>
      <c r="Q171" t="s">
        <v>1514</v>
      </c>
      <c r="R171">
        <v>0</v>
      </c>
    </row>
    <row r="172" spans="1:18" x14ac:dyDescent="0.3">
      <c r="A172" t="s">
        <v>583</v>
      </c>
      <c r="B172" t="s">
        <v>1782</v>
      </c>
      <c r="C172" t="s">
        <v>584</v>
      </c>
      <c r="D172" t="s">
        <v>27</v>
      </c>
      <c r="E172" t="s">
        <v>98</v>
      </c>
      <c r="F172" t="s">
        <v>585</v>
      </c>
      <c r="G172" t="s">
        <v>15</v>
      </c>
      <c r="H172" s="13">
        <v>45120</v>
      </c>
      <c r="I172" t="s">
        <v>54</v>
      </c>
      <c r="J172" t="s">
        <v>78</v>
      </c>
      <c r="K172" t="s">
        <v>1514</v>
      </c>
      <c r="L172" t="s">
        <v>1514</v>
      </c>
      <c r="M172" t="s">
        <v>1783</v>
      </c>
      <c r="N172" t="s">
        <v>1514</v>
      </c>
      <c r="O172" t="s">
        <v>98</v>
      </c>
      <c r="P172" t="s">
        <v>1517</v>
      </c>
      <c r="Q172" t="s">
        <v>1514</v>
      </c>
      <c r="R172">
        <v>0</v>
      </c>
    </row>
    <row r="173" spans="1:18" x14ac:dyDescent="0.3">
      <c r="A173" t="s">
        <v>531</v>
      </c>
      <c r="B173" t="s">
        <v>1784</v>
      </c>
      <c r="C173" t="s">
        <v>586</v>
      </c>
      <c r="D173" t="s">
        <v>71</v>
      </c>
      <c r="E173" t="s">
        <v>277</v>
      </c>
      <c r="F173" t="s">
        <v>587</v>
      </c>
      <c r="G173" t="s">
        <v>22</v>
      </c>
      <c r="H173" s="13">
        <v>45792</v>
      </c>
      <c r="I173" t="s">
        <v>39</v>
      </c>
      <c r="J173" t="s">
        <v>78</v>
      </c>
      <c r="K173" t="s">
        <v>1514</v>
      </c>
      <c r="L173" t="s">
        <v>1514</v>
      </c>
      <c r="M173" t="s">
        <v>277</v>
      </c>
      <c r="N173" t="s">
        <v>1514</v>
      </c>
      <c r="O173" t="s">
        <v>277</v>
      </c>
      <c r="P173" t="s">
        <v>1517</v>
      </c>
      <c r="Q173" t="s">
        <v>1514</v>
      </c>
      <c r="R173">
        <v>0</v>
      </c>
    </row>
    <row r="174" spans="1:18" x14ac:dyDescent="0.3">
      <c r="A174" t="s">
        <v>588</v>
      </c>
      <c r="B174" t="s">
        <v>1785</v>
      </c>
      <c r="C174" t="s">
        <v>589</v>
      </c>
      <c r="D174" t="s">
        <v>27</v>
      </c>
      <c r="E174" t="s">
        <v>230</v>
      </c>
      <c r="F174" t="s">
        <v>590</v>
      </c>
      <c r="G174" t="s">
        <v>15</v>
      </c>
      <c r="H174" s="13">
        <v>45681</v>
      </c>
      <c r="I174" t="s">
        <v>54</v>
      </c>
      <c r="J174" t="s">
        <v>78</v>
      </c>
      <c r="K174" t="s">
        <v>1514</v>
      </c>
      <c r="L174" t="s">
        <v>1514</v>
      </c>
      <c r="M174" t="s">
        <v>230</v>
      </c>
      <c r="N174" t="s">
        <v>1514</v>
      </c>
      <c r="O174" t="s">
        <v>230</v>
      </c>
      <c r="P174" t="s">
        <v>1517</v>
      </c>
      <c r="Q174" t="s">
        <v>1514</v>
      </c>
      <c r="R174">
        <v>0</v>
      </c>
    </row>
    <row r="175" spans="1:18" x14ac:dyDescent="0.3">
      <c r="A175" t="s">
        <v>591</v>
      </c>
      <c r="B175" t="s">
        <v>1786</v>
      </c>
      <c r="C175" t="s">
        <v>592</v>
      </c>
      <c r="D175" t="s">
        <v>36</v>
      </c>
      <c r="E175" t="s">
        <v>67</v>
      </c>
      <c r="F175" t="s">
        <v>593</v>
      </c>
      <c r="G175" t="s">
        <v>22</v>
      </c>
      <c r="H175" s="13">
        <v>45329</v>
      </c>
      <c r="I175" t="s">
        <v>39</v>
      </c>
      <c r="K175" t="s">
        <v>1514</v>
      </c>
      <c r="L175" t="s">
        <v>1514</v>
      </c>
      <c r="M175" t="s">
        <v>1787</v>
      </c>
      <c r="N175" t="s">
        <v>1514</v>
      </c>
      <c r="O175" t="s">
        <v>67</v>
      </c>
      <c r="P175" t="s">
        <v>1517</v>
      </c>
      <c r="Q175" t="s">
        <v>1514</v>
      </c>
      <c r="R175">
        <v>0</v>
      </c>
    </row>
    <row r="176" spans="1:18" x14ac:dyDescent="0.3">
      <c r="A176" t="s">
        <v>594</v>
      </c>
      <c r="B176" t="s">
        <v>1788</v>
      </c>
      <c r="C176" t="s">
        <v>595</v>
      </c>
      <c r="D176" t="s">
        <v>47</v>
      </c>
      <c r="E176" t="s">
        <v>48</v>
      </c>
      <c r="F176" t="s">
        <v>596</v>
      </c>
      <c r="G176" t="s">
        <v>22</v>
      </c>
      <c r="H176" s="13">
        <v>45477</v>
      </c>
      <c r="I176" t="s">
        <v>39</v>
      </c>
      <c r="J176" t="s">
        <v>78</v>
      </c>
      <c r="K176" t="s">
        <v>1514</v>
      </c>
      <c r="L176" t="s">
        <v>1514</v>
      </c>
      <c r="M176" t="s">
        <v>1789</v>
      </c>
      <c r="N176" t="s">
        <v>1514</v>
      </c>
      <c r="O176" t="s">
        <v>48</v>
      </c>
      <c r="P176" t="s">
        <v>1517</v>
      </c>
      <c r="Q176" t="s">
        <v>1514</v>
      </c>
      <c r="R176">
        <v>0</v>
      </c>
    </row>
    <row r="177" spans="1:18" x14ac:dyDescent="0.3">
      <c r="A177" t="s">
        <v>597</v>
      </c>
      <c r="B177" t="s">
        <v>1790</v>
      </c>
      <c r="C177" t="s">
        <v>598</v>
      </c>
      <c r="D177" t="s">
        <v>42</v>
      </c>
      <c r="E177" t="s">
        <v>76</v>
      </c>
      <c r="F177" t="s">
        <v>599</v>
      </c>
      <c r="G177" t="s">
        <v>15</v>
      </c>
      <c r="H177" s="13">
        <v>45143</v>
      </c>
      <c r="I177" t="s">
        <v>39</v>
      </c>
      <c r="K177" t="s">
        <v>1514</v>
      </c>
      <c r="L177" t="s">
        <v>1514</v>
      </c>
      <c r="M177" t="s">
        <v>1515</v>
      </c>
      <c r="N177" t="s">
        <v>1516</v>
      </c>
      <c r="O177" t="s">
        <v>76</v>
      </c>
      <c r="P177" t="s">
        <v>1517</v>
      </c>
      <c r="Q177" t="s">
        <v>1518</v>
      </c>
      <c r="R177">
        <v>1</v>
      </c>
    </row>
    <row r="178" spans="1:18" x14ac:dyDescent="0.3">
      <c r="A178" t="s">
        <v>333</v>
      </c>
      <c r="B178" t="s">
        <v>1791</v>
      </c>
      <c r="C178" t="s">
        <v>600</v>
      </c>
      <c r="D178" t="s">
        <v>47</v>
      </c>
      <c r="E178" t="s">
        <v>112</v>
      </c>
      <c r="F178" t="s">
        <v>601</v>
      </c>
      <c r="G178" t="s">
        <v>22</v>
      </c>
      <c r="H178" s="13">
        <v>45204</v>
      </c>
      <c r="I178" t="s">
        <v>33</v>
      </c>
      <c r="K178" t="s">
        <v>1514</v>
      </c>
      <c r="L178" t="s">
        <v>1514</v>
      </c>
      <c r="M178" t="s">
        <v>112</v>
      </c>
      <c r="N178" t="s">
        <v>1514</v>
      </c>
      <c r="O178" t="s">
        <v>112</v>
      </c>
      <c r="P178" t="s">
        <v>1517</v>
      </c>
      <c r="Q178" t="s">
        <v>1514</v>
      </c>
      <c r="R178">
        <v>0</v>
      </c>
    </row>
    <row r="179" spans="1:18" x14ac:dyDescent="0.3">
      <c r="A179" t="s">
        <v>602</v>
      </c>
      <c r="B179" t="s">
        <v>1792</v>
      </c>
      <c r="C179" t="s">
        <v>603</v>
      </c>
      <c r="D179" t="s">
        <v>47</v>
      </c>
      <c r="E179" t="s">
        <v>181</v>
      </c>
      <c r="F179" t="s">
        <v>604</v>
      </c>
      <c r="G179" t="s">
        <v>22</v>
      </c>
      <c r="H179" s="13">
        <v>45097</v>
      </c>
      <c r="I179" t="s">
        <v>23</v>
      </c>
      <c r="J179" t="s">
        <v>50</v>
      </c>
      <c r="K179" t="s">
        <v>1514</v>
      </c>
      <c r="L179" t="s">
        <v>1514</v>
      </c>
      <c r="M179" t="s">
        <v>1515</v>
      </c>
      <c r="N179" t="s">
        <v>1516</v>
      </c>
      <c r="O179" t="s">
        <v>181</v>
      </c>
      <c r="P179" t="s">
        <v>1517</v>
      </c>
      <c r="Q179" t="s">
        <v>1518</v>
      </c>
      <c r="R179">
        <v>1</v>
      </c>
    </row>
    <row r="180" spans="1:18" x14ac:dyDescent="0.3">
      <c r="A180" t="s">
        <v>605</v>
      </c>
      <c r="B180" t="s">
        <v>1793</v>
      </c>
      <c r="C180" t="s">
        <v>606</v>
      </c>
      <c r="D180" t="s">
        <v>12</v>
      </c>
      <c r="E180" t="s">
        <v>138</v>
      </c>
      <c r="F180" t="s">
        <v>607</v>
      </c>
      <c r="G180" t="s">
        <v>15</v>
      </c>
      <c r="H180" s="13">
        <v>44905</v>
      </c>
      <c r="I180" t="s">
        <v>23</v>
      </c>
      <c r="J180" t="s">
        <v>78</v>
      </c>
      <c r="K180" t="s">
        <v>1514</v>
      </c>
      <c r="L180" t="s">
        <v>1514</v>
      </c>
      <c r="M180" t="s">
        <v>1794</v>
      </c>
      <c r="N180" t="s">
        <v>1514</v>
      </c>
      <c r="O180" t="s">
        <v>138</v>
      </c>
      <c r="P180" t="s">
        <v>1517</v>
      </c>
      <c r="Q180" t="s">
        <v>1514</v>
      </c>
      <c r="R180">
        <v>0</v>
      </c>
    </row>
    <row r="181" spans="1:18" x14ac:dyDescent="0.3">
      <c r="A181" t="s">
        <v>608</v>
      </c>
      <c r="B181" t="s">
        <v>1795</v>
      </c>
      <c r="C181" t="s">
        <v>609</v>
      </c>
      <c r="D181" t="s">
        <v>173</v>
      </c>
      <c r="E181" t="s">
        <v>270</v>
      </c>
      <c r="F181" t="s">
        <v>610</v>
      </c>
      <c r="G181" t="s">
        <v>22</v>
      </c>
      <c r="H181" s="13">
        <v>45519</v>
      </c>
      <c r="I181" t="s">
        <v>23</v>
      </c>
      <c r="K181" t="s">
        <v>1514</v>
      </c>
      <c r="L181" t="s">
        <v>1514</v>
      </c>
      <c r="M181" t="s">
        <v>173</v>
      </c>
      <c r="N181" t="s">
        <v>1514</v>
      </c>
      <c r="O181" t="s">
        <v>270</v>
      </c>
      <c r="P181" t="s">
        <v>1517</v>
      </c>
      <c r="Q181" t="s">
        <v>1514</v>
      </c>
      <c r="R181">
        <v>0</v>
      </c>
    </row>
    <row r="182" spans="1:18" x14ac:dyDescent="0.3">
      <c r="A182" t="s">
        <v>611</v>
      </c>
      <c r="B182" t="s">
        <v>1796</v>
      </c>
      <c r="C182" t="s">
        <v>612</v>
      </c>
      <c r="D182" t="s">
        <v>57</v>
      </c>
      <c r="E182" t="s">
        <v>223</v>
      </c>
      <c r="F182" t="s">
        <v>613</v>
      </c>
      <c r="G182" t="s">
        <v>22</v>
      </c>
      <c r="H182" s="13">
        <v>44915</v>
      </c>
      <c r="I182" t="s">
        <v>23</v>
      </c>
      <c r="J182" t="s">
        <v>78</v>
      </c>
      <c r="K182" t="s">
        <v>1514</v>
      </c>
      <c r="L182" t="s">
        <v>1514</v>
      </c>
      <c r="M182" t="s">
        <v>611</v>
      </c>
      <c r="N182" t="s">
        <v>1514</v>
      </c>
      <c r="O182" t="s">
        <v>223</v>
      </c>
      <c r="P182" t="s">
        <v>1517</v>
      </c>
      <c r="Q182" t="s">
        <v>1514</v>
      </c>
      <c r="R182">
        <v>0</v>
      </c>
    </row>
    <row r="183" spans="1:18" x14ac:dyDescent="0.3">
      <c r="A183" t="s">
        <v>561</v>
      </c>
      <c r="B183" t="s">
        <v>1797</v>
      </c>
      <c r="C183" t="s">
        <v>614</v>
      </c>
      <c r="D183" t="s">
        <v>173</v>
      </c>
      <c r="E183" t="s">
        <v>191</v>
      </c>
      <c r="F183" t="s">
        <v>615</v>
      </c>
      <c r="G183" t="s">
        <v>15</v>
      </c>
      <c r="H183" s="13">
        <v>45564</v>
      </c>
      <c r="I183" t="s">
        <v>54</v>
      </c>
      <c r="K183" t="s">
        <v>1514</v>
      </c>
      <c r="L183" t="s">
        <v>1514</v>
      </c>
      <c r="M183" t="s">
        <v>191</v>
      </c>
      <c r="N183" t="s">
        <v>1514</v>
      </c>
      <c r="O183" t="s">
        <v>191</v>
      </c>
      <c r="P183" t="s">
        <v>1517</v>
      </c>
      <c r="Q183" t="s">
        <v>1514</v>
      </c>
      <c r="R183">
        <v>0</v>
      </c>
    </row>
    <row r="184" spans="1:18" x14ac:dyDescent="0.3">
      <c r="A184" t="s">
        <v>616</v>
      </c>
      <c r="B184" t="s">
        <v>1798</v>
      </c>
      <c r="C184" t="s">
        <v>617</v>
      </c>
      <c r="D184" t="s">
        <v>71</v>
      </c>
      <c r="E184" t="s">
        <v>536</v>
      </c>
      <c r="F184" t="s">
        <v>618</v>
      </c>
      <c r="G184" t="s">
        <v>22</v>
      </c>
      <c r="H184" s="13">
        <v>45919</v>
      </c>
      <c r="I184" t="s">
        <v>16</v>
      </c>
      <c r="K184" t="s">
        <v>1514</v>
      </c>
      <c r="L184" t="s">
        <v>1514</v>
      </c>
      <c r="M184" t="s">
        <v>1799</v>
      </c>
      <c r="N184" t="s">
        <v>1514</v>
      </c>
      <c r="O184" t="s">
        <v>536</v>
      </c>
      <c r="P184" t="s">
        <v>1517</v>
      </c>
      <c r="Q184" t="s">
        <v>1514</v>
      </c>
      <c r="R184">
        <v>0</v>
      </c>
    </row>
    <row r="185" spans="1:18" x14ac:dyDescent="0.3">
      <c r="A185" t="s">
        <v>619</v>
      </c>
      <c r="B185" t="s">
        <v>1800</v>
      </c>
      <c r="C185" t="s">
        <v>620</v>
      </c>
      <c r="D185" t="s">
        <v>27</v>
      </c>
      <c r="E185" t="s">
        <v>98</v>
      </c>
      <c r="F185" t="s">
        <v>621</v>
      </c>
      <c r="G185" t="s">
        <v>22</v>
      </c>
      <c r="H185" s="13">
        <v>45643</v>
      </c>
      <c r="I185" t="s">
        <v>54</v>
      </c>
      <c r="J185" t="s">
        <v>95</v>
      </c>
      <c r="K185" t="s">
        <v>1514</v>
      </c>
      <c r="L185" t="s">
        <v>1514</v>
      </c>
      <c r="M185" t="s">
        <v>1801</v>
      </c>
      <c r="N185" t="s">
        <v>1514</v>
      </c>
      <c r="O185" t="s">
        <v>98</v>
      </c>
      <c r="P185" t="s">
        <v>1517</v>
      </c>
      <c r="Q185" t="s">
        <v>1514</v>
      </c>
      <c r="R185">
        <v>0</v>
      </c>
    </row>
    <row r="186" spans="1:18" x14ac:dyDescent="0.3">
      <c r="A186" t="s">
        <v>55</v>
      </c>
      <c r="B186" t="s">
        <v>1802</v>
      </c>
      <c r="C186" t="s">
        <v>622</v>
      </c>
      <c r="D186" t="s">
        <v>57</v>
      </c>
      <c r="E186" t="s">
        <v>58</v>
      </c>
      <c r="F186" t="s">
        <v>623</v>
      </c>
      <c r="G186" t="s">
        <v>22</v>
      </c>
      <c r="H186" s="13">
        <v>45886</v>
      </c>
      <c r="I186" t="s">
        <v>23</v>
      </c>
      <c r="K186" t="s">
        <v>1514</v>
      </c>
      <c r="L186" t="s">
        <v>1514</v>
      </c>
      <c r="M186" t="s">
        <v>57</v>
      </c>
      <c r="N186" t="s">
        <v>1514</v>
      </c>
      <c r="O186" t="s">
        <v>58</v>
      </c>
      <c r="P186" t="s">
        <v>1517</v>
      </c>
      <c r="Q186" t="s">
        <v>1514</v>
      </c>
      <c r="R186">
        <v>0</v>
      </c>
    </row>
    <row r="187" spans="1:18" x14ac:dyDescent="0.3">
      <c r="A187" t="s">
        <v>624</v>
      </c>
      <c r="B187" t="s">
        <v>1803</v>
      </c>
      <c r="C187" t="s">
        <v>625</v>
      </c>
      <c r="D187" t="s">
        <v>71</v>
      </c>
      <c r="E187" t="s">
        <v>277</v>
      </c>
      <c r="F187" t="s">
        <v>626</v>
      </c>
      <c r="G187" t="s">
        <v>15</v>
      </c>
      <c r="H187" s="13">
        <v>45827</v>
      </c>
      <c r="I187" t="s">
        <v>33</v>
      </c>
      <c r="K187" t="s">
        <v>1514</v>
      </c>
      <c r="L187" t="s">
        <v>1514</v>
      </c>
      <c r="M187" t="s">
        <v>1804</v>
      </c>
      <c r="N187" t="s">
        <v>1514</v>
      </c>
      <c r="O187" t="s">
        <v>277</v>
      </c>
      <c r="P187" t="s">
        <v>1517</v>
      </c>
      <c r="Q187" t="s">
        <v>1514</v>
      </c>
      <c r="R187">
        <v>0</v>
      </c>
    </row>
    <row r="188" spans="1:18" x14ac:dyDescent="0.3">
      <c r="A188" t="s">
        <v>40</v>
      </c>
      <c r="B188" t="s">
        <v>1805</v>
      </c>
      <c r="C188" t="s">
        <v>627</v>
      </c>
      <c r="D188" t="s">
        <v>42</v>
      </c>
      <c r="E188" t="s">
        <v>43</v>
      </c>
      <c r="F188" t="s">
        <v>628</v>
      </c>
      <c r="G188" t="s">
        <v>15</v>
      </c>
      <c r="H188" s="13">
        <v>45524</v>
      </c>
      <c r="I188" t="s">
        <v>54</v>
      </c>
      <c r="K188" t="s">
        <v>1514</v>
      </c>
      <c r="L188" t="s">
        <v>1514</v>
      </c>
      <c r="M188" t="s">
        <v>43</v>
      </c>
      <c r="N188" t="s">
        <v>1514</v>
      </c>
      <c r="O188" t="s">
        <v>43</v>
      </c>
      <c r="P188" t="s">
        <v>1517</v>
      </c>
      <c r="Q188" t="s">
        <v>1514</v>
      </c>
      <c r="R188">
        <v>0</v>
      </c>
    </row>
    <row r="189" spans="1:18" x14ac:dyDescent="0.3">
      <c r="A189" t="s">
        <v>629</v>
      </c>
      <c r="B189" t="s">
        <v>1806</v>
      </c>
      <c r="C189" t="s">
        <v>630</v>
      </c>
      <c r="D189" t="s">
        <v>71</v>
      </c>
      <c r="E189" t="s">
        <v>277</v>
      </c>
      <c r="F189" t="s">
        <v>631</v>
      </c>
      <c r="G189" t="s">
        <v>22</v>
      </c>
      <c r="H189" s="13">
        <v>45485</v>
      </c>
      <c r="I189" t="s">
        <v>54</v>
      </c>
      <c r="J189" t="s">
        <v>78</v>
      </c>
      <c r="K189" t="s">
        <v>1514</v>
      </c>
      <c r="L189" t="s">
        <v>1514</v>
      </c>
      <c r="M189" t="s">
        <v>629</v>
      </c>
      <c r="N189" t="s">
        <v>1514</v>
      </c>
      <c r="O189" t="s">
        <v>277</v>
      </c>
      <c r="P189" t="s">
        <v>1517</v>
      </c>
      <c r="Q189" t="s">
        <v>1514</v>
      </c>
      <c r="R189">
        <v>0</v>
      </c>
    </row>
    <row r="190" spans="1:18" x14ac:dyDescent="0.3">
      <c r="A190" t="s">
        <v>632</v>
      </c>
      <c r="B190" t="s">
        <v>1807</v>
      </c>
      <c r="C190" t="s">
        <v>633</v>
      </c>
      <c r="D190" t="s">
        <v>62</v>
      </c>
      <c r="E190" t="s">
        <v>510</v>
      </c>
      <c r="F190" t="s">
        <v>634</v>
      </c>
      <c r="G190" t="s">
        <v>22</v>
      </c>
      <c r="H190" s="13">
        <v>45194</v>
      </c>
      <c r="I190" t="s">
        <v>33</v>
      </c>
      <c r="J190" t="s">
        <v>95</v>
      </c>
      <c r="K190" t="s">
        <v>1514</v>
      </c>
      <c r="L190" t="s">
        <v>1514</v>
      </c>
      <c r="M190" t="s">
        <v>1808</v>
      </c>
      <c r="N190" t="s">
        <v>1514</v>
      </c>
      <c r="O190" t="s">
        <v>510</v>
      </c>
      <c r="P190" t="s">
        <v>1517</v>
      </c>
      <c r="Q190" t="s">
        <v>1514</v>
      </c>
      <c r="R190">
        <v>0</v>
      </c>
    </row>
    <row r="191" spans="1:18" x14ac:dyDescent="0.3">
      <c r="A191" t="s">
        <v>221</v>
      </c>
      <c r="B191" t="s">
        <v>1809</v>
      </c>
      <c r="C191" t="s">
        <v>635</v>
      </c>
      <c r="D191" t="s">
        <v>57</v>
      </c>
      <c r="E191" t="s">
        <v>223</v>
      </c>
      <c r="F191" t="s">
        <v>636</v>
      </c>
      <c r="G191" t="s">
        <v>22</v>
      </c>
      <c r="H191" s="13">
        <v>45919</v>
      </c>
      <c r="I191" t="s">
        <v>23</v>
      </c>
      <c r="K191" t="s">
        <v>1514</v>
      </c>
      <c r="L191" t="s">
        <v>1514</v>
      </c>
      <c r="M191" t="s">
        <v>1515</v>
      </c>
      <c r="N191" t="s">
        <v>1516</v>
      </c>
      <c r="O191" t="s">
        <v>223</v>
      </c>
      <c r="P191" t="s">
        <v>1517</v>
      </c>
      <c r="Q191" t="s">
        <v>1518</v>
      </c>
      <c r="R191">
        <v>1</v>
      </c>
    </row>
    <row r="192" spans="1:18" x14ac:dyDescent="0.3">
      <c r="A192" t="s">
        <v>637</v>
      </c>
      <c r="B192" t="s">
        <v>1810</v>
      </c>
      <c r="C192" t="s">
        <v>638</v>
      </c>
      <c r="D192" t="s">
        <v>47</v>
      </c>
      <c r="E192" t="s">
        <v>425</v>
      </c>
      <c r="F192" t="s">
        <v>639</v>
      </c>
      <c r="G192" t="s">
        <v>22</v>
      </c>
      <c r="H192" s="13">
        <v>45911</v>
      </c>
      <c r="I192" t="s">
        <v>23</v>
      </c>
      <c r="J192" t="s">
        <v>78</v>
      </c>
      <c r="K192" t="s">
        <v>1514</v>
      </c>
      <c r="L192" t="s">
        <v>1514</v>
      </c>
      <c r="M192" t="s">
        <v>1811</v>
      </c>
      <c r="N192" t="s">
        <v>1514</v>
      </c>
      <c r="O192" t="s">
        <v>425</v>
      </c>
      <c r="P192" t="s">
        <v>1517</v>
      </c>
      <c r="Q192" t="s">
        <v>1514</v>
      </c>
      <c r="R192">
        <v>0</v>
      </c>
    </row>
    <row r="193" spans="1:18" x14ac:dyDescent="0.3">
      <c r="A193" t="s">
        <v>640</v>
      </c>
      <c r="B193" t="s">
        <v>1812</v>
      </c>
      <c r="C193" t="s">
        <v>641</v>
      </c>
      <c r="D193" t="s">
        <v>42</v>
      </c>
      <c r="E193" t="s">
        <v>108</v>
      </c>
      <c r="F193" t="s">
        <v>642</v>
      </c>
      <c r="G193" t="s">
        <v>15</v>
      </c>
      <c r="H193" s="13">
        <v>45781</v>
      </c>
      <c r="I193" t="s">
        <v>23</v>
      </c>
      <c r="K193" t="s">
        <v>1514</v>
      </c>
      <c r="L193" t="s">
        <v>1514</v>
      </c>
      <c r="M193" t="s">
        <v>1813</v>
      </c>
      <c r="N193" t="s">
        <v>1514</v>
      </c>
      <c r="O193" t="s">
        <v>108</v>
      </c>
      <c r="P193" t="s">
        <v>1517</v>
      </c>
      <c r="Q193" t="s">
        <v>1514</v>
      </c>
      <c r="R193">
        <v>0</v>
      </c>
    </row>
    <row r="194" spans="1:18" x14ac:dyDescent="0.3">
      <c r="A194" t="s">
        <v>643</v>
      </c>
      <c r="B194" t="s">
        <v>1814</v>
      </c>
      <c r="C194" t="s">
        <v>644</v>
      </c>
      <c r="D194" t="s">
        <v>27</v>
      </c>
      <c r="E194" t="s">
        <v>230</v>
      </c>
      <c r="F194" t="s">
        <v>645</v>
      </c>
      <c r="G194" t="s">
        <v>22</v>
      </c>
      <c r="H194" s="13">
        <v>45609</v>
      </c>
      <c r="I194" t="s">
        <v>23</v>
      </c>
      <c r="J194" t="s">
        <v>78</v>
      </c>
      <c r="K194" t="s">
        <v>1514</v>
      </c>
      <c r="L194" t="s">
        <v>1514</v>
      </c>
      <c r="M194" t="s">
        <v>1815</v>
      </c>
      <c r="N194" t="s">
        <v>1514</v>
      </c>
      <c r="O194" t="s">
        <v>230</v>
      </c>
      <c r="P194" t="s">
        <v>1517</v>
      </c>
      <c r="Q194" t="s">
        <v>1514</v>
      </c>
      <c r="R194">
        <v>0</v>
      </c>
    </row>
    <row r="195" spans="1:18" x14ac:dyDescent="0.3">
      <c r="A195" t="s">
        <v>646</v>
      </c>
      <c r="B195" t="s">
        <v>1816</v>
      </c>
      <c r="C195" t="s">
        <v>647</v>
      </c>
      <c r="D195" t="s">
        <v>42</v>
      </c>
      <c r="E195" t="s">
        <v>108</v>
      </c>
      <c r="F195" t="s">
        <v>648</v>
      </c>
      <c r="G195" t="s">
        <v>22</v>
      </c>
      <c r="H195" s="13">
        <v>45411</v>
      </c>
      <c r="I195" t="s">
        <v>33</v>
      </c>
      <c r="J195" t="s">
        <v>24</v>
      </c>
      <c r="K195" t="s">
        <v>1514</v>
      </c>
      <c r="L195" t="s">
        <v>1514</v>
      </c>
      <c r="M195" t="s">
        <v>1515</v>
      </c>
      <c r="N195" t="s">
        <v>1516</v>
      </c>
      <c r="O195" t="s">
        <v>108</v>
      </c>
      <c r="P195" t="s">
        <v>1517</v>
      </c>
      <c r="Q195" t="s">
        <v>1518</v>
      </c>
      <c r="R195">
        <v>1</v>
      </c>
    </row>
    <row r="196" spans="1:18" x14ac:dyDescent="0.3">
      <c r="A196" t="s">
        <v>649</v>
      </c>
      <c r="B196" t="s">
        <v>1817</v>
      </c>
      <c r="C196" t="s">
        <v>650</v>
      </c>
      <c r="D196" t="s">
        <v>173</v>
      </c>
      <c r="E196" t="s">
        <v>174</v>
      </c>
      <c r="F196" t="s">
        <v>651</v>
      </c>
      <c r="G196" t="s">
        <v>22</v>
      </c>
      <c r="H196" s="13">
        <v>45028</v>
      </c>
      <c r="I196" t="s">
        <v>33</v>
      </c>
      <c r="K196" t="s">
        <v>1514</v>
      </c>
      <c r="L196" t="s">
        <v>1514</v>
      </c>
      <c r="M196" t="s">
        <v>1818</v>
      </c>
      <c r="N196" t="s">
        <v>1514</v>
      </c>
      <c r="O196" t="s">
        <v>174</v>
      </c>
      <c r="P196" t="s">
        <v>1517</v>
      </c>
      <c r="Q196" t="s">
        <v>1514</v>
      </c>
      <c r="R196">
        <v>0</v>
      </c>
    </row>
    <row r="197" spans="1:18" x14ac:dyDescent="0.3">
      <c r="A197" t="s">
        <v>652</v>
      </c>
      <c r="B197" t="s">
        <v>1819</v>
      </c>
      <c r="C197" t="s">
        <v>653</v>
      </c>
      <c r="D197" t="s">
        <v>47</v>
      </c>
      <c r="E197" t="s">
        <v>181</v>
      </c>
      <c r="F197" t="s">
        <v>654</v>
      </c>
      <c r="G197" t="s">
        <v>15</v>
      </c>
      <c r="H197" s="13">
        <v>45472</v>
      </c>
      <c r="I197" t="s">
        <v>33</v>
      </c>
      <c r="K197" t="s">
        <v>1514</v>
      </c>
      <c r="L197" t="s">
        <v>1514</v>
      </c>
      <c r="M197" t="s">
        <v>47</v>
      </c>
      <c r="N197" t="s">
        <v>1514</v>
      </c>
      <c r="O197" t="s">
        <v>181</v>
      </c>
      <c r="P197" t="s">
        <v>1517</v>
      </c>
      <c r="Q197" t="s">
        <v>1514</v>
      </c>
      <c r="R197">
        <v>0</v>
      </c>
    </row>
    <row r="198" spans="1:18" x14ac:dyDescent="0.3">
      <c r="A198" t="s">
        <v>655</v>
      </c>
      <c r="B198" t="s">
        <v>1820</v>
      </c>
      <c r="C198" t="s">
        <v>656</v>
      </c>
      <c r="D198" t="s">
        <v>57</v>
      </c>
      <c r="E198" t="s">
        <v>223</v>
      </c>
      <c r="F198" t="s">
        <v>657</v>
      </c>
      <c r="G198" t="s">
        <v>22</v>
      </c>
      <c r="H198" s="13">
        <v>45720</v>
      </c>
      <c r="I198" t="s">
        <v>54</v>
      </c>
      <c r="J198" t="s">
        <v>17</v>
      </c>
      <c r="K198" t="s">
        <v>1514</v>
      </c>
      <c r="L198" t="s">
        <v>1514</v>
      </c>
      <c r="M198" t="s">
        <v>1821</v>
      </c>
      <c r="N198" t="s">
        <v>1514</v>
      </c>
      <c r="O198" t="s">
        <v>223</v>
      </c>
      <c r="P198" t="s">
        <v>1517</v>
      </c>
      <c r="Q198" t="s">
        <v>1514</v>
      </c>
      <c r="R198">
        <v>0</v>
      </c>
    </row>
    <row r="199" spans="1:18" x14ac:dyDescent="0.3">
      <c r="A199" t="s">
        <v>658</v>
      </c>
      <c r="B199" t="s">
        <v>1822</v>
      </c>
      <c r="C199" t="s">
        <v>659</v>
      </c>
      <c r="D199" t="s">
        <v>62</v>
      </c>
      <c r="E199" t="s">
        <v>316</v>
      </c>
      <c r="F199" t="s">
        <v>660</v>
      </c>
      <c r="G199" t="s">
        <v>15</v>
      </c>
      <c r="H199" s="13">
        <v>45009</v>
      </c>
      <c r="I199" t="s">
        <v>16</v>
      </c>
      <c r="J199" t="s">
        <v>50</v>
      </c>
      <c r="K199" t="s">
        <v>1514</v>
      </c>
      <c r="L199" t="s">
        <v>1514</v>
      </c>
      <c r="M199" t="s">
        <v>1823</v>
      </c>
      <c r="N199" t="s">
        <v>1514</v>
      </c>
      <c r="O199" t="s">
        <v>316</v>
      </c>
      <c r="P199" t="s">
        <v>1517</v>
      </c>
      <c r="Q199" t="s">
        <v>1514</v>
      </c>
      <c r="R199">
        <v>0</v>
      </c>
    </row>
    <row r="200" spans="1:18" x14ac:dyDescent="0.3">
      <c r="A200" t="s">
        <v>661</v>
      </c>
      <c r="B200" t="s">
        <v>1824</v>
      </c>
      <c r="C200" t="s">
        <v>662</v>
      </c>
      <c r="D200" t="s">
        <v>47</v>
      </c>
      <c r="E200" t="s">
        <v>425</v>
      </c>
      <c r="F200" t="s">
        <v>663</v>
      </c>
      <c r="G200" t="s">
        <v>22</v>
      </c>
      <c r="H200" s="13">
        <v>45259</v>
      </c>
      <c r="I200" t="s">
        <v>33</v>
      </c>
      <c r="J200" t="s">
        <v>17</v>
      </c>
      <c r="K200" t="s">
        <v>1514</v>
      </c>
      <c r="L200" t="s">
        <v>1514</v>
      </c>
      <c r="M200" t="s">
        <v>1825</v>
      </c>
      <c r="N200" t="s">
        <v>1514</v>
      </c>
      <c r="O200" t="s">
        <v>425</v>
      </c>
      <c r="P200" t="s">
        <v>1517</v>
      </c>
      <c r="Q200" t="s">
        <v>1514</v>
      </c>
      <c r="R200">
        <v>0</v>
      </c>
    </row>
    <row r="201" spans="1:18" x14ac:dyDescent="0.3">
      <c r="A201" t="s">
        <v>664</v>
      </c>
      <c r="B201" t="s">
        <v>1826</v>
      </c>
      <c r="C201" t="s">
        <v>665</v>
      </c>
      <c r="D201" t="s">
        <v>62</v>
      </c>
      <c r="E201" t="s">
        <v>63</v>
      </c>
      <c r="F201" t="s">
        <v>666</v>
      </c>
      <c r="G201" t="s">
        <v>22</v>
      </c>
      <c r="H201" s="13">
        <v>45912</v>
      </c>
      <c r="I201" t="s">
        <v>33</v>
      </c>
      <c r="K201" t="s">
        <v>1514</v>
      </c>
      <c r="L201" t="s">
        <v>1514</v>
      </c>
      <c r="M201" t="s">
        <v>1827</v>
      </c>
      <c r="N201" t="s">
        <v>1514</v>
      </c>
      <c r="O201" t="s">
        <v>63</v>
      </c>
      <c r="P201" t="s">
        <v>1517</v>
      </c>
      <c r="Q201" t="s">
        <v>1514</v>
      </c>
      <c r="R201">
        <v>0</v>
      </c>
    </row>
    <row r="202" spans="1:18" x14ac:dyDescent="0.3">
      <c r="A202" t="s">
        <v>667</v>
      </c>
      <c r="B202" t="s">
        <v>1828</v>
      </c>
      <c r="C202" t="s">
        <v>668</v>
      </c>
      <c r="D202" t="s">
        <v>57</v>
      </c>
      <c r="E202" t="s">
        <v>481</v>
      </c>
      <c r="F202" t="s">
        <v>669</v>
      </c>
      <c r="G202" t="s">
        <v>15</v>
      </c>
      <c r="H202" s="13">
        <v>45221</v>
      </c>
      <c r="I202" t="s">
        <v>23</v>
      </c>
      <c r="K202" t="s">
        <v>1514</v>
      </c>
      <c r="L202" t="s">
        <v>1514</v>
      </c>
      <c r="M202" t="s">
        <v>1829</v>
      </c>
      <c r="N202" t="s">
        <v>1514</v>
      </c>
      <c r="O202" t="s">
        <v>481</v>
      </c>
      <c r="P202" t="s">
        <v>1517</v>
      </c>
      <c r="Q202" t="s">
        <v>1514</v>
      </c>
      <c r="R202">
        <v>0</v>
      </c>
    </row>
    <row r="203" spans="1:18" x14ac:dyDescent="0.3">
      <c r="A203" t="s">
        <v>670</v>
      </c>
      <c r="B203" t="s">
        <v>1830</v>
      </c>
      <c r="C203" t="s">
        <v>671</v>
      </c>
      <c r="D203" t="s">
        <v>62</v>
      </c>
      <c r="E203" t="s">
        <v>510</v>
      </c>
      <c r="F203" t="s">
        <v>672</v>
      </c>
      <c r="G203" t="s">
        <v>15</v>
      </c>
      <c r="H203" s="13">
        <v>45416</v>
      </c>
      <c r="I203" t="s">
        <v>54</v>
      </c>
      <c r="K203" t="s">
        <v>1514</v>
      </c>
      <c r="L203" t="s">
        <v>1514</v>
      </c>
      <c r="M203" t="s">
        <v>1831</v>
      </c>
      <c r="N203" t="s">
        <v>1514</v>
      </c>
      <c r="O203" t="s">
        <v>510</v>
      </c>
      <c r="P203" t="s">
        <v>1517</v>
      </c>
      <c r="Q203" t="s">
        <v>1514</v>
      </c>
      <c r="R203">
        <v>0</v>
      </c>
    </row>
    <row r="204" spans="1:18" x14ac:dyDescent="0.3">
      <c r="A204" t="s">
        <v>489</v>
      </c>
      <c r="B204" t="s">
        <v>1832</v>
      </c>
      <c r="C204" t="s">
        <v>673</v>
      </c>
      <c r="D204" t="s">
        <v>62</v>
      </c>
      <c r="E204" t="s">
        <v>89</v>
      </c>
      <c r="F204" t="s">
        <v>674</v>
      </c>
      <c r="G204" t="s">
        <v>22</v>
      </c>
      <c r="H204" s="13">
        <v>45500</v>
      </c>
      <c r="I204" t="s">
        <v>54</v>
      </c>
      <c r="K204" t="s">
        <v>1514</v>
      </c>
      <c r="L204" t="s">
        <v>1514</v>
      </c>
      <c r="M204" t="s">
        <v>89</v>
      </c>
      <c r="N204" t="s">
        <v>1514</v>
      </c>
      <c r="O204" t="s">
        <v>89</v>
      </c>
      <c r="P204" t="s">
        <v>1517</v>
      </c>
      <c r="Q204" t="s">
        <v>1514</v>
      </c>
      <c r="R204">
        <v>0</v>
      </c>
    </row>
    <row r="205" spans="1:18" x14ac:dyDescent="0.3">
      <c r="A205" t="s">
        <v>675</v>
      </c>
      <c r="B205" t="s">
        <v>1833</v>
      </c>
      <c r="C205" t="s">
        <v>676</v>
      </c>
      <c r="D205" t="s">
        <v>173</v>
      </c>
      <c r="E205" t="s">
        <v>328</v>
      </c>
      <c r="F205" t="s">
        <v>677</v>
      </c>
      <c r="G205" t="s">
        <v>15</v>
      </c>
      <c r="H205" s="13">
        <v>45233</v>
      </c>
      <c r="I205" t="s">
        <v>54</v>
      </c>
      <c r="J205" t="s">
        <v>50</v>
      </c>
      <c r="K205" t="s">
        <v>1514</v>
      </c>
      <c r="L205" t="s">
        <v>1514</v>
      </c>
      <c r="M205" t="s">
        <v>1834</v>
      </c>
      <c r="N205" t="s">
        <v>1514</v>
      </c>
      <c r="O205" t="s">
        <v>328</v>
      </c>
      <c r="P205" t="s">
        <v>1517</v>
      </c>
      <c r="Q205" t="s">
        <v>1514</v>
      </c>
      <c r="R205">
        <v>0</v>
      </c>
    </row>
    <row r="206" spans="1:18" x14ac:dyDescent="0.3">
      <c r="A206" t="s">
        <v>279</v>
      </c>
      <c r="B206" t="s">
        <v>1835</v>
      </c>
      <c r="C206" t="s">
        <v>678</v>
      </c>
      <c r="D206" t="s">
        <v>36</v>
      </c>
      <c r="E206" t="s">
        <v>131</v>
      </c>
      <c r="F206" t="s">
        <v>679</v>
      </c>
      <c r="G206" t="s">
        <v>22</v>
      </c>
      <c r="H206" s="13">
        <v>44894</v>
      </c>
      <c r="I206" t="s">
        <v>33</v>
      </c>
      <c r="J206" t="s">
        <v>24</v>
      </c>
      <c r="K206" t="s">
        <v>1514</v>
      </c>
      <c r="L206" t="s">
        <v>1514</v>
      </c>
      <c r="M206" t="s">
        <v>1515</v>
      </c>
      <c r="N206" t="s">
        <v>1516</v>
      </c>
      <c r="O206" t="s">
        <v>131</v>
      </c>
      <c r="P206" t="s">
        <v>1517</v>
      </c>
      <c r="Q206" t="s">
        <v>1518</v>
      </c>
      <c r="R206">
        <v>1</v>
      </c>
    </row>
    <row r="207" spans="1:18" x14ac:dyDescent="0.3">
      <c r="A207" t="s">
        <v>680</v>
      </c>
      <c r="B207" t="s">
        <v>1836</v>
      </c>
      <c r="C207" t="s">
        <v>681</v>
      </c>
      <c r="D207" t="s">
        <v>62</v>
      </c>
      <c r="E207" t="s">
        <v>510</v>
      </c>
      <c r="F207" t="s">
        <v>682</v>
      </c>
      <c r="G207" t="s">
        <v>15</v>
      </c>
      <c r="H207" s="13">
        <v>45735</v>
      </c>
      <c r="I207" t="s">
        <v>54</v>
      </c>
      <c r="K207" t="s">
        <v>1514</v>
      </c>
      <c r="L207" t="s">
        <v>1514</v>
      </c>
      <c r="M207" t="s">
        <v>1837</v>
      </c>
      <c r="N207" t="s">
        <v>1514</v>
      </c>
      <c r="O207" t="s">
        <v>510</v>
      </c>
      <c r="P207" t="s">
        <v>1517</v>
      </c>
      <c r="Q207" t="s">
        <v>1514</v>
      </c>
      <c r="R207">
        <v>0</v>
      </c>
    </row>
    <row r="208" spans="1:18" x14ac:dyDescent="0.3">
      <c r="A208" t="s">
        <v>683</v>
      </c>
      <c r="B208" t="s">
        <v>1838</v>
      </c>
      <c r="C208" t="s">
        <v>684</v>
      </c>
      <c r="D208" t="s">
        <v>84</v>
      </c>
      <c r="E208" t="s">
        <v>119</v>
      </c>
      <c r="F208" t="s">
        <v>685</v>
      </c>
      <c r="G208" t="s">
        <v>15</v>
      </c>
      <c r="H208" s="13">
        <v>45094</v>
      </c>
      <c r="I208" t="s">
        <v>16</v>
      </c>
      <c r="K208" t="s">
        <v>1514</v>
      </c>
      <c r="L208" t="s">
        <v>1514</v>
      </c>
      <c r="M208" t="s">
        <v>1839</v>
      </c>
      <c r="N208" t="s">
        <v>1514</v>
      </c>
      <c r="O208" t="s">
        <v>119</v>
      </c>
      <c r="P208" t="s">
        <v>1517</v>
      </c>
      <c r="Q208" t="s">
        <v>1514</v>
      </c>
      <c r="R208">
        <v>0</v>
      </c>
    </row>
    <row r="209" spans="1:18" x14ac:dyDescent="0.3">
      <c r="A209" t="s">
        <v>686</v>
      </c>
      <c r="B209" t="s">
        <v>1840</v>
      </c>
      <c r="C209" t="s">
        <v>687</v>
      </c>
      <c r="D209" t="s">
        <v>42</v>
      </c>
      <c r="E209" t="s">
        <v>43</v>
      </c>
      <c r="F209" t="s">
        <v>688</v>
      </c>
      <c r="G209" t="s">
        <v>15</v>
      </c>
      <c r="H209" s="13">
        <v>45050</v>
      </c>
      <c r="I209" t="s">
        <v>23</v>
      </c>
      <c r="K209" t="s">
        <v>1514</v>
      </c>
      <c r="L209" t="s">
        <v>1514</v>
      </c>
      <c r="M209" t="s">
        <v>1841</v>
      </c>
      <c r="N209" t="s">
        <v>1514</v>
      </c>
      <c r="O209" t="s">
        <v>43</v>
      </c>
      <c r="P209" t="s">
        <v>1517</v>
      </c>
      <c r="Q209" t="s">
        <v>1514</v>
      </c>
      <c r="R209">
        <v>0</v>
      </c>
    </row>
    <row r="210" spans="1:18" x14ac:dyDescent="0.3">
      <c r="A210" t="s">
        <v>689</v>
      </c>
      <c r="B210" t="s">
        <v>1842</v>
      </c>
      <c r="C210" t="s">
        <v>690</v>
      </c>
      <c r="D210" t="s">
        <v>47</v>
      </c>
      <c r="E210" t="s">
        <v>425</v>
      </c>
      <c r="F210" t="s">
        <v>691</v>
      </c>
      <c r="G210" t="s">
        <v>15</v>
      </c>
      <c r="H210" s="13">
        <v>45857</v>
      </c>
      <c r="I210" t="s">
        <v>23</v>
      </c>
      <c r="J210" t="s">
        <v>24</v>
      </c>
      <c r="K210" t="s">
        <v>1514</v>
      </c>
      <c r="L210" t="s">
        <v>1514</v>
      </c>
      <c r="M210" t="s">
        <v>425</v>
      </c>
      <c r="N210" t="s">
        <v>1514</v>
      </c>
      <c r="O210" t="s">
        <v>425</v>
      </c>
      <c r="P210" t="s">
        <v>1517</v>
      </c>
      <c r="Q210" t="s">
        <v>1514</v>
      </c>
      <c r="R210">
        <v>0</v>
      </c>
    </row>
    <row r="211" spans="1:18" x14ac:dyDescent="0.3">
      <c r="A211" t="s">
        <v>692</v>
      </c>
      <c r="B211" t="s">
        <v>1843</v>
      </c>
      <c r="C211" t="s">
        <v>693</v>
      </c>
      <c r="D211" t="s">
        <v>57</v>
      </c>
      <c r="E211" t="s">
        <v>312</v>
      </c>
      <c r="F211" t="s">
        <v>694</v>
      </c>
      <c r="G211" t="s">
        <v>22</v>
      </c>
      <c r="H211" s="13">
        <v>45665</v>
      </c>
      <c r="I211" t="s">
        <v>54</v>
      </c>
      <c r="K211" t="s">
        <v>1514</v>
      </c>
      <c r="L211" t="s">
        <v>1514</v>
      </c>
      <c r="M211" t="s">
        <v>57</v>
      </c>
      <c r="N211" t="s">
        <v>1514</v>
      </c>
      <c r="O211" t="s">
        <v>312</v>
      </c>
      <c r="P211" t="s">
        <v>1517</v>
      </c>
      <c r="Q211" t="s">
        <v>1514</v>
      </c>
      <c r="R211">
        <v>0</v>
      </c>
    </row>
    <row r="212" spans="1:18" x14ac:dyDescent="0.3">
      <c r="A212" t="s">
        <v>695</v>
      </c>
      <c r="B212" t="s">
        <v>1844</v>
      </c>
      <c r="C212" t="s">
        <v>696</v>
      </c>
      <c r="D212" t="s">
        <v>71</v>
      </c>
      <c r="E212" t="s">
        <v>536</v>
      </c>
      <c r="F212" t="s">
        <v>697</v>
      </c>
      <c r="G212" t="s">
        <v>22</v>
      </c>
      <c r="H212" s="13">
        <v>45232</v>
      </c>
      <c r="I212" t="s">
        <v>54</v>
      </c>
      <c r="J212" t="s">
        <v>24</v>
      </c>
      <c r="K212" t="s">
        <v>1514</v>
      </c>
      <c r="L212" t="s">
        <v>1514</v>
      </c>
      <c r="M212" t="s">
        <v>1845</v>
      </c>
      <c r="N212" t="s">
        <v>1514</v>
      </c>
      <c r="O212" t="s">
        <v>536</v>
      </c>
      <c r="P212" t="s">
        <v>1517</v>
      </c>
      <c r="Q212" t="s">
        <v>1514</v>
      </c>
      <c r="R212">
        <v>0</v>
      </c>
    </row>
    <row r="213" spans="1:18" x14ac:dyDescent="0.3">
      <c r="A213" t="s">
        <v>698</v>
      </c>
      <c r="B213" t="s">
        <v>1846</v>
      </c>
      <c r="C213" t="s">
        <v>699</v>
      </c>
      <c r="D213" t="s">
        <v>71</v>
      </c>
      <c r="E213" t="s">
        <v>277</v>
      </c>
      <c r="F213" t="s">
        <v>700</v>
      </c>
      <c r="G213" t="s">
        <v>15</v>
      </c>
      <c r="H213" s="13">
        <v>45751</v>
      </c>
      <c r="I213" t="s">
        <v>54</v>
      </c>
      <c r="J213" t="s">
        <v>50</v>
      </c>
      <c r="K213" t="s">
        <v>1514</v>
      </c>
      <c r="L213" t="s">
        <v>1514</v>
      </c>
      <c r="M213" t="s">
        <v>1847</v>
      </c>
      <c r="N213" t="s">
        <v>1514</v>
      </c>
      <c r="O213" t="s">
        <v>277</v>
      </c>
      <c r="P213" t="s">
        <v>1517</v>
      </c>
      <c r="Q213" t="s">
        <v>1514</v>
      </c>
      <c r="R213">
        <v>0</v>
      </c>
    </row>
    <row r="214" spans="1:18" x14ac:dyDescent="0.3">
      <c r="A214" t="s">
        <v>552</v>
      </c>
      <c r="B214" t="s">
        <v>1848</v>
      </c>
      <c r="C214" t="s">
        <v>701</v>
      </c>
      <c r="D214" t="s">
        <v>173</v>
      </c>
      <c r="E214" t="s">
        <v>328</v>
      </c>
      <c r="F214" t="s">
        <v>702</v>
      </c>
      <c r="G214" t="s">
        <v>22</v>
      </c>
      <c r="H214" s="13">
        <v>45083</v>
      </c>
      <c r="I214" t="s">
        <v>23</v>
      </c>
      <c r="K214" t="s">
        <v>1514</v>
      </c>
      <c r="L214" t="s">
        <v>1514</v>
      </c>
      <c r="M214" t="s">
        <v>1515</v>
      </c>
      <c r="N214" t="s">
        <v>1516</v>
      </c>
      <c r="O214" t="s">
        <v>328</v>
      </c>
      <c r="P214" t="s">
        <v>1517</v>
      </c>
      <c r="Q214" t="s">
        <v>1518</v>
      </c>
      <c r="R214">
        <v>1</v>
      </c>
    </row>
    <row r="215" spans="1:18" x14ac:dyDescent="0.3">
      <c r="A215" t="s">
        <v>703</v>
      </c>
      <c r="B215" t="s">
        <v>1849</v>
      </c>
      <c r="C215" t="s">
        <v>704</v>
      </c>
      <c r="D215" t="s">
        <v>36</v>
      </c>
      <c r="E215" t="s">
        <v>67</v>
      </c>
      <c r="F215" t="s">
        <v>705</v>
      </c>
      <c r="G215" t="s">
        <v>22</v>
      </c>
      <c r="H215" s="13">
        <v>45719</v>
      </c>
      <c r="I215" t="s">
        <v>39</v>
      </c>
      <c r="J215" t="s">
        <v>50</v>
      </c>
      <c r="K215" t="s">
        <v>1514</v>
      </c>
      <c r="L215" t="s">
        <v>1514</v>
      </c>
      <c r="M215" t="s">
        <v>1850</v>
      </c>
      <c r="N215" t="s">
        <v>1514</v>
      </c>
      <c r="O215" t="s">
        <v>67</v>
      </c>
      <c r="P215" t="s">
        <v>1517</v>
      </c>
      <c r="Q215" t="s">
        <v>1514</v>
      </c>
      <c r="R215">
        <v>0</v>
      </c>
    </row>
    <row r="216" spans="1:18" x14ac:dyDescent="0.3">
      <c r="A216" t="s">
        <v>706</v>
      </c>
      <c r="B216" t="s">
        <v>1851</v>
      </c>
      <c r="C216" t="s">
        <v>707</v>
      </c>
      <c r="D216" t="s">
        <v>36</v>
      </c>
      <c r="E216" t="s">
        <v>162</v>
      </c>
      <c r="F216" t="s">
        <v>708</v>
      </c>
      <c r="G216" t="s">
        <v>15</v>
      </c>
      <c r="H216" s="13">
        <v>45091</v>
      </c>
      <c r="I216" t="s">
        <v>33</v>
      </c>
      <c r="J216" t="s">
        <v>17</v>
      </c>
      <c r="K216" t="s">
        <v>1514</v>
      </c>
      <c r="L216" t="s">
        <v>1514</v>
      </c>
      <c r="M216" t="s">
        <v>1852</v>
      </c>
      <c r="N216" t="s">
        <v>1514</v>
      </c>
      <c r="O216" t="s">
        <v>162</v>
      </c>
      <c r="P216" t="s">
        <v>1517</v>
      </c>
      <c r="Q216" t="s">
        <v>1514</v>
      </c>
      <c r="R216">
        <v>0</v>
      </c>
    </row>
    <row r="217" spans="1:18" x14ac:dyDescent="0.3">
      <c r="A217" t="s">
        <v>709</v>
      </c>
      <c r="B217" t="s">
        <v>1853</v>
      </c>
      <c r="C217" t="s">
        <v>710</v>
      </c>
      <c r="D217" t="s">
        <v>12</v>
      </c>
      <c r="E217" t="s">
        <v>166</v>
      </c>
      <c r="F217" t="s">
        <v>711</v>
      </c>
      <c r="G217" t="s">
        <v>22</v>
      </c>
      <c r="H217" s="13">
        <v>45439</v>
      </c>
      <c r="I217" t="s">
        <v>39</v>
      </c>
      <c r="J217" t="s">
        <v>78</v>
      </c>
      <c r="K217" t="s">
        <v>1514</v>
      </c>
      <c r="L217" t="s">
        <v>1514</v>
      </c>
      <c r="M217" t="s">
        <v>1854</v>
      </c>
      <c r="N217" t="s">
        <v>1514</v>
      </c>
      <c r="O217" t="s">
        <v>166</v>
      </c>
      <c r="P217" t="s">
        <v>1517</v>
      </c>
      <c r="Q217" t="s">
        <v>1514</v>
      </c>
      <c r="R217">
        <v>0</v>
      </c>
    </row>
    <row r="218" spans="1:18" x14ac:dyDescent="0.3">
      <c r="A218" t="s">
        <v>712</v>
      </c>
      <c r="B218" t="s">
        <v>1855</v>
      </c>
      <c r="C218" t="s">
        <v>713</v>
      </c>
      <c r="D218" t="s">
        <v>12</v>
      </c>
      <c r="E218" t="s">
        <v>166</v>
      </c>
      <c r="F218" t="s">
        <v>714</v>
      </c>
      <c r="G218" t="s">
        <v>22</v>
      </c>
      <c r="H218" s="13">
        <v>45276</v>
      </c>
      <c r="I218" t="s">
        <v>33</v>
      </c>
      <c r="J218" t="s">
        <v>17</v>
      </c>
      <c r="K218" t="s">
        <v>1514</v>
      </c>
      <c r="L218" t="s">
        <v>1514</v>
      </c>
      <c r="M218" t="s">
        <v>1856</v>
      </c>
      <c r="N218" t="s">
        <v>1514</v>
      </c>
      <c r="O218" t="s">
        <v>166</v>
      </c>
      <c r="P218" t="s">
        <v>1517</v>
      </c>
      <c r="Q218" t="s">
        <v>1514</v>
      </c>
      <c r="R218">
        <v>0</v>
      </c>
    </row>
    <row r="219" spans="1:18" x14ac:dyDescent="0.3">
      <c r="A219" t="s">
        <v>602</v>
      </c>
      <c r="B219" t="s">
        <v>1857</v>
      </c>
      <c r="C219" t="s">
        <v>715</v>
      </c>
      <c r="D219" t="s">
        <v>47</v>
      </c>
      <c r="E219" t="s">
        <v>181</v>
      </c>
      <c r="F219" t="s">
        <v>716</v>
      </c>
      <c r="G219" t="s">
        <v>22</v>
      </c>
      <c r="H219" s="13">
        <v>45203</v>
      </c>
      <c r="I219" t="s">
        <v>33</v>
      </c>
      <c r="K219" t="s">
        <v>1514</v>
      </c>
      <c r="L219" t="s">
        <v>1514</v>
      </c>
      <c r="M219" t="s">
        <v>1515</v>
      </c>
      <c r="N219" t="s">
        <v>1516</v>
      </c>
      <c r="O219" t="s">
        <v>181</v>
      </c>
      <c r="P219" t="s">
        <v>1517</v>
      </c>
      <c r="Q219" t="s">
        <v>1518</v>
      </c>
      <c r="R219">
        <v>1</v>
      </c>
    </row>
    <row r="220" spans="1:18" x14ac:dyDescent="0.3">
      <c r="A220" t="s">
        <v>717</v>
      </c>
      <c r="B220" t="s">
        <v>1858</v>
      </c>
      <c r="C220" t="s">
        <v>718</v>
      </c>
      <c r="D220" t="s">
        <v>57</v>
      </c>
      <c r="E220" t="s">
        <v>223</v>
      </c>
      <c r="F220" t="s">
        <v>719</v>
      </c>
      <c r="G220" t="s">
        <v>22</v>
      </c>
      <c r="H220" s="13">
        <v>45001</v>
      </c>
      <c r="I220" t="s">
        <v>54</v>
      </c>
      <c r="J220" t="s">
        <v>17</v>
      </c>
      <c r="K220" t="s">
        <v>1514</v>
      </c>
      <c r="L220" t="s">
        <v>1514</v>
      </c>
      <c r="M220" t="s">
        <v>1859</v>
      </c>
      <c r="N220" t="s">
        <v>1514</v>
      </c>
      <c r="O220" t="s">
        <v>223</v>
      </c>
      <c r="P220" t="s">
        <v>1517</v>
      </c>
      <c r="Q220" t="s">
        <v>1514</v>
      </c>
      <c r="R220">
        <v>0</v>
      </c>
    </row>
    <row r="221" spans="1:18" x14ac:dyDescent="0.3">
      <c r="A221" t="s">
        <v>720</v>
      </c>
      <c r="B221" t="s">
        <v>1860</v>
      </c>
      <c r="C221" t="s">
        <v>721</v>
      </c>
      <c r="D221" t="s">
        <v>42</v>
      </c>
      <c r="E221" t="s">
        <v>43</v>
      </c>
      <c r="F221" t="s">
        <v>722</v>
      </c>
      <c r="G221" t="s">
        <v>15</v>
      </c>
      <c r="H221" s="13">
        <v>45921</v>
      </c>
      <c r="I221" t="s">
        <v>16</v>
      </c>
      <c r="J221" t="s">
        <v>78</v>
      </c>
      <c r="K221" t="s">
        <v>1514</v>
      </c>
      <c r="L221" t="s">
        <v>1514</v>
      </c>
      <c r="M221" t="s">
        <v>1861</v>
      </c>
      <c r="N221" t="s">
        <v>1514</v>
      </c>
      <c r="O221" t="s">
        <v>43</v>
      </c>
      <c r="P221" t="s">
        <v>1517</v>
      </c>
      <c r="Q221" t="s">
        <v>1514</v>
      </c>
      <c r="R221">
        <v>0</v>
      </c>
    </row>
    <row r="222" spans="1:18" x14ac:dyDescent="0.3">
      <c r="A222" t="s">
        <v>723</v>
      </c>
      <c r="B222" t="s">
        <v>1862</v>
      </c>
      <c r="C222" t="s">
        <v>724</v>
      </c>
      <c r="D222" t="s">
        <v>27</v>
      </c>
      <c r="E222" t="s">
        <v>98</v>
      </c>
      <c r="F222" t="s">
        <v>725</v>
      </c>
      <c r="G222" t="s">
        <v>22</v>
      </c>
      <c r="H222" s="13">
        <v>45837</v>
      </c>
      <c r="I222" t="s">
        <v>16</v>
      </c>
      <c r="J222" t="s">
        <v>78</v>
      </c>
      <c r="K222" t="s">
        <v>1514</v>
      </c>
      <c r="L222" t="s">
        <v>1514</v>
      </c>
      <c r="M222" t="s">
        <v>1863</v>
      </c>
      <c r="N222" t="s">
        <v>1514</v>
      </c>
      <c r="O222" t="s">
        <v>98</v>
      </c>
      <c r="P222" t="s">
        <v>1517</v>
      </c>
      <c r="Q222" t="s">
        <v>1514</v>
      </c>
      <c r="R222">
        <v>0</v>
      </c>
    </row>
    <row r="223" spans="1:18" x14ac:dyDescent="0.3">
      <c r="A223" t="s">
        <v>726</v>
      </c>
      <c r="B223" t="s">
        <v>1864</v>
      </c>
      <c r="C223" t="s">
        <v>727</v>
      </c>
      <c r="D223" t="s">
        <v>12</v>
      </c>
      <c r="E223" t="s">
        <v>166</v>
      </c>
      <c r="F223" t="s">
        <v>728</v>
      </c>
      <c r="G223" t="s">
        <v>22</v>
      </c>
      <c r="H223" s="13">
        <v>45890</v>
      </c>
      <c r="I223" t="s">
        <v>39</v>
      </c>
      <c r="K223" t="s">
        <v>1514</v>
      </c>
      <c r="L223" t="s">
        <v>1514</v>
      </c>
      <c r="M223" t="s">
        <v>12</v>
      </c>
      <c r="N223" t="s">
        <v>1514</v>
      </c>
      <c r="O223" t="s">
        <v>166</v>
      </c>
      <c r="P223" t="s">
        <v>1517</v>
      </c>
      <c r="Q223" t="s">
        <v>1514</v>
      </c>
      <c r="R223">
        <v>0</v>
      </c>
    </row>
    <row r="224" spans="1:18" x14ac:dyDescent="0.3">
      <c r="A224" t="s">
        <v>729</v>
      </c>
      <c r="B224" t="s">
        <v>1865</v>
      </c>
      <c r="C224" t="s">
        <v>730</v>
      </c>
      <c r="D224" t="s">
        <v>84</v>
      </c>
      <c r="E224" t="s">
        <v>201</v>
      </c>
      <c r="F224" t="s">
        <v>731</v>
      </c>
      <c r="G224" t="s">
        <v>15</v>
      </c>
      <c r="H224" s="13">
        <v>45289</v>
      </c>
      <c r="I224" t="s">
        <v>39</v>
      </c>
      <c r="J224" t="s">
        <v>78</v>
      </c>
      <c r="K224" t="s">
        <v>1514</v>
      </c>
      <c r="L224" t="s">
        <v>1514</v>
      </c>
      <c r="M224" t="s">
        <v>1515</v>
      </c>
      <c r="N224" t="s">
        <v>1516</v>
      </c>
      <c r="O224" t="s">
        <v>201</v>
      </c>
      <c r="P224" t="s">
        <v>1517</v>
      </c>
      <c r="Q224" t="s">
        <v>1518</v>
      </c>
      <c r="R224">
        <v>1</v>
      </c>
    </row>
    <row r="225" spans="1:18" x14ac:dyDescent="0.3">
      <c r="A225" t="s">
        <v>732</v>
      </c>
      <c r="B225" t="s">
        <v>1866</v>
      </c>
      <c r="C225" t="s">
        <v>733</v>
      </c>
      <c r="D225" t="s">
        <v>62</v>
      </c>
      <c r="E225" t="s">
        <v>316</v>
      </c>
      <c r="F225" t="s">
        <v>734</v>
      </c>
      <c r="G225" t="s">
        <v>22</v>
      </c>
      <c r="H225" s="13">
        <v>45829</v>
      </c>
      <c r="I225" t="s">
        <v>16</v>
      </c>
      <c r="K225" t="s">
        <v>1514</v>
      </c>
      <c r="L225" t="s">
        <v>1514</v>
      </c>
      <c r="M225" t="s">
        <v>1515</v>
      </c>
      <c r="N225" t="s">
        <v>1516</v>
      </c>
      <c r="O225" t="s">
        <v>316</v>
      </c>
      <c r="P225" t="s">
        <v>1517</v>
      </c>
      <c r="Q225" t="s">
        <v>1518</v>
      </c>
      <c r="R225">
        <v>1</v>
      </c>
    </row>
    <row r="226" spans="1:18" x14ac:dyDescent="0.3">
      <c r="A226" t="s">
        <v>735</v>
      </c>
      <c r="B226" t="s">
        <v>1867</v>
      </c>
      <c r="C226" t="s">
        <v>736</v>
      </c>
      <c r="D226" t="s">
        <v>12</v>
      </c>
      <c r="E226" t="s">
        <v>20</v>
      </c>
      <c r="F226" t="s">
        <v>737</v>
      </c>
      <c r="G226" t="s">
        <v>15</v>
      </c>
      <c r="H226" s="13">
        <v>45716</v>
      </c>
      <c r="I226" t="s">
        <v>39</v>
      </c>
      <c r="J226" t="s">
        <v>24</v>
      </c>
      <c r="K226" t="s">
        <v>1514</v>
      </c>
      <c r="L226" t="s">
        <v>1514</v>
      </c>
      <c r="M226" t="s">
        <v>1515</v>
      </c>
      <c r="N226" t="s">
        <v>1516</v>
      </c>
      <c r="O226" t="s">
        <v>20</v>
      </c>
      <c r="P226" t="s">
        <v>1517</v>
      </c>
      <c r="Q226" t="s">
        <v>1518</v>
      </c>
      <c r="R226">
        <v>1</v>
      </c>
    </row>
    <row r="227" spans="1:18" x14ac:dyDescent="0.3">
      <c r="A227" t="s">
        <v>738</v>
      </c>
      <c r="B227" t="s">
        <v>1868</v>
      </c>
      <c r="C227" t="s">
        <v>739</v>
      </c>
      <c r="D227" t="s">
        <v>71</v>
      </c>
      <c r="E227" t="s">
        <v>277</v>
      </c>
      <c r="F227" t="s">
        <v>740</v>
      </c>
      <c r="G227" t="s">
        <v>22</v>
      </c>
      <c r="H227" s="13">
        <v>45547</v>
      </c>
      <c r="I227" t="s">
        <v>33</v>
      </c>
      <c r="J227" t="s">
        <v>24</v>
      </c>
      <c r="K227" t="s">
        <v>1514</v>
      </c>
      <c r="L227" t="s">
        <v>1514</v>
      </c>
      <c r="M227" t="s">
        <v>738</v>
      </c>
      <c r="N227" t="s">
        <v>1514</v>
      </c>
      <c r="O227" t="s">
        <v>277</v>
      </c>
      <c r="P227" t="s">
        <v>1517</v>
      </c>
      <c r="Q227" t="s">
        <v>1514</v>
      </c>
      <c r="R227">
        <v>0</v>
      </c>
    </row>
    <row r="228" spans="1:18" x14ac:dyDescent="0.3">
      <c r="A228" t="s">
        <v>741</v>
      </c>
      <c r="B228" t="s">
        <v>1869</v>
      </c>
      <c r="C228" t="s">
        <v>742</v>
      </c>
      <c r="D228" t="s">
        <v>36</v>
      </c>
      <c r="E228" t="s">
        <v>162</v>
      </c>
      <c r="F228" t="s">
        <v>743</v>
      </c>
      <c r="G228" t="s">
        <v>22</v>
      </c>
      <c r="H228" s="13">
        <v>44893</v>
      </c>
      <c r="I228" t="s">
        <v>16</v>
      </c>
      <c r="J228" t="s">
        <v>24</v>
      </c>
      <c r="K228" t="s">
        <v>1514</v>
      </c>
      <c r="L228" t="s">
        <v>1514</v>
      </c>
      <c r="M228" t="s">
        <v>1870</v>
      </c>
      <c r="N228" t="s">
        <v>1514</v>
      </c>
      <c r="O228" t="s">
        <v>162</v>
      </c>
      <c r="P228" t="s">
        <v>1517</v>
      </c>
      <c r="Q228" t="s">
        <v>1514</v>
      </c>
      <c r="R228">
        <v>0</v>
      </c>
    </row>
    <row r="229" spans="1:18" x14ac:dyDescent="0.3">
      <c r="A229" t="s">
        <v>744</v>
      </c>
      <c r="B229" t="s">
        <v>1871</v>
      </c>
      <c r="C229" t="s">
        <v>745</v>
      </c>
      <c r="D229" t="s">
        <v>27</v>
      </c>
      <c r="E229" t="s">
        <v>241</v>
      </c>
      <c r="F229" t="s">
        <v>746</v>
      </c>
      <c r="G229" t="s">
        <v>15</v>
      </c>
      <c r="H229" s="13">
        <v>45679</v>
      </c>
      <c r="I229" t="s">
        <v>54</v>
      </c>
      <c r="J229" t="s">
        <v>50</v>
      </c>
      <c r="K229" t="s">
        <v>1514</v>
      </c>
      <c r="L229" t="s">
        <v>1514</v>
      </c>
      <c r="M229" t="s">
        <v>1515</v>
      </c>
      <c r="N229" t="s">
        <v>1516</v>
      </c>
      <c r="O229" t="s">
        <v>241</v>
      </c>
      <c r="P229" t="s">
        <v>1517</v>
      </c>
      <c r="Q229" t="s">
        <v>1518</v>
      </c>
      <c r="R229">
        <v>1</v>
      </c>
    </row>
    <row r="230" spans="1:18" x14ac:dyDescent="0.3">
      <c r="A230" t="s">
        <v>747</v>
      </c>
      <c r="B230" t="s">
        <v>1872</v>
      </c>
      <c r="C230" t="s">
        <v>748</v>
      </c>
      <c r="D230" t="s">
        <v>47</v>
      </c>
      <c r="E230" t="s">
        <v>575</v>
      </c>
      <c r="F230" t="s">
        <v>749</v>
      </c>
      <c r="G230" t="s">
        <v>15</v>
      </c>
      <c r="H230" s="13">
        <v>45679</v>
      </c>
      <c r="I230" t="s">
        <v>33</v>
      </c>
      <c r="J230" t="s">
        <v>50</v>
      </c>
      <c r="K230" t="s">
        <v>1514</v>
      </c>
      <c r="L230" t="s">
        <v>1514</v>
      </c>
      <c r="M230" t="s">
        <v>1873</v>
      </c>
      <c r="N230" t="s">
        <v>1514</v>
      </c>
      <c r="O230" t="s">
        <v>575</v>
      </c>
      <c r="P230" t="s">
        <v>1517</v>
      </c>
      <c r="Q230" t="s">
        <v>1514</v>
      </c>
      <c r="R230">
        <v>0</v>
      </c>
    </row>
    <row r="231" spans="1:18" x14ac:dyDescent="0.3">
      <c r="A231" t="s">
        <v>750</v>
      </c>
      <c r="B231" t="s">
        <v>1874</v>
      </c>
      <c r="C231" t="s">
        <v>751</v>
      </c>
      <c r="D231" t="s">
        <v>27</v>
      </c>
      <c r="E231" t="s">
        <v>230</v>
      </c>
      <c r="F231" t="s">
        <v>752</v>
      </c>
      <c r="G231" t="s">
        <v>15</v>
      </c>
      <c r="H231" s="13">
        <v>45511</v>
      </c>
      <c r="I231" t="s">
        <v>23</v>
      </c>
      <c r="K231" t="s">
        <v>1514</v>
      </c>
      <c r="L231" t="s">
        <v>1514</v>
      </c>
      <c r="M231" t="s">
        <v>750</v>
      </c>
      <c r="N231" t="s">
        <v>1514</v>
      </c>
      <c r="O231" t="s">
        <v>230</v>
      </c>
      <c r="P231" t="s">
        <v>1517</v>
      </c>
      <c r="Q231" t="s">
        <v>1514</v>
      </c>
      <c r="R231">
        <v>0</v>
      </c>
    </row>
    <row r="232" spans="1:18" x14ac:dyDescent="0.3">
      <c r="A232" t="s">
        <v>744</v>
      </c>
      <c r="B232" t="s">
        <v>1875</v>
      </c>
      <c r="C232" t="s">
        <v>753</v>
      </c>
      <c r="D232" t="s">
        <v>27</v>
      </c>
      <c r="E232" t="s">
        <v>241</v>
      </c>
      <c r="F232" t="s">
        <v>754</v>
      </c>
      <c r="G232" t="s">
        <v>22</v>
      </c>
      <c r="H232" s="13">
        <v>45415</v>
      </c>
      <c r="I232" t="s">
        <v>39</v>
      </c>
      <c r="K232" t="s">
        <v>1514</v>
      </c>
      <c r="L232" t="s">
        <v>1514</v>
      </c>
      <c r="M232" t="s">
        <v>1515</v>
      </c>
      <c r="N232" t="s">
        <v>1516</v>
      </c>
      <c r="O232" t="s">
        <v>241</v>
      </c>
      <c r="P232" t="s">
        <v>1517</v>
      </c>
      <c r="Q232" t="s">
        <v>1518</v>
      </c>
      <c r="R232">
        <v>1</v>
      </c>
    </row>
    <row r="233" spans="1:18" x14ac:dyDescent="0.3">
      <c r="A233" t="s">
        <v>393</v>
      </c>
      <c r="B233" t="s">
        <v>1876</v>
      </c>
      <c r="C233" t="s">
        <v>755</v>
      </c>
      <c r="D233" t="s">
        <v>36</v>
      </c>
      <c r="E233" t="s">
        <v>67</v>
      </c>
      <c r="F233" t="s">
        <v>756</v>
      </c>
      <c r="G233" t="s">
        <v>22</v>
      </c>
      <c r="H233" s="13">
        <v>45234</v>
      </c>
      <c r="I233" t="s">
        <v>23</v>
      </c>
      <c r="J233" t="s">
        <v>50</v>
      </c>
      <c r="K233" t="s">
        <v>1514</v>
      </c>
      <c r="L233" t="s">
        <v>1514</v>
      </c>
      <c r="M233" t="s">
        <v>1515</v>
      </c>
      <c r="N233" t="s">
        <v>1516</v>
      </c>
      <c r="O233" t="s">
        <v>67</v>
      </c>
      <c r="P233" t="s">
        <v>1517</v>
      </c>
      <c r="Q233" t="s">
        <v>1518</v>
      </c>
      <c r="R233">
        <v>1</v>
      </c>
    </row>
    <row r="234" spans="1:18" x14ac:dyDescent="0.3">
      <c r="A234" t="s">
        <v>757</v>
      </c>
      <c r="B234" t="s">
        <v>1877</v>
      </c>
      <c r="C234" t="s">
        <v>758</v>
      </c>
      <c r="D234" t="s">
        <v>27</v>
      </c>
      <c r="E234" t="s">
        <v>28</v>
      </c>
      <c r="F234" t="s">
        <v>759</v>
      </c>
      <c r="G234" t="s">
        <v>22</v>
      </c>
      <c r="H234" s="13">
        <v>45247</v>
      </c>
      <c r="I234" t="s">
        <v>39</v>
      </c>
      <c r="J234" t="s">
        <v>24</v>
      </c>
      <c r="K234" t="s">
        <v>1514</v>
      </c>
      <c r="L234" t="s">
        <v>1514</v>
      </c>
      <c r="M234" t="s">
        <v>1515</v>
      </c>
      <c r="N234" t="s">
        <v>1516</v>
      </c>
      <c r="O234" t="s">
        <v>28</v>
      </c>
      <c r="P234" t="s">
        <v>1517</v>
      </c>
      <c r="Q234" t="s">
        <v>1518</v>
      </c>
      <c r="R234">
        <v>1</v>
      </c>
    </row>
    <row r="235" spans="1:18" x14ac:dyDescent="0.3">
      <c r="A235" t="s">
        <v>760</v>
      </c>
      <c r="B235" t="s">
        <v>1878</v>
      </c>
      <c r="C235" t="s">
        <v>761</v>
      </c>
      <c r="D235" t="s">
        <v>47</v>
      </c>
      <c r="E235" t="s">
        <v>112</v>
      </c>
      <c r="F235" t="s">
        <v>762</v>
      </c>
      <c r="G235" t="s">
        <v>15</v>
      </c>
      <c r="H235" s="13">
        <v>45734</v>
      </c>
      <c r="I235" t="s">
        <v>33</v>
      </c>
      <c r="J235" t="s">
        <v>24</v>
      </c>
      <c r="K235" t="s">
        <v>1514</v>
      </c>
      <c r="L235" t="s">
        <v>1514</v>
      </c>
      <c r="M235" t="s">
        <v>1515</v>
      </c>
      <c r="N235" t="s">
        <v>1516</v>
      </c>
      <c r="O235" t="s">
        <v>112</v>
      </c>
      <c r="P235" t="s">
        <v>1517</v>
      </c>
      <c r="Q235" t="s">
        <v>1518</v>
      </c>
      <c r="R235">
        <v>1</v>
      </c>
    </row>
    <row r="236" spans="1:18" x14ac:dyDescent="0.3">
      <c r="A236" t="s">
        <v>763</v>
      </c>
      <c r="B236" t="s">
        <v>1879</v>
      </c>
      <c r="C236" t="s">
        <v>764</v>
      </c>
      <c r="D236" t="s">
        <v>62</v>
      </c>
      <c r="E236" t="s">
        <v>510</v>
      </c>
      <c r="F236" t="s">
        <v>765</v>
      </c>
      <c r="G236" t="s">
        <v>22</v>
      </c>
      <c r="H236" s="13">
        <v>45911</v>
      </c>
      <c r="I236" t="s">
        <v>23</v>
      </c>
      <c r="K236" t="s">
        <v>1514</v>
      </c>
      <c r="L236" t="s">
        <v>1514</v>
      </c>
      <c r="M236" t="s">
        <v>1880</v>
      </c>
      <c r="N236" t="s">
        <v>1514</v>
      </c>
      <c r="O236" t="s">
        <v>510</v>
      </c>
      <c r="P236" t="s">
        <v>1517</v>
      </c>
      <c r="Q236" t="s">
        <v>1514</v>
      </c>
      <c r="R236">
        <v>0</v>
      </c>
    </row>
    <row r="237" spans="1:18" x14ac:dyDescent="0.3">
      <c r="A237" t="s">
        <v>766</v>
      </c>
      <c r="B237" t="s">
        <v>1881</v>
      </c>
      <c r="C237" t="s">
        <v>767</v>
      </c>
      <c r="D237" t="s">
        <v>36</v>
      </c>
      <c r="E237" t="s">
        <v>67</v>
      </c>
      <c r="F237" t="s">
        <v>768</v>
      </c>
      <c r="G237" t="s">
        <v>22</v>
      </c>
      <c r="H237" s="13">
        <v>45254</v>
      </c>
      <c r="I237" t="s">
        <v>23</v>
      </c>
      <c r="J237" t="s">
        <v>17</v>
      </c>
      <c r="K237" t="s">
        <v>1514</v>
      </c>
      <c r="L237" t="s">
        <v>1514</v>
      </c>
      <c r="M237" t="s">
        <v>36</v>
      </c>
      <c r="N237" t="s">
        <v>1514</v>
      </c>
      <c r="O237" t="s">
        <v>67</v>
      </c>
      <c r="P237" t="s">
        <v>1517</v>
      </c>
      <c r="Q237" t="s">
        <v>1514</v>
      </c>
      <c r="R237">
        <v>0</v>
      </c>
    </row>
    <row r="238" spans="1:18" x14ac:dyDescent="0.3">
      <c r="A238" t="s">
        <v>769</v>
      </c>
      <c r="B238" t="s">
        <v>1882</v>
      </c>
      <c r="C238" t="s">
        <v>770</v>
      </c>
      <c r="D238" t="s">
        <v>47</v>
      </c>
      <c r="E238" t="s">
        <v>181</v>
      </c>
      <c r="F238" t="s">
        <v>771</v>
      </c>
      <c r="G238" t="s">
        <v>15</v>
      </c>
      <c r="H238" s="13">
        <v>45976</v>
      </c>
      <c r="I238" t="s">
        <v>54</v>
      </c>
      <c r="J238" t="s">
        <v>95</v>
      </c>
      <c r="K238" t="s">
        <v>1514</v>
      </c>
      <c r="L238" t="s">
        <v>1514</v>
      </c>
      <c r="M238" t="s">
        <v>1883</v>
      </c>
      <c r="N238" t="s">
        <v>1514</v>
      </c>
      <c r="O238" t="s">
        <v>181</v>
      </c>
      <c r="P238" t="s">
        <v>1517</v>
      </c>
      <c r="Q238" t="s">
        <v>1514</v>
      </c>
      <c r="R238">
        <v>0</v>
      </c>
    </row>
    <row r="239" spans="1:18" x14ac:dyDescent="0.3">
      <c r="A239" t="s">
        <v>772</v>
      </c>
      <c r="B239" t="s">
        <v>1884</v>
      </c>
      <c r="C239" t="s">
        <v>773</v>
      </c>
      <c r="D239" t="s">
        <v>12</v>
      </c>
      <c r="E239" t="s">
        <v>166</v>
      </c>
      <c r="F239" t="s">
        <v>774</v>
      </c>
      <c r="G239" t="s">
        <v>22</v>
      </c>
      <c r="H239" s="13">
        <v>45905</v>
      </c>
      <c r="I239" t="s">
        <v>54</v>
      </c>
      <c r="K239" t="s">
        <v>1514</v>
      </c>
      <c r="L239" t="s">
        <v>1514</v>
      </c>
      <c r="M239" t="s">
        <v>1885</v>
      </c>
      <c r="N239" t="s">
        <v>1514</v>
      </c>
      <c r="O239" t="s">
        <v>166</v>
      </c>
      <c r="P239" t="s">
        <v>1517</v>
      </c>
      <c r="Q239" t="s">
        <v>1514</v>
      </c>
      <c r="R239">
        <v>0</v>
      </c>
    </row>
    <row r="240" spans="1:18" x14ac:dyDescent="0.3">
      <c r="A240" t="s">
        <v>775</v>
      </c>
      <c r="B240" t="s">
        <v>1886</v>
      </c>
      <c r="C240" t="s">
        <v>776</v>
      </c>
      <c r="D240" t="s">
        <v>84</v>
      </c>
      <c r="E240" t="s">
        <v>234</v>
      </c>
      <c r="F240" t="s">
        <v>777</v>
      </c>
      <c r="G240" t="s">
        <v>22</v>
      </c>
      <c r="H240" s="13">
        <v>45765</v>
      </c>
      <c r="I240" t="s">
        <v>23</v>
      </c>
      <c r="J240" t="s">
        <v>50</v>
      </c>
      <c r="K240" t="s">
        <v>1514</v>
      </c>
      <c r="L240" t="s">
        <v>1514</v>
      </c>
      <c r="M240" t="s">
        <v>1887</v>
      </c>
      <c r="N240" t="s">
        <v>1514</v>
      </c>
      <c r="O240" t="s">
        <v>234</v>
      </c>
      <c r="P240" t="s">
        <v>1517</v>
      </c>
      <c r="Q240" t="s">
        <v>1514</v>
      </c>
      <c r="R240">
        <v>0</v>
      </c>
    </row>
    <row r="241" spans="1:18" x14ac:dyDescent="0.3">
      <c r="A241" t="s">
        <v>778</v>
      </c>
      <c r="B241" t="s">
        <v>1888</v>
      </c>
      <c r="C241" t="s">
        <v>779</v>
      </c>
      <c r="D241" t="s">
        <v>173</v>
      </c>
      <c r="E241" t="s">
        <v>328</v>
      </c>
      <c r="F241" t="s">
        <v>780</v>
      </c>
      <c r="G241" t="s">
        <v>22</v>
      </c>
      <c r="H241" s="13">
        <v>45896</v>
      </c>
      <c r="I241" t="s">
        <v>54</v>
      </c>
      <c r="J241" t="s">
        <v>24</v>
      </c>
      <c r="K241" t="s">
        <v>1514</v>
      </c>
      <c r="L241" t="s">
        <v>1514</v>
      </c>
      <c r="M241" t="s">
        <v>778</v>
      </c>
      <c r="N241" t="s">
        <v>1514</v>
      </c>
      <c r="O241" t="s">
        <v>328</v>
      </c>
      <c r="P241" t="s">
        <v>1517</v>
      </c>
      <c r="Q241" t="s">
        <v>1514</v>
      </c>
      <c r="R241">
        <v>0</v>
      </c>
    </row>
    <row r="242" spans="1:18" x14ac:dyDescent="0.3">
      <c r="A242" t="s">
        <v>781</v>
      </c>
      <c r="B242" t="s">
        <v>1889</v>
      </c>
      <c r="C242" t="s">
        <v>782</v>
      </c>
      <c r="D242" t="s">
        <v>71</v>
      </c>
      <c r="E242" t="s">
        <v>536</v>
      </c>
      <c r="F242" t="s">
        <v>783</v>
      </c>
      <c r="G242" t="s">
        <v>15</v>
      </c>
      <c r="H242" s="13">
        <v>45917</v>
      </c>
      <c r="I242" t="s">
        <v>16</v>
      </c>
      <c r="J242" t="s">
        <v>50</v>
      </c>
      <c r="K242" t="s">
        <v>1514</v>
      </c>
      <c r="L242" t="s">
        <v>1514</v>
      </c>
      <c r="M242" t="s">
        <v>1890</v>
      </c>
      <c r="N242" t="s">
        <v>1514</v>
      </c>
      <c r="O242" t="s">
        <v>536</v>
      </c>
      <c r="P242" t="s">
        <v>1517</v>
      </c>
      <c r="Q242" t="s">
        <v>1514</v>
      </c>
      <c r="R242">
        <v>0</v>
      </c>
    </row>
    <row r="243" spans="1:18" x14ac:dyDescent="0.3">
      <c r="A243" t="s">
        <v>784</v>
      </c>
      <c r="B243" t="s">
        <v>1891</v>
      </c>
      <c r="C243" t="s">
        <v>785</v>
      </c>
      <c r="D243" t="s">
        <v>36</v>
      </c>
      <c r="E243" t="s">
        <v>127</v>
      </c>
      <c r="F243" t="s">
        <v>786</v>
      </c>
      <c r="G243" t="s">
        <v>22</v>
      </c>
      <c r="H243" s="13">
        <v>44949</v>
      </c>
      <c r="I243" t="s">
        <v>23</v>
      </c>
      <c r="K243" t="s">
        <v>1514</v>
      </c>
      <c r="L243" t="s">
        <v>1514</v>
      </c>
      <c r="M243" t="s">
        <v>1892</v>
      </c>
      <c r="N243" t="s">
        <v>1514</v>
      </c>
      <c r="O243" t="s">
        <v>127</v>
      </c>
      <c r="P243" t="s">
        <v>1517</v>
      </c>
      <c r="Q243" t="s">
        <v>1514</v>
      </c>
      <c r="R243">
        <v>0</v>
      </c>
    </row>
    <row r="244" spans="1:18" x14ac:dyDescent="0.3">
      <c r="A244" t="s">
        <v>360</v>
      </c>
      <c r="B244" t="s">
        <v>1893</v>
      </c>
      <c r="C244" t="s">
        <v>787</v>
      </c>
      <c r="D244" t="s">
        <v>12</v>
      </c>
      <c r="E244" t="s">
        <v>166</v>
      </c>
      <c r="F244" t="s">
        <v>788</v>
      </c>
      <c r="G244" t="s">
        <v>22</v>
      </c>
      <c r="H244" s="13">
        <v>45771</v>
      </c>
      <c r="I244" t="s">
        <v>33</v>
      </c>
      <c r="J244" t="s">
        <v>17</v>
      </c>
      <c r="K244" t="s">
        <v>1514</v>
      </c>
      <c r="L244" t="s">
        <v>1514</v>
      </c>
      <c r="M244" t="s">
        <v>166</v>
      </c>
      <c r="N244" t="s">
        <v>1514</v>
      </c>
      <c r="O244" t="s">
        <v>166</v>
      </c>
      <c r="P244" t="s">
        <v>1517</v>
      </c>
      <c r="Q244" t="s">
        <v>1514</v>
      </c>
      <c r="R244">
        <v>0</v>
      </c>
    </row>
    <row r="245" spans="1:18" x14ac:dyDescent="0.3">
      <c r="A245" t="s">
        <v>789</v>
      </c>
      <c r="B245" t="s">
        <v>1894</v>
      </c>
      <c r="C245" t="s">
        <v>790</v>
      </c>
      <c r="D245" t="s">
        <v>12</v>
      </c>
      <c r="E245" t="s">
        <v>166</v>
      </c>
      <c r="F245" t="s">
        <v>791</v>
      </c>
      <c r="G245" t="s">
        <v>22</v>
      </c>
      <c r="H245" s="13">
        <v>45682</v>
      </c>
      <c r="I245" t="s">
        <v>39</v>
      </c>
      <c r="J245" t="s">
        <v>78</v>
      </c>
      <c r="K245" t="s">
        <v>1514</v>
      </c>
      <c r="L245" t="s">
        <v>1514</v>
      </c>
      <c r="M245" t="s">
        <v>1895</v>
      </c>
      <c r="N245" t="s">
        <v>1514</v>
      </c>
      <c r="O245" t="s">
        <v>166</v>
      </c>
      <c r="P245" t="s">
        <v>1517</v>
      </c>
      <c r="Q245" t="s">
        <v>1514</v>
      </c>
      <c r="R245">
        <v>0</v>
      </c>
    </row>
    <row r="246" spans="1:18" x14ac:dyDescent="0.3">
      <c r="A246" t="s">
        <v>792</v>
      </c>
      <c r="B246" t="s">
        <v>1896</v>
      </c>
      <c r="C246" t="s">
        <v>793</v>
      </c>
      <c r="D246" t="s">
        <v>12</v>
      </c>
      <c r="E246" t="s">
        <v>123</v>
      </c>
      <c r="F246" t="s">
        <v>794</v>
      </c>
      <c r="G246" t="s">
        <v>15</v>
      </c>
      <c r="H246" s="13">
        <v>45114</v>
      </c>
      <c r="I246" t="s">
        <v>33</v>
      </c>
      <c r="K246" t="s">
        <v>1514</v>
      </c>
      <c r="L246" t="s">
        <v>1514</v>
      </c>
      <c r="M246" t="s">
        <v>1897</v>
      </c>
      <c r="N246" t="s">
        <v>1514</v>
      </c>
      <c r="O246" t="s">
        <v>123</v>
      </c>
      <c r="P246" t="s">
        <v>1517</v>
      </c>
      <c r="Q246" t="s">
        <v>1514</v>
      </c>
      <c r="R246">
        <v>0</v>
      </c>
    </row>
    <row r="247" spans="1:18" x14ac:dyDescent="0.3">
      <c r="A247" t="s">
        <v>795</v>
      </c>
      <c r="B247" t="s">
        <v>1898</v>
      </c>
      <c r="C247" t="s">
        <v>796</v>
      </c>
      <c r="D247" t="s">
        <v>36</v>
      </c>
      <c r="E247" t="s">
        <v>162</v>
      </c>
      <c r="F247" t="s">
        <v>797</v>
      </c>
      <c r="G247" t="s">
        <v>22</v>
      </c>
      <c r="H247" s="13">
        <v>45984</v>
      </c>
      <c r="I247" t="s">
        <v>54</v>
      </c>
      <c r="K247" t="s">
        <v>1514</v>
      </c>
      <c r="L247" t="s">
        <v>1514</v>
      </c>
      <c r="M247" t="s">
        <v>1515</v>
      </c>
      <c r="N247" t="s">
        <v>1516</v>
      </c>
      <c r="O247" t="s">
        <v>162</v>
      </c>
      <c r="P247" t="s">
        <v>1517</v>
      </c>
      <c r="Q247" t="s">
        <v>1518</v>
      </c>
      <c r="R247">
        <v>1</v>
      </c>
    </row>
    <row r="248" spans="1:18" x14ac:dyDescent="0.3">
      <c r="A248" t="s">
        <v>798</v>
      </c>
      <c r="B248" t="s">
        <v>1899</v>
      </c>
      <c r="C248" t="s">
        <v>799</v>
      </c>
      <c r="D248" t="s">
        <v>27</v>
      </c>
      <c r="E248" t="s">
        <v>158</v>
      </c>
      <c r="F248" t="s">
        <v>800</v>
      </c>
      <c r="G248" t="s">
        <v>15</v>
      </c>
      <c r="H248" s="13">
        <v>45841</v>
      </c>
      <c r="I248" t="s">
        <v>39</v>
      </c>
      <c r="J248" t="s">
        <v>17</v>
      </c>
      <c r="K248" t="s">
        <v>1514</v>
      </c>
      <c r="L248" t="s">
        <v>1514</v>
      </c>
      <c r="M248" t="s">
        <v>158</v>
      </c>
      <c r="N248" t="s">
        <v>1514</v>
      </c>
      <c r="O248" t="s">
        <v>158</v>
      </c>
      <c r="P248" t="s">
        <v>1517</v>
      </c>
      <c r="Q248" t="s">
        <v>1514</v>
      </c>
      <c r="R248">
        <v>0</v>
      </c>
    </row>
    <row r="249" spans="1:18" x14ac:dyDescent="0.3">
      <c r="A249" t="s">
        <v>801</v>
      </c>
      <c r="B249" t="s">
        <v>1900</v>
      </c>
      <c r="C249" t="s">
        <v>802</v>
      </c>
      <c r="D249" t="s">
        <v>12</v>
      </c>
      <c r="E249" t="s">
        <v>138</v>
      </c>
      <c r="F249" t="s">
        <v>803</v>
      </c>
      <c r="G249" t="s">
        <v>22</v>
      </c>
      <c r="H249" s="13">
        <v>45066</v>
      </c>
      <c r="I249" t="s">
        <v>39</v>
      </c>
      <c r="K249" t="s">
        <v>1514</v>
      </c>
      <c r="L249" t="s">
        <v>1514</v>
      </c>
      <c r="M249" t="s">
        <v>1901</v>
      </c>
      <c r="N249" t="s">
        <v>1514</v>
      </c>
      <c r="O249" t="s">
        <v>138</v>
      </c>
      <c r="P249" t="s">
        <v>1517</v>
      </c>
      <c r="Q249" t="s">
        <v>1514</v>
      </c>
      <c r="R249">
        <v>0</v>
      </c>
    </row>
    <row r="250" spans="1:18" x14ac:dyDescent="0.3">
      <c r="A250" t="s">
        <v>795</v>
      </c>
      <c r="B250" t="s">
        <v>1902</v>
      </c>
      <c r="C250" t="s">
        <v>804</v>
      </c>
      <c r="D250" t="s">
        <v>36</v>
      </c>
      <c r="E250" t="s">
        <v>162</v>
      </c>
      <c r="F250" t="s">
        <v>805</v>
      </c>
      <c r="G250" t="s">
        <v>22</v>
      </c>
      <c r="H250" s="13">
        <v>45218</v>
      </c>
      <c r="I250" t="s">
        <v>33</v>
      </c>
      <c r="K250" t="s">
        <v>1514</v>
      </c>
      <c r="L250" t="s">
        <v>1514</v>
      </c>
      <c r="M250" t="s">
        <v>1515</v>
      </c>
      <c r="N250" t="s">
        <v>1516</v>
      </c>
      <c r="O250" t="s">
        <v>162</v>
      </c>
      <c r="P250" t="s">
        <v>1517</v>
      </c>
      <c r="Q250" t="s">
        <v>1518</v>
      </c>
      <c r="R250">
        <v>1</v>
      </c>
    </row>
    <row r="251" spans="1:18" x14ac:dyDescent="0.3">
      <c r="A251" t="s">
        <v>806</v>
      </c>
      <c r="B251" t="s">
        <v>1903</v>
      </c>
      <c r="C251" t="s">
        <v>807</v>
      </c>
      <c r="D251" t="s">
        <v>173</v>
      </c>
      <c r="E251" t="s">
        <v>191</v>
      </c>
      <c r="F251" t="s">
        <v>808</v>
      </c>
      <c r="G251" t="s">
        <v>22</v>
      </c>
      <c r="H251" s="13">
        <v>45150</v>
      </c>
      <c r="I251" t="s">
        <v>16</v>
      </c>
      <c r="J251" t="s">
        <v>50</v>
      </c>
      <c r="K251" t="s">
        <v>1514</v>
      </c>
      <c r="L251" t="s">
        <v>1514</v>
      </c>
      <c r="M251" t="s">
        <v>1904</v>
      </c>
      <c r="N251" t="s">
        <v>1514</v>
      </c>
      <c r="O251" t="s">
        <v>191</v>
      </c>
      <c r="P251" t="s">
        <v>1517</v>
      </c>
      <c r="Q251" t="s">
        <v>1514</v>
      </c>
      <c r="R251">
        <v>0</v>
      </c>
    </row>
    <row r="252" spans="1:18" x14ac:dyDescent="0.3">
      <c r="A252" t="s">
        <v>809</v>
      </c>
      <c r="B252" t="s">
        <v>1905</v>
      </c>
      <c r="C252" t="s">
        <v>810</v>
      </c>
      <c r="D252" t="s">
        <v>42</v>
      </c>
      <c r="E252" t="s">
        <v>305</v>
      </c>
      <c r="F252" t="s">
        <v>811</v>
      </c>
      <c r="G252" t="s">
        <v>15</v>
      </c>
      <c r="H252" s="13">
        <v>44952</v>
      </c>
      <c r="I252" t="s">
        <v>16</v>
      </c>
      <c r="K252" t="s">
        <v>1514</v>
      </c>
      <c r="L252" t="s">
        <v>1514</v>
      </c>
      <c r="M252" t="s">
        <v>1906</v>
      </c>
      <c r="N252" t="s">
        <v>1514</v>
      </c>
      <c r="O252" t="s">
        <v>305</v>
      </c>
      <c r="P252" t="s">
        <v>1517</v>
      </c>
      <c r="Q252" t="s">
        <v>1514</v>
      </c>
      <c r="R252">
        <v>0</v>
      </c>
    </row>
    <row r="253" spans="1:18" x14ac:dyDescent="0.3">
      <c r="A253" t="s">
        <v>812</v>
      </c>
      <c r="B253" t="s">
        <v>1907</v>
      </c>
      <c r="C253" t="s">
        <v>813</v>
      </c>
      <c r="D253" t="s">
        <v>84</v>
      </c>
      <c r="E253" t="s">
        <v>234</v>
      </c>
      <c r="F253" t="s">
        <v>814</v>
      </c>
      <c r="G253" t="s">
        <v>15</v>
      </c>
      <c r="H253" s="13">
        <v>44906</v>
      </c>
      <c r="I253" t="s">
        <v>23</v>
      </c>
      <c r="K253" t="s">
        <v>1514</v>
      </c>
      <c r="L253" t="s">
        <v>1514</v>
      </c>
      <c r="M253" t="s">
        <v>1908</v>
      </c>
      <c r="N253" t="s">
        <v>1514</v>
      </c>
      <c r="O253" t="s">
        <v>234</v>
      </c>
      <c r="P253" t="s">
        <v>1517</v>
      </c>
      <c r="Q253" t="s">
        <v>1514</v>
      </c>
      <c r="R253">
        <v>0</v>
      </c>
    </row>
    <row r="254" spans="1:18" x14ac:dyDescent="0.3">
      <c r="A254" t="s">
        <v>815</v>
      </c>
      <c r="B254" t="s">
        <v>1909</v>
      </c>
      <c r="C254" t="s">
        <v>816</v>
      </c>
      <c r="D254" t="s">
        <v>36</v>
      </c>
      <c r="E254" t="s">
        <v>37</v>
      </c>
      <c r="F254" t="s">
        <v>817</v>
      </c>
      <c r="G254" t="s">
        <v>15</v>
      </c>
      <c r="H254" s="13">
        <v>45597</v>
      </c>
      <c r="I254" t="s">
        <v>39</v>
      </c>
      <c r="K254" t="s">
        <v>1514</v>
      </c>
      <c r="L254" t="s">
        <v>1514</v>
      </c>
      <c r="M254" t="s">
        <v>1515</v>
      </c>
      <c r="N254" t="s">
        <v>1516</v>
      </c>
      <c r="O254" t="s">
        <v>37</v>
      </c>
      <c r="P254" t="s">
        <v>1517</v>
      </c>
      <c r="Q254" t="s">
        <v>1518</v>
      </c>
      <c r="R254">
        <v>1</v>
      </c>
    </row>
    <row r="255" spans="1:18" x14ac:dyDescent="0.3">
      <c r="A255" t="s">
        <v>818</v>
      </c>
      <c r="B255" t="s">
        <v>1910</v>
      </c>
      <c r="C255" t="s">
        <v>819</v>
      </c>
      <c r="D255" t="s">
        <v>57</v>
      </c>
      <c r="E255" t="s">
        <v>481</v>
      </c>
      <c r="F255" t="s">
        <v>820</v>
      </c>
      <c r="G255" t="s">
        <v>15</v>
      </c>
      <c r="H255" s="13">
        <v>45918</v>
      </c>
      <c r="I255" t="s">
        <v>54</v>
      </c>
      <c r="K255" t="s">
        <v>1514</v>
      </c>
      <c r="L255" t="s">
        <v>1514</v>
      </c>
      <c r="M255" t="s">
        <v>1911</v>
      </c>
      <c r="N255" t="s">
        <v>1514</v>
      </c>
      <c r="O255" t="s">
        <v>481</v>
      </c>
      <c r="P255" t="s">
        <v>1517</v>
      </c>
      <c r="Q255" t="s">
        <v>1514</v>
      </c>
      <c r="R255">
        <v>0</v>
      </c>
    </row>
    <row r="256" spans="1:18" x14ac:dyDescent="0.3">
      <c r="A256" t="s">
        <v>821</v>
      </c>
      <c r="B256" t="s">
        <v>1912</v>
      </c>
      <c r="C256" t="s">
        <v>822</v>
      </c>
      <c r="D256" t="s">
        <v>173</v>
      </c>
      <c r="E256" t="s">
        <v>398</v>
      </c>
      <c r="F256" t="s">
        <v>823</v>
      </c>
      <c r="G256" t="s">
        <v>15</v>
      </c>
      <c r="H256" s="13">
        <v>45376</v>
      </c>
      <c r="I256" t="s">
        <v>33</v>
      </c>
      <c r="K256" t="s">
        <v>1514</v>
      </c>
      <c r="L256" t="s">
        <v>1514</v>
      </c>
      <c r="M256" t="s">
        <v>1913</v>
      </c>
      <c r="N256" t="s">
        <v>1514</v>
      </c>
      <c r="O256" t="s">
        <v>398</v>
      </c>
      <c r="P256" t="s">
        <v>1517</v>
      </c>
      <c r="Q256" t="s">
        <v>1514</v>
      </c>
      <c r="R256">
        <v>0</v>
      </c>
    </row>
    <row r="257" spans="1:18" x14ac:dyDescent="0.3">
      <c r="A257" t="s">
        <v>824</v>
      </c>
      <c r="B257" t="s">
        <v>1914</v>
      </c>
      <c r="C257" t="s">
        <v>825</v>
      </c>
      <c r="D257" t="s">
        <v>173</v>
      </c>
      <c r="E257" t="s">
        <v>270</v>
      </c>
      <c r="F257" t="s">
        <v>826</v>
      </c>
      <c r="G257" t="s">
        <v>15</v>
      </c>
      <c r="H257" s="13">
        <v>45429</v>
      </c>
      <c r="I257" t="s">
        <v>16</v>
      </c>
      <c r="J257" t="s">
        <v>78</v>
      </c>
      <c r="K257" t="s">
        <v>1514</v>
      </c>
      <c r="L257" t="s">
        <v>1514</v>
      </c>
      <c r="M257" t="s">
        <v>1915</v>
      </c>
      <c r="N257" t="s">
        <v>1514</v>
      </c>
      <c r="O257" t="s">
        <v>270</v>
      </c>
      <c r="P257" t="s">
        <v>1517</v>
      </c>
      <c r="Q257" t="s">
        <v>1514</v>
      </c>
      <c r="R257">
        <v>0</v>
      </c>
    </row>
    <row r="258" spans="1:18" x14ac:dyDescent="0.3">
      <c r="A258" t="s">
        <v>827</v>
      </c>
      <c r="B258" t="s">
        <v>1916</v>
      </c>
      <c r="C258" t="s">
        <v>828</v>
      </c>
      <c r="D258" t="s">
        <v>57</v>
      </c>
      <c r="E258" t="s">
        <v>252</v>
      </c>
      <c r="F258" t="s">
        <v>829</v>
      </c>
      <c r="G258" t="s">
        <v>15</v>
      </c>
      <c r="H258" s="13">
        <v>45273</v>
      </c>
      <c r="I258" t="s">
        <v>23</v>
      </c>
      <c r="J258" t="s">
        <v>95</v>
      </c>
      <c r="K258" t="s">
        <v>1514</v>
      </c>
      <c r="L258" t="s">
        <v>1514</v>
      </c>
      <c r="M258" t="s">
        <v>1917</v>
      </c>
      <c r="N258" t="s">
        <v>1514</v>
      </c>
      <c r="O258" t="s">
        <v>252</v>
      </c>
      <c r="P258" t="s">
        <v>1517</v>
      </c>
      <c r="Q258" t="s">
        <v>1514</v>
      </c>
      <c r="R258">
        <v>0</v>
      </c>
    </row>
    <row r="259" spans="1:18" x14ac:dyDescent="0.3">
      <c r="A259" t="s">
        <v>531</v>
      </c>
      <c r="B259" t="s">
        <v>1918</v>
      </c>
      <c r="C259" t="s">
        <v>830</v>
      </c>
      <c r="D259" t="s">
        <v>71</v>
      </c>
      <c r="E259" t="s">
        <v>277</v>
      </c>
      <c r="F259" t="s">
        <v>831</v>
      </c>
      <c r="G259" t="s">
        <v>22</v>
      </c>
      <c r="H259" s="13">
        <v>45886</v>
      </c>
      <c r="I259" t="s">
        <v>33</v>
      </c>
      <c r="K259" t="s">
        <v>1514</v>
      </c>
      <c r="L259" t="s">
        <v>1514</v>
      </c>
      <c r="M259" t="s">
        <v>277</v>
      </c>
      <c r="N259" t="s">
        <v>1514</v>
      </c>
      <c r="O259" t="s">
        <v>277</v>
      </c>
      <c r="P259" t="s">
        <v>1517</v>
      </c>
      <c r="Q259" t="s">
        <v>1514</v>
      </c>
      <c r="R259">
        <v>0</v>
      </c>
    </row>
    <row r="260" spans="1:18" x14ac:dyDescent="0.3">
      <c r="A260" t="s">
        <v>832</v>
      </c>
      <c r="B260" t="s">
        <v>1919</v>
      </c>
      <c r="C260" t="s">
        <v>833</v>
      </c>
      <c r="D260" t="s">
        <v>47</v>
      </c>
      <c r="E260" t="s">
        <v>181</v>
      </c>
      <c r="F260" t="s">
        <v>834</v>
      </c>
      <c r="G260" t="s">
        <v>22</v>
      </c>
      <c r="H260" s="13">
        <v>45057</v>
      </c>
      <c r="I260" t="s">
        <v>33</v>
      </c>
      <c r="J260" t="s">
        <v>24</v>
      </c>
      <c r="K260" t="s">
        <v>1514</v>
      </c>
      <c r="L260" t="s">
        <v>1514</v>
      </c>
      <c r="M260" t="s">
        <v>1920</v>
      </c>
      <c r="N260" t="s">
        <v>1514</v>
      </c>
      <c r="O260" t="s">
        <v>181</v>
      </c>
      <c r="P260" t="s">
        <v>1517</v>
      </c>
      <c r="Q260" t="s">
        <v>1514</v>
      </c>
      <c r="R260">
        <v>0</v>
      </c>
    </row>
    <row r="261" spans="1:18" x14ac:dyDescent="0.3">
      <c r="A261" t="s">
        <v>835</v>
      </c>
      <c r="B261" t="s">
        <v>1921</v>
      </c>
      <c r="C261" t="s">
        <v>836</v>
      </c>
      <c r="D261" t="s">
        <v>12</v>
      </c>
      <c r="E261" t="s">
        <v>20</v>
      </c>
      <c r="F261" t="s">
        <v>837</v>
      </c>
      <c r="G261" t="s">
        <v>22</v>
      </c>
      <c r="H261" s="13">
        <v>45497</v>
      </c>
      <c r="I261" t="s">
        <v>54</v>
      </c>
      <c r="J261" t="s">
        <v>17</v>
      </c>
      <c r="K261" t="s">
        <v>1514</v>
      </c>
      <c r="L261" t="s">
        <v>1514</v>
      </c>
      <c r="M261" t="s">
        <v>1922</v>
      </c>
      <c r="N261" t="s">
        <v>1514</v>
      </c>
      <c r="O261" t="s">
        <v>20</v>
      </c>
      <c r="P261" t="s">
        <v>1517</v>
      </c>
      <c r="Q261" t="s">
        <v>1514</v>
      </c>
      <c r="R261">
        <v>0</v>
      </c>
    </row>
    <row r="262" spans="1:18" x14ac:dyDescent="0.3">
      <c r="A262" t="s">
        <v>570</v>
      </c>
      <c r="B262" t="s">
        <v>1923</v>
      </c>
      <c r="C262" t="s">
        <v>838</v>
      </c>
      <c r="D262" t="s">
        <v>84</v>
      </c>
      <c r="E262" t="s">
        <v>248</v>
      </c>
      <c r="F262" t="s">
        <v>839</v>
      </c>
      <c r="G262" t="s">
        <v>22</v>
      </c>
      <c r="H262" s="13">
        <v>45068</v>
      </c>
      <c r="I262" t="s">
        <v>33</v>
      </c>
      <c r="J262" t="s">
        <v>50</v>
      </c>
      <c r="K262" t="s">
        <v>1514</v>
      </c>
      <c r="L262" t="s">
        <v>1514</v>
      </c>
      <c r="M262" t="s">
        <v>1515</v>
      </c>
      <c r="N262" t="s">
        <v>1516</v>
      </c>
      <c r="O262" t="s">
        <v>248</v>
      </c>
      <c r="P262" t="s">
        <v>1517</v>
      </c>
      <c r="Q262" t="s">
        <v>1518</v>
      </c>
      <c r="R262">
        <v>1</v>
      </c>
    </row>
    <row r="263" spans="1:18" x14ac:dyDescent="0.3">
      <c r="A263" t="s">
        <v>840</v>
      </c>
      <c r="B263" t="s">
        <v>1924</v>
      </c>
      <c r="C263" t="s">
        <v>841</v>
      </c>
      <c r="D263" t="s">
        <v>62</v>
      </c>
      <c r="E263" t="s">
        <v>89</v>
      </c>
      <c r="F263" t="s">
        <v>842</v>
      </c>
      <c r="G263" t="s">
        <v>15</v>
      </c>
      <c r="H263" s="13">
        <v>45486</v>
      </c>
      <c r="I263" t="s">
        <v>23</v>
      </c>
      <c r="J263" t="s">
        <v>50</v>
      </c>
      <c r="K263" t="s">
        <v>1514</v>
      </c>
      <c r="L263" t="s">
        <v>1514</v>
      </c>
      <c r="M263" t="s">
        <v>1925</v>
      </c>
      <c r="N263" t="s">
        <v>1514</v>
      </c>
      <c r="O263" t="s">
        <v>89</v>
      </c>
      <c r="P263" t="s">
        <v>1517</v>
      </c>
      <c r="Q263" t="s">
        <v>1514</v>
      </c>
      <c r="R263">
        <v>0</v>
      </c>
    </row>
    <row r="264" spans="1:18" x14ac:dyDescent="0.3">
      <c r="A264" t="s">
        <v>843</v>
      </c>
      <c r="B264" t="s">
        <v>1926</v>
      </c>
      <c r="C264" t="s">
        <v>844</v>
      </c>
      <c r="D264" t="s">
        <v>62</v>
      </c>
      <c r="E264" t="s">
        <v>63</v>
      </c>
      <c r="F264" t="s">
        <v>845</v>
      </c>
      <c r="G264" t="s">
        <v>22</v>
      </c>
      <c r="H264" s="13">
        <v>45103</v>
      </c>
      <c r="I264" t="s">
        <v>16</v>
      </c>
      <c r="K264" t="s">
        <v>1514</v>
      </c>
      <c r="L264" t="s">
        <v>1514</v>
      </c>
      <c r="M264" t="s">
        <v>1927</v>
      </c>
      <c r="N264" t="s">
        <v>1514</v>
      </c>
      <c r="O264" t="s">
        <v>63</v>
      </c>
      <c r="P264" t="s">
        <v>1517</v>
      </c>
      <c r="Q264" t="s">
        <v>1514</v>
      </c>
      <c r="R264">
        <v>0</v>
      </c>
    </row>
    <row r="265" spans="1:18" x14ac:dyDescent="0.3">
      <c r="A265" t="s">
        <v>846</v>
      </c>
      <c r="B265" t="s">
        <v>1928</v>
      </c>
      <c r="C265" t="s">
        <v>847</v>
      </c>
      <c r="D265" t="s">
        <v>47</v>
      </c>
      <c r="E265" t="s">
        <v>425</v>
      </c>
      <c r="F265" t="s">
        <v>848</v>
      </c>
      <c r="G265" t="s">
        <v>22</v>
      </c>
      <c r="H265" s="13">
        <v>45745</v>
      </c>
      <c r="I265" t="s">
        <v>16</v>
      </c>
      <c r="J265" t="s">
        <v>17</v>
      </c>
      <c r="K265" t="s">
        <v>1514</v>
      </c>
      <c r="L265" t="s">
        <v>1514</v>
      </c>
      <c r="M265" t="s">
        <v>1929</v>
      </c>
      <c r="N265" t="s">
        <v>1514</v>
      </c>
      <c r="O265" t="s">
        <v>425</v>
      </c>
      <c r="P265" t="s">
        <v>1517</v>
      </c>
      <c r="Q265" t="s">
        <v>1514</v>
      </c>
      <c r="R265">
        <v>0</v>
      </c>
    </row>
    <row r="266" spans="1:18" x14ac:dyDescent="0.3">
      <c r="A266" t="s">
        <v>354</v>
      </c>
      <c r="B266" t="s">
        <v>1930</v>
      </c>
      <c r="C266" t="s">
        <v>849</v>
      </c>
      <c r="D266" t="s">
        <v>71</v>
      </c>
      <c r="E266" t="s">
        <v>277</v>
      </c>
      <c r="F266" t="s">
        <v>850</v>
      </c>
      <c r="G266" t="s">
        <v>22</v>
      </c>
      <c r="H266" s="13">
        <v>45300</v>
      </c>
      <c r="I266" t="s">
        <v>33</v>
      </c>
      <c r="J266" t="s">
        <v>78</v>
      </c>
      <c r="K266" t="s">
        <v>1514</v>
      </c>
      <c r="L266" t="s">
        <v>1514</v>
      </c>
      <c r="M266" t="s">
        <v>1515</v>
      </c>
      <c r="N266" t="s">
        <v>1516</v>
      </c>
      <c r="O266" t="s">
        <v>277</v>
      </c>
      <c r="P266" t="s">
        <v>1517</v>
      </c>
      <c r="Q266" t="s">
        <v>1518</v>
      </c>
      <c r="R266">
        <v>1</v>
      </c>
    </row>
    <row r="267" spans="1:18" x14ac:dyDescent="0.3">
      <c r="A267" t="s">
        <v>851</v>
      </c>
      <c r="B267" t="s">
        <v>1931</v>
      </c>
      <c r="C267" t="s">
        <v>852</v>
      </c>
      <c r="D267" t="s">
        <v>27</v>
      </c>
      <c r="E267" t="s">
        <v>158</v>
      </c>
      <c r="F267" t="s">
        <v>853</v>
      </c>
      <c r="G267" t="s">
        <v>15</v>
      </c>
      <c r="H267" s="13">
        <v>45096</v>
      </c>
      <c r="I267" t="s">
        <v>54</v>
      </c>
      <c r="J267" t="s">
        <v>78</v>
      </c>
      <c r="K267" t="s">
        <v>1514</v>
      </c>
      <c r="L267" t="s">
        <v>1514</v>
      </c>
      <c r="M267" t="s">
        <v>1515</v>
      </c>
      <c r="N267" t="s">
        <v>1516</v>
      </c>
      <c r="O267" t="s">
        <v>158</v>
      </c>
      <c r="P267" t="s">
        <v>1517</v>
      </c>
      <c r="Q267" t="s">
        <v>1518</v>
      </c>
      <c r="R267">
        <v>1</v>
      </c>
    </row>
    <row r="268" spans="1:18" x14ac:dyDescent="0.3">
      <c r="A268" t="s">
        <v>854</v>
      </c>
      <c r="B268" t="s">
        <v>1932</v>
      </c>
      <c r="C268" t="s">
        <v>855</v>
      </c>
      <c r="D268" t="s">
        <v>27</v>
      </c>
      <c r="E268" t="s">
        <v>28</v>
      </c>
      <c r="F268" t="s">
        <v>856</v>
      </c>
      <c r="G268" t="s">
        <v>15</v>
      </c>
      <c r="H268" s="13">
        <v>44918</v>
      </c>
      <c r="I268" t="s">
        <v>39</v>
      </c>
      <c r="J268" t="s">
        <v>24</v>
      </c>
      <c r="K268" t="s">
        <v>1514</v>
      </c>
      <c r="L268" t="s">
        <v>1514</v>
      </c>
      <c r="M268" t="s">
        <v>854</v>
      </c>
      <c r="N268" t="s">
        <v>1514</v>
      </c>
      <c r="O268" t="s">
        <v>28</v>
      </c>
      <c r="P268" t="s">
        <v>1517</v>
      </c>
      <c r="Q268" t="s">
        <v>1514</v>
      </c>
      <c r="R268">
        <v>0</v>
      </c>
    </row>
    <row r="269" spans="1:18" x14ac:dyDescent="0.3">
      <c r="A269" t="s">
        <v>857</v>
      </c>
      <c r="B269" t="s">
        <v>1933</v>
      </c>
      <c r="C269" t="s">
        <v>858</v>
      </c>
      <c r="D269" t="s">
        <v>173</v>
      </c>
      <c r="E269" t="s">
        <v>174</v>
      </c>
      <c r="F269" t="s">
        <v>859</v>
      </c>
      <c r="G269" t="s">
        <v>22</v>
      </c>
      <c r="H269" s="13">
        <v>45917</v>
      </c>
      <c r="I269" t="s">
        <v>54</v>
      </c>
      <c r="K269" t="s">
        <v>1514</v>
      </c>
      <c r="L269" t="s">
        <v>1514</v>
      </c>
      <c r="M269" t="s">
        <v>1934</v>
      </c>
      <c r="N269" t="s">
        <v>1514</v>
      </c>
      <c r="O269" t="s">
        <v>174</v>
      </c>
      <c r="P269" t="s">
        <v>1517</v>
      </c>
      <c r="Q269" t="s">
        <v>1514</v>
      </c>
      <c r="R269">
        <v>0</v>
      </c>
    </row>
    <row r="270" spans="1:18" x14ac:dyDescent="0.3">
      <c r="A270" t="s">
        <v>860</v>
      </c>
      <c r="B270" t="s">
        <v>1935</v>
      </c>
      <c r="C270" t="s">
        <v>861</v>
      </c>
      <c r="D270" t="s">
        <v>71</v>
      </c>
      <c r="E270" t="s">
        <v>93</v>
      </c>
      <c r="F270" t="s">
        <v>862</v>
      </c>
      <c r="G270" t="s">
        <v>22</v>
      </c>
      <c r="H270" s="13">
        <v>45604</v>
      </c>
      <c r="I270" t="s">
        <v>23</v>
      </c>
      <c r="K270" t="s">
        <v>1514</v>
      </c>
      <c r="L270" t="s">
        <v>1514</v>
      </c>
      <c r="M270" t="s">
        <v>1936</v>
      </c>
      <c r="N270" t="s">
        <v>1514</v>
      </c>
      <c r="O270" t="s">
        <v>93</v>
      </c>
      <c r="P270" t="s">
        <v>1517</v>
      </c>
      <c r="Q270" t="s">
        <v>1514</v>
      </c>
      <c r="R270">
        <v>0</v>
      </c>
    </row>
    <row r="271" spans="1:18" x14ac:dyDescent="0.3">
      <c r="A271" t="s">
        <v>863</v>
      </c>
      <c r="B271" t="s">
        <v>1937</v>
      </c>
      <c r="C271" t="s">
        <v>864</v>
      </c>
      <c r="D271" t="s">
        <v>84</v>
      </c>
      <c r="E271" t="s">
        <v>234</v>
      </c>
      <c r="F271" t="s">
        <v>865</v>
      </c>
      <c r="G271" t="s">
        <v>22</v>
      </c>
      <c r="H271" s="13">
        <v>45550</v>
      </c>
      <c r="I271" t="s">
        <v>33</v>
      </c>
      <c r="K271" t="s">
        <v>1514</v>
      </c>
      <c r="L271" t="s">
        <v>1514</v>
      </c>
      <c r="M271" t="s">
        <v>1938</v>
      </c>
      <c r="N271" t="s">
        <v>1514</v>
      </c>
      <c r="O271" t="s">
        <v>234</v>
      </c>
      <c r="P271" t="s">
        <v>1517</v>
      </c>
      <c r="Q271" t="s">
        <v>1514</v>
      </c>
      <c r="R271">
        <v>0</v>
      </c>
    </row>
    <row r="272" spans="1:18" x14ac:dyDescent="0.3">
      <c r="A272" t="s">
        <v>866</v>
      </c>
      <c r="B272" t="s">
        <v>1939</v>
      </c>
      <c r="C272" t="s">
        <v>867</v>
      </c>
      <c r="D272" t="s">
        <v>173</v>
      </c>
      <c r="E272" t="s">
        <v>398</v>
      </c>
      <c r="F272" t="s">
        <v>868</v>
      </c>
      <c r="G272" t="s">
        <v>22</v>
      </c>
      <c r="H272" s="13">
        <v>44979</v>
      </c>
      <c r="I272" t="s">
        <v>54</v>
      </c>
      <c r="K272" t="s">
        <v>1514</v>
      </c>
      <c r="L272" t="s">
        <v>1514</v>
      </c>
      <c r="M272" t="s">
        <v>1515</v>
      </c>
      <c r="N272" t="s">
        <v>1516</v>
      </c>
      <c r="O272" t="s">
        <v>398</v>
      </c>
      <c r="P272" t="s">
        <v>1517</v>
      </c>
      <c r="Q272" t="s">
        <v>1518</v>
      </c>
      <c r="R272">
        <v>1</v>
      </c>
    </row>
    <row r="273" spans="1:18" x14ac:dyDescent="0.3">
      <c r="A273" t="s">
        <v>869</v>
      </c>
      <c r="B273" t="s">
        <v>1940</v>
      </c>
      <c r="C273" t="s">
        <v>870</v>
      </c>
      <c r="D273" t="s">
        <v>42</v>
      </c>
      <c r="E273" t="s">
        <v>43</v>
      </c>
      <c r="F273" t="s">
        <v>871</v>
      </c>
      <c r="G273" t="s">
        <v>15</v>
      </c>
      <c r="H273" s="13">
        <v>45346</v>
      </c>
      <c r="I273" t="s">
        <v>33</v>
      </c>
      <c r="K273" t="s">
        <v>1514</v>
      </c>
      <c r="L273" t="s">
        <v>1514</v>
      </c>
      <c r="M273" t="s">
        <v>1941</v>
      </c>
      <c r="N273" t="s">
        <v>1514</v>
      </c>
      <c r="O273" t="s">
        <v>43</v>
      </c>
      <c r="P273" t="s">
        <v>1517</v>
      </c>
      <c r="Q273" t="s">
        <v>1514</v>
      </c>
      <c r="R273">
        <v>0</v>
      </c>
    </row>
    <row r="274" spans="1:18" x14ac:dyDescent="0.3">
      <c r="A274" t="s">
        <v>567</v>
      </c>
      <c r="B274" t="s">
        <v>1942</v>
      </c>
      <c r="C274" t="s">
        <v>872</v>
      </c>
      <c r="D274" t="s">
        <v>71</v>
      </c>
      <c r="E274" t="s">
        <v>536</v>
      </c>
      <c r="F274" t="s">
        <v>873</v>
      </c>
      <c r="G274" t="s">
        <v>22</v>
      </c>
      <c r="H274" s="13">
        <v>45089</v>
      </c>
      <c r="I274" t="s">
        <v>33</v>
      </c>
      <c r="K274" t="s">
        <v>1514</v>
      </c>
      <c r="L274" t="s">
        <v>1514</v>
      </c>
      <c r="M274" t="s">
        <v>1515</v>
      </c>
      <c r="N274" t="s">
        <v>1516</v>
      </c>
      <c r="O274" t="s">
        <v>536</v>
      </c>
      <c r="P274" t="s">
        <v>1517</v>
      </c>
      <c r="Q274" t="s">
        <v>1518</v>
      </c>
      <c r="R274">
        <v>1</v>
      </c>
    </row>
    <row r="275" spans="1:18" x14ac:dyDescent="0.3">
      <c r="A275" t="s">
        <v>874</v>
      </c>
      <c r="B275" t="s">
        <v>1943</v>
      </c>
      <c r="C275" t="s">
        <v>875</v>
      </c>
      <c r="D275" t="s">
        <v>42</v>
      </c>
      <c r="E275" t="s">
        <v>305</v>
      </c>
      <c r="F275" t="s">
        <v>876</v>
      </c>
      <c r="G275" t="s">
        <v>15</v>
      </c>
      <c r="H275" s="13">
        <v>45766</v>
      </c>
      <c r="I275" t="s">
        <v>39</v>
      </c>
      <c r="J275" t="s">
        <v>24</v>
      </c>
      <c r="K275" t="s">
        <v>1514</v>
      </c>
      <c r="L275" t="s">
        <v>1514</v>
      </c>
      <c r="M275" t="s">
        <v>1515</v>
      </c>
      <c r="N275" t="s">
        <v>1516</v>
      </c>
      <c r="O275" t="s">
        <v>305</v>
      </c>
      <c r="P275" t="s">
        <v>1517</v>
      </c>
      <c r="Q275" t="s">
        <v>1518</v>
      </c>
      <c r="R275">
        <v>1</v>
      </c>
    </row>
    <row r="276" spans="1:18" x14ac:dyDescent="0.3">
      <c r="A276" t="s">
        <v>140</v>
      </c>
      <c r="B276" t="s">
        <v>1944</v>
      </c>
      <c r="C276" t="s">
        <v>877</v>
      </c>
      <c r="D276" t="s">
        <v>47</v>
      </c>
      <c r="E276" t="s">
        <v>48</v>
      </c>
      <c r="F276" t="s">
        <v>878</v>
      </c>
      <c r="G276" t="s">
        <v>22</v>
      </c>
      <c r="H276" s="13">
        <v>44908</v>
      </c>
      <c r="I276" t="s">
        <v>23</v>
      </c>
      <c r="J276" t="s">
        <v>24</v>
      </c>
      <c r="K276" t="s">
        <v>1514</v>
      </c>
      <c r="L276" t="s">
        <v>1514</v>
      </c>
      <c r="M276" t="s">
        <v>48</v>
      </c>
      <c r="N276" t="s">
        <v>1514</v>
      </c>
      <c r="O276" t="s">
        <v>48</v>
      </c>
      <c r="P276" t="s">
        <v>1517</v>
      </c>
      <c r="Q276" t="s">
        <v>1514</v>
      </c>
      <c r="R276">
        <v>0</v>
      </c>
    </row>
    <row r="277" spans="1:18" x14ac:dyDescent="0.3">
      <c r="A277" t="s">
        <v>879</v>
      </c>
      <c r="B277" t="s">
        <v>1945</v>
      </c>
      <c r="C277" t="s">
        <v>880</v>
      </c>
      <c r="D277" t="s">
        <v>47</v>
      </c>
      <c r="E277" t="s">
        <v>425</v>
      </c>
      <c r="F277" t="s">
        <v>881</v>
      </c>
      <c r="G277" t="s">
        <v>22</v>
      </c>
      <c r="H277" s="13">
        <v>45306</v>
      </c>
      <c r="I277" t="s">
        <v>39</v>
      </c>
      <c r="J277" t="s">
        <v>78</v>
      </c>
      <c r="K277" t="s">
        <v>1514</v>
      </c>
      <c r="L277" t="s">
        <v>1514</v>
      </c>
      <c r="M277" t="s">
        <v>47</v>
      </c>
      <c r="N277" t="s">
        <v>1514</v>
      </c>
      <c r="O277" t="s">
        <v>425</v>
      </c>
      <c r="P277" t="s">
        <v>1517</v>
      </c>
      <c r="Q277" t="s">
        <v>1514</v>
      </c>
      <c r="R277">
        <v>0</v>
      </c>
    </row>
    <row r="278" spans="1:18" x14ac:dyDescent="0.3">
      <c r="A278" t="s">
        <v>882</v>
      </c>
      <c r="B278" t="s">
        <v>1946</v>
      </c>
      <c r="C278" t="s">
        <v>883</v>
      </c>
      <c r="D278" t="s">
        <v>71</v>
      </c>
      <c r="E278" t="s">
        <v>93</v>
      </c>
      <c r="F278" t="s">
        <v>884</v>
      </c>
      <c r="G278" t="s">
        <v>15</v>
      </c>
      <c r="H278" s="13">
        <v>45606</v>
      </c>
      <c r="I278" t="s">
        <v>33</v>
      </c>
      <c r="J278" t="s">
        <v>95</v>
      </c>
      <c r="K278" t="s">
        <v>1514</v>
      </c>
      <c r="L278" t="s">
        <v>1514</v>
      </c>
      <c r="M278" t="s">
        <v>1947</v>
      </c>
      <c r="N278" t="s">
        <v>1514</v>
      </c>
      <c r="O278" t="s">
        <v>93</v>
      </c>
      <c r="P278" t="s">
        <v>1517</v>
      </c>
      <c r="Q278" t="s">
        <v>1514</v>
      </c>
      <c r="R278">
        <v>0</v>
      </c>
    </row>
    <row r="279" spans="1:18" x14ac:dyDescent="0.3">
      <c r="A279" t="s">
        <v>525</v>
      </c>
      <c r="B279" t="s">
        <v>1948</v>
      </c>
      <c r="C279" t="s">
        <v>885</v>
      </c>
      <c r="D279" t="s">
        <v>36</v>
      </c>
      <c r="E279" t="s">
        <v>37</v>
      </c>
      <c r="F279" t="s">
        <v>886</v>
      </c>
      <c r="G279" t="s">
        <v>15</v>
      </c>
      <c r="H279" s="13">
        <v>45055</v>
      </c>
      <c r="I279" t="s">
        <v>54</v>
      </c>
      <c r="J279" t="s">
        <v>24</v>
      </c>
      <c r="K279" t="s">
        <v>1514</v>
      </c>
      <c r="L279" t="s">
        <v>1514</v>
      </c>
      <c r="M279" t="s">
        <v>36</v>
      </c>
      <c r="N279" t="s">
        <v>1514</v>
      </c>
      <c r="O279" t="s">
        <v>37</v>
      </c>
      <c r="P279" t="s">
        <v>1517</v>
      </c>
      <c r="Q279" t="s">
        <v>1514</v>
      </c>
      <c r="R279">
        <v>0</v>
      </c>
    </row>
    <row r="280" spans="1:18" x14ac:dyDescent="0.3">
      <c r="A280" t="s">
        <v>887</v>
      </c>
      <c r="B280" t="s">
        <v>1949</v>
      </c>
      <c r="C280" t="s">
        <v>888</v>
      </c>
      <c r="D280" t="s">
        <v>62</v>
      </c>
      <c r="E280" t="s">
        <v>154</v>
      </c>
      <c r="F280" t="s">
        <v>889</v>
      </c>
      <c r="G280" t="s">
        <v>22</v>
      </c>
      <c r="H280" s="13">
        <v>45412</v>
      </c>
      <c r="I280" t="s">
        <v>16</v>
      </c>
      <c r="K280" t="s">
        <v>1514</v>
      </c>
      <c r="L280" t="s">
        <v>1514</v>
      </c>
      <c r="M280" t="s">
        <v>154</v>
      </c>
      <c r="N280" t="s">
        <v>1514</v>
      </c>
      <c r="O280" t="s">
        <v>154</v>
      </c>
      <c r="P280" t="s">
        <v>1517</v>
      </c>
      <c r="Q280" t="s">
        <v>1514</v>
      </c>
      <c r="R280">
        <v>0</v>
      </c>
    </row>
    <row r="281" spans="1:18" x14ac:dyDescent="0.3">
      <c r="A281" t="s">
        <v>890</v>
      </c>
      <c r="B281" t="s">
        <v>1950</v>
      </c>
      <c r="C281" t="s">
        <v>891</v>
      </c>
      <c r="D281" t="s">
        <v>173</v>
      </c>
      <c r="E281" t="s">
        <v>398</v>
      </c>
      <c r="F281" t="s">
        <v>892</v>
      </c>
      <c r="G281" t="s">
        <v>15</v>
      </c>
      <c r="H281" s="13">
        <v>45513</v>
      </c>
      <c r="I281" t="s">
        <v>23</v>
      </c>
      <c r="K281" t="s">
        <v>1514</v>
      </c>
      <c r="L281" t="s">
        <v>1514</v>
      </c>
      <c r="M281" t="s">
        <v>890</v>
      </c>
      <c r="N281" t="s">
        <v>1514</v>
      </c>
      <c r="O281" t="s">
        <v>398</v>
      </c>
      <c r="P281" t="s">
        <v>1517</v>
      </c>
      <c r="Q281" t="s">
        <v>1514</v>
      </c>
      <c r="R281">
        <v>0</v>
      </c>
    </row>
    <row r="282" spans="1:18" x14ac:dyDescent="0.3">
      <c r="A282" t="s">
        <v>893</v>
      </c>
      <c r="B282" t="s">
        <v>1951</v>
      </c>
      <c r="C282" t="s">
        <v>894</v>
      </c>
      <c r="D282" t="s">
        <v>173</v>
      </c>
      <c r="E282" t="s">
        <v>328</v>
      </c>
      <c r="F282" t="s">
        <v>895</v>
      </c>
      <c r="G282" t="s">
        <v>22</v>
      </c>
      <c r="H282" s="13">
        <v>45303</v>
      </c>
      <c r="I282" t="s">
        <v>16</v>
      </c>
      <c r="K282" t="s">
        <v>1514</v>
      </c>
      <c r="L282" t="s">
        <v>1514</v>
      </c>
      <c r="M282" t="s">
        <v>1952</v>
      </c>
      <c r="N282" t="s">
        <v>1514</v>
      </c>
      <c r="O282" t="s">
        <v>328</v>
      </c>
      <c r="P282" t="s">
        <v>1517</v>
      </c>
      <c r="Q282" t="s">
        <v>1514</v>
      </c>
      <c r="R282">
        <v>0</v>
      </c>
    </row>
    <row r="283" spans="1:18" x14ac:dyDescent="0.3">
      <c r="A283" t="s">
        <v>896</v>
      </c>
      <c r="B283" t="s">
        <v>1953</v>
      </c>
      <c r="C283" t="s">
        <v>897</v>
      </c>
      <c r="D283" t="s">
        <v>36</v>
      </c>
      <c r="E283" t="s">
        <v>162</v>
      </c>
      <c r="F283" t="s">
        <v>898</v>
      </c>
      <c r="G283" t="s">
        <v>22</v>
      </c>
      <c r="H283" s="13">
        <v>44979</v>
      </c>
      <c r="I283" t="s">
        <v>23</v>
      </c>
      <c r="K283" t="s">
        <v>1514</v>
      </c>
      <c r="L283" t="s">
        <v>1514</v>
      </c>
      <c r="M283" t="s">
        <v>1954</v>
      </c>
      <c r="N283" t="s">
        <v>1514</v>
      </c>
      <c r="O283" t="s">
        <v>162</v>
      </c>
      <c r="P283" t="s">
        <v>1517</v>
      </c>
      <c r="Q283" t="s">
        <v>1514</v>
      </c>
      <c r="R283">
        <v>0</v>
      </c>
    </row>
    <row r="284" spans="1:18" x14ac:dyDescent="0.3">
      <c r="A284" t="s">
        <v>899</v>
      </c>
      <c r="B284" t="s">
        <v>1955</v>
      </c>
      <c r="C284" t="s">
        <v>900</v>
      </c>
      <c r="D284" t="s">
        <v>57</v>
      </c>
      <c r="E284" t="s">
        <v>223</v>
      </c>
      <c r="F284" t="s">
        <v>901</v>
      </c>
      <c r="G284" t="s">
        <v>15</v>
      </c>
      <c r="H284" s="13">
        <v>45232</v>
      </c>
      <c r="I284" t="s">
        <v>33</v>
      </c>
      <c r="J284" t="s">
        <v>78</v>
      </c>
      <c r="K284" t="s">
        <v>1514</v>
      </c>
      <c r="L284" t="s">
        <v>1514</v>
      </c>
      <c r="M284" t="s">
        <v>1956</v>
      </c>
      <c r="N284" t="s">
        <v>1514</v>
      </c>
      <c r="O284" t="s">
        <v>223</v>
      </c>
      <c r="P284" t="s">
        <v>1517</v>
      </c>
      <c r="Q284" t="s">
        <v>1514</v>
      </c>
      <c r="R284">
        <v>0</v>
      </c>
    </row>
    <row r="285" spans="1:18" x14ac:dyDescent="0.3">
      <c r="A285" t="s">
        <v>146</v>
      </c>
      <c r="B285" t="s">
        <v>1957</v>
      </c>
      <c r="C285" t="s">
        <v>902</v>
      </c>
      <c r="D285" t="s">
        <v>27</v>
      </c>
      <c r="E285" t="s">
        <v>98</v>
      </c>
      <c r="F285" t="s">
        <v>903</v>
      </c>
      <c r="G285" t="s">
        <v>15</v>
      </c>
      <c r="H285" s="13">
        <v>45212</v>
      </c>
      <c r="I285" t="s">
        <v>16</v>
      </c>
      <c r="J285" t="s">
        <v>50</v>
      </c>
      <c r="K285" t="s">
        <v>1514</v>
      </c>
      <c r="L285" t="s">
        <v>1514</v>
      </c>
      <c r="M285" t="s">
        <v>27</v>
      </c>
      <c r="N285" t="s">
        <v>1514</v>
      </c>
      <c r="O285" t="s">
        <v>98</v>
      </c>
      <c r="P285" t="s">
        <v>1517</v>
      </c>
      <c r="Q285" t="s">
        <v>1514</v>
      </c>
      <c r="R285">
        <v>0</v>
      </c>
    </row>
    <row r="286" spans="1:18" x14ac:dyDescent="0.3">
      <c r="A286" t="s">
        <v>815</v>
      </c>
      <c r="B286" t="s">
        <v>1958</v>
      </c>
      <c r="C286" t="s">
        <v>904</v>
      </c>
      <c r="D286" t="s">
        <v>36</v>
      </c>
      <c r="E286" t="s">
        <v>37</v>
      </c>
      <c r="F286" t="s">
        <v>905</v>
      </c>
      <c r="G286" t="s">
        <v>22</v>
      </c>
      <c r="H286" s="13">
        <v>45273</v>
      </c>
      <c r="I286" t="s">
        <v>23</v>
      </c>
      <c r="K286" t="s">
        <v>1514</v>
      </c>
      <c r="L286" t="s">
        <v>1514</v>
      </c>
      <c r="M286" t="s">
        <v>1515</v>
      </c>
      <c r="N286" t="s">
        <v>1516</v>
      </c>
      <c r="O286" t="s">
        <v>37</v>
      </c>
      <c r="P286" t="s">
        <v>1517</v>
      </c>
      <c r="Q286" t="s">
        <v>1518</v>
      </c>
      <c r="R286">
        <v>1</v>
      </c>
    </row>
    <row r="287" spans="1:18" x14ac:dyDescent="0.3">
      <c r="A287" t="s">
        <v>906</v>
      </c>
      <c r="B287" t="s">
        <v>1959</v>
      </c>
      <c r="C287" t="s">
        <v>907</v>
      </c>
      <c r="D287" t="s">
        <v>71</v>
      </c>
      <c r="E287" t="s">
        <v>277</v>
      </c>
      <c r="F287" t="s">
        <v>908</v>
      </c>
      <c r="G287" t="s">
        <v>15</v>
      </c>
      <c r="H287" s="13">
        <v>45880</v>
      </c>
      <c r="I287" t="s">
        <v>39</v>
      </c>
      <c r="J287" t="s">
        <v>50</v>
      </c>
      <c r="K287" t="s">
        <v>1514</v>
      </c>
      <c r="L287" t="s">
        <v>1514</v>
      </c>
      <c r="M287" t="s">
        <v>1960</v>
      </c>
      <c r="N287" t="s">
        <v>1514</v>
      </c>
      <c r="O287" t="s">
        <v>277</v>
      </c>
      <c r="P287" t="s">
        <v>1517</v>
      </c>
      <c r="Q287" t="s">
        <v>1514</v>
      </c>
      <c r="R287">
        <v>0</v>
      </c>
    </row>
    <row r="288" spans="1:18" x14ac:dyDescent="0.3">
      <c r="A288" t="s">
        <v>909</v>
      </c>
      <c r="B288" t="s">
        <v>1961</v>
      </c>
      <c r="C288" t="s">
        <v>910</v>
      </c>
      <c r="D288" t="s">
        <v>62</v>
      </c>
      <c r="E288" t="s">
        <v>154</v>
      </c>
      <c r="F288" t="s">
        <v>911</v>
      </c>
      <c r="G288" t="s">
        <v>15</v>
      </c>
      <c r="H288" s="13">
        <v>45104</v>
      </c>
      <c r="I288" t="s">
        <v>54</v>
      </c>
      <c r="K288" t="s">
        <v>1514</v>
      </c>
      <c r="L288" t="s">
        <v>1514</v>
      </c>
      <c r="M288" t="s">
        <v>1962</v>
      </c>
      <c r="N288" t="s">
        <v>1514</v>
      </c>
      <c r="O288" t="s">
        <v>154</v>
      </c>
      <c r="P288" t="s">
        <v>1517</v>
      </c>
      <c r="Q288" t="s">
        <v>1514</v>
      </c>
      <c r="R288">
        <v>0</v>
      </c>
    </row>
    <row r="289" spans="1:18" x14ac:dyDescent="0.3">
      <c r="A289" t="s">
        <v>912</v>
      </c>
      <c r="B289" t="s">
        <v>1963</v>
      </c>
      <c r="C289" t="s">
        <v>913</v>
      </c>
      <c r="D289" t="s">
        <v>62</v>
      </c>
      <c r="E289" t="s">
        <v>316</v>
      </c>
      <c r="F289" t="s">
        <v>914</v>
      </c>
      <c r="G289" t="s">
        <v>22</v>
      </c>
      <c r="H289" s="13">
        <v>45719</v>
      </c>
      <c r="I289" t="s">
        <v>16</v>
      </c>
      <c r="J289" t="s">
        <v>17</v>
      </c>
      <c r="K289" t="s">
        <v>1514</v>
      </c>
      <c r="L289" t="s">
        <v>1514</v>
      </c>
      <c r="M289" t="s">
        <v>1964</v>
      </c>
      <c r="N289" t="s">
        <v>1514</v>
      </c>
      <c r="O289" t="s">
        <v>316</v>
      </c>
      <c r="P289" t="s">
        <v>1517</v>
      </c>
      <c r="Q289" t="s">
        <v>1514</v>
      </c>
      <c r="R289">
        <v>0</v>
      </c>
    </row>
    <row r="290" spans="1:18" x14ac:dyDescent="0.3">
      <c r="A290" t="s">
        <v>915</v>
      </c>
      <c r="B290" t="s">
        <v>1965</v>
      </c>
      <c r="C290" t="s">
        <v>916</v>
      </c>
      <c r="D290" t="s">
        <v>36</v>
      </c>
      <c r="E290" t="s">
        <v>162</v>
      </c>
      <c r="F290" t="s">
        <v>917</v>
      </c>
      <c r="G290" t="s">
        <v>22</v>
      </c>
      <c r="H290" s="13">
        <v>45696</v>
      </c>
      <c r="I290" t="s">
        <v>23</v>
      </c>
      <c r="J290" t="s">
        <v>50</v>
      </c>
      <c r="K290" t="s">
        <v>1514</v>
      </c>
      <c r="L290" t="s">
        <v>1514</v>
      </c>
      <c r="M290" t="s">
        <v>1966</v>
      </c>
      <c r="N290" t="s">
        <v>1514</v>
      </c>
      <c r="O290" t="s">
        <v>162</v>
      </c>
      <c r="P290" t="s">
        <v>1517</v>
      </c>
      <c r="Q290" t="s">
        <v>1514</v>
      </c>
      <c r="R290">
        <v>0</v>
      </c>
    </row>
    <row r="291" spans="1:18" x14ac:dyDescent="0.3">
      <c r="A291" t="s">
        <v>652</v>
      </c>
      <c r="B291" t="s">
        <v>1967</v>
      </c>
      <c r="C291" t="s">
        <v>918</v>
      </c>
      <c r="D291" t="s">
        <v>47</v>
      </c>
      <c r="E291" t="s">
        <v>181</v>
      </c>
      <c r="F291" t="s">
        <v>919</v>
      </c>
      <c r="G291" t="s">
        <v>15</v>
      </c>
      <c r="H291" s="13">
        <v>45154</v>
      </c>
      <c r="I291" t="s">
        <v>54</v>
      </c>
      <c r="J291" t="s">
        <v>24</v>
      </c>
      <c r="K291" t="s">
        <v>1514</v>
      </c>
      <c r="L291" t="s">
        <v>1514</v>
      </c>
      <c r="M291" t="s">
        <v>47</v>
      </c>
      <c r="N291" t="s">
        <v>1514</v>
      </c>
      <c r="O291" t="s">
        <v>181</v>
      </c>
      <c r="P291" t="s">
        <v>1517</v>
      </c>
      <c r="Q291" t="s">
        <v>1514</v>
      </c>
      <c r="R291">
        <v>0</v>
      </c>
    </row>
    <row r="292" spans="1:18" x14ac:dyDescent="0.3">
      <c r="A292" t="s">
        <v>354</v>
      </c>
      <c r="B292" t="s">
        <v>1968</v>
      </c>
      <c r="C292" t="s">
        <v>920</v>
      </c>
      <c r="D292" t="s">
        <v>71</v>
      </c>
      <c r="E292" t="s">
        <v>277</v>
      </c>
      <c r="F292" t="s">
        <v>921</v>
      </c>
      <c r="G292" t="s">
        <v>22</v>
      </c>
      <c r="H292" s="13">
        <v>44952</v>
      </c>
      <c r="I292" t="s">
        <v>23</v>
      </c>
      <c r="K292" t="s">
        <v>1514</v>
      </c>
      <c r="L292" t="s">
        <v>1514</v>
      </c>
      <c r="M292" t="s">
        <v>1515</v>
      </c>
      <c r="N292" t="s">
        <v>1516</v>
      </c>
      <c r="O292" t="s">
        <v>277</v>
      </c>
      <c r="P292" t="s">
        <v>1517</v>
      </c>
      <c r="Q292" t="s">
        <v>1518</v>
      </c>
      <c r="R292">
        <v>1</v>
      </c>
    </row>
    <row r="293" spans="1:18" x14ac:dyDescent="0.3">
      <c r="A293" t="s">
        <v>922</v>
      </c>
      <c r="B293" t="s">
        <v>1969</v>
      </c>
      <c r="C293" t="s">
        <v>923</v>
      </c>
      <c r="D293" t="s">
        <v>42</v>
      </c>
      <c r="E293" t="s">
        <v>503</v>
      </c>
      <c r="F293" t="s">
        <v>924</v>
      </c>
      <c r="G293" t="s">
        <v>15</v>
      </c>
      <c r="H293" s="13">
        <v>45920</v>
      </c>
      <c r="I293" t="s">
        <v>23</v>
      </c>
      <c r="J293" t="s">
        <v>50</v>
      </c>
      <c r="K293" t="s">
        <v>1514</v>
      </c>
      <c r="L293" t="s">
        <v>1514</v>
      </c>
      <c r="M293" t="s">
        <v>1970</v>
      </c>
      <c r="N293" t="s">
        <v>1514</v>
      </c>
      <c r="O293" t="s">
        <v>503</v>
      </c>
      <c r="P293" t="s">
        <v>1517</v>
      </c>
      <c r="Q293" t="s">
        <v>1514</v>
      </c>
      <c r="R293">
        <v>0</v>
      </c>
    </row>
    <row r="294" spans="1:18" x14ac:dyDescent="0.3">
      <c r="A294" t="s">
        <v>925</v>
      </c>
      <c r="B294" t="s">
        <v>1971</v>
      </c>
      <c r="C294" t="s">
        <v>926</v>
      </c>
      <c r="D294" t="s">
        <v>36</v>
      </c>
      <c r="E294" t="s">
        <v>127</v>
      </c>
      <c r="F294" t="s">
        <v>927</v>
      </c>
      <c r="G294" t="s">
        <v>15</v>
      </c>
      <c r="H294" s="13">
        <v>45895</v>
      </c>
      <c r="I294" t="s">
        <v>23</v>
      </c>
      <c r="J294" t="s">
        <v>78</v>
      </c>
      <c r="K294" t="s">
        <v>1514</v>
      </c>
      <c r="L294" t="s">
        <v>1514</v>
      </c>
      <c r="M294" t="s">
        <v>1515</v>
      </c>
      <c r="N294" t="s">
        <v>1516</v>
      </c>
      <c r="O294" t="s">
        <v>127</v>
      </c>
      <c r="P294" t="s">
        <v>1517</v>
      </c>
      <c r="Q294" t="s">
        <v>1518</v>
      </c>
      <c r="R294">
        <v>1</v>
      </c>
    </row>
    <row r="295" spans="1:18" x14ac:dyDescent="0.3">
      <c r="A295" t="s">
        <v>928</v>
      </c>
      <c r="B295" t="s">
        <v>1972</v>
      </c>
      <c r="C295" t="s">
        <v>929</v>
      </c>
      <c r="D295" t="s">
        <v>47</v>
      </c>
      <c r="E295" t="s">
        <v>48</v>
      </c>
      <c r="F295" t="s">
        <v>930</v>
      </c>
      <c r="G295" t="s">
        <v>15</v>
      </c>
      <c r="H295" s="13">
        <v>45871</v>
      </c>
      <c r="I295" t="s">
        <v>33</v>
      </c>
      <c r="K295" t="s">
        <v>1514</v>
      </c>
      <c r="L295" t="s">
        <v>1514</v>
      </c>
      <c r="M295" t="s">
        <v>1973</v>
      </c>
      <c r="N295" t="s">
        <v>1514</v>
      </c>
      <c r="O295" t="s">
        <v>48</v>
      </c>
      <c r="P295" t="s">
        <v>1517</v>
      </c>
      <c r="Q295" t="s">
        <v>1514</v>
      </c>
      <c r="R295">
        <v>0</v>
      </c>
    </row>
    <row r="296" spans="1:18" x14ac:dyDescent="0.3">
      <c r="A296" t="s">
        <v>931</v>
      </c>
      <c r="B296" t="s">
        <v>1974</v>
      </c>
      <c r="C296" t="s">
        <v>932</v>
      </c>
      <c r="D296" t="s">
        <v>84</v>
      </c>
      <c r="E296" t="s">
        <v>234</v>
      </c>
      <c r="F296" t="s">
        <v>933</v>
      </c>
      <c r="G296" t="s">
        <v>15</v>
      </c>
      <c r="H296" s="13">
        <v>45443</v>
      </c>
      <c r="I296" t="s">
        <v>39</v>
      </c>
      <c r="K296" t="s">
        <v>1514</v>
      </c>
      <c r="L296" t="s">
        <v>1514</v>
      </c>
      <c r="M296" t="s">
        <v>1975</v>
      </c>
      <c r="N296" t="s">
        <v>1514</v>
      </c>
      <c r="O296" t="s">
        <v>234</v>
      </c>
      <c r="P296" t="s">
        <v>1517</v>
      </c>
      <c r="Q296" t="s">
        <v>1514</v>
      </c>
      <c r="R296">
        <v>0</v>
      </c>
    </row>
    <row r="297" spans="1:18" x14ac:dyDescent="0.3">
      <c r="A297" t="s">
        <v>934</v>
      </c>
      <c r="B297" t="s">
        <v>1976</v>
      </c>
      <c r="C297" t="s">
        <v>935</v>
      </c>
      <c r="D297" t="s">
        <v>84</v>
      </c>
      <c r="E297" t="s">
        <v>234</v>
      </c>
      <c r="F297" t="s">
        <v>936</v>
      </c>
      <c r="G297" t="s">
        <v>15</v>
      </c>
      <c r="H297" s="13">
        <v>45941</v>
      </c>
      <c r="I297" t="s">
        <v>16</v>
      </c>
      <c r="K297" t="s">
        <v>1514</v>
      </c>
      <c r="L297" t="s">
        <v>1514</v>
      </c>
      <c r="M297" t="s">
        <v>1977</v>
      </c>
      <c r="N297" t="s">
        <v>1514</v>
      </c>
      <c r="O297" t="s">
        <v>234</v>
      </c>
      <c r="P297" t="s">
        <v>1517</v>
      </c>
      <c r="Q297" t="s">
        <v>1514</v>
      </c>
      <c r="R297">
        <v>0</v>
      </c>
    </row>
    <row r="298" spans="1:18" x14ac:dyDescent="0.3">
      <c r="A298" t="s">
        <v>937</v>
      </c>
      <c r="B298" t="s">
        <v>1978</v>
      </c>
      <c r="C298" t="s">
        <v>938</v>
      </c>
      <c r="D298" t="s">
        <v>27</v>
      </c>
      <c r="E298" t="s">
        <v>28</v>
      </c>
      <c r="F298" t="s">
        <v>939</v>
      </c>
      <c r="G298" t="s">
        <v>15</v>
      </c>
      <c r="H298" s="13">
        <v>45711</v>
      </c>
      <c r="I298" t="s">
        <v>39</v>
      </c>
      <c r="K298" t="s">
        <v>1514</v>
      </c>
      <c r="L298" t="s">
        <v>1514</v>
      </c>
      <c r="M298" t="s">
        <v>1979</v>
      </c>
      <c r="N298" t="s">
        <v>1514</v>
      </c>
      <c r="O298" t="s">
        <v>28</v>
      </c>
      <c r="P298" t="s">
        <v>1517</v>
      </c>
      <c r="Q298" t="s">
        <v>1514</v>
      </c>
      <c r="R298">
        <v>0</v>
      </c>
    </row>
    <row r="299" spans="1:18" x14ac:dyDescent="0.3">
      <c r="A299" t="s">
        <v>940</v>
      </c>
      <c r="B299" t="s">
        <v>1980</v>
      </c>
      <c r="C299" t="s">
        <v>941</v>
      </c>
      <c r="D299" t="s">
        <v>47</v>
      </c>
      <c r="E299" t="s">
        <v>575</v>
      </c>
      <c r="F299" t="s">
        <v>942</v>
      </c>
      <c r="G299" t="s">
        <v>22</v>
      </c>
      <c r="H299" s="13">
        <v>45134</v>
      </c>
      <c r="I299" t="s">
        <v>54</v>
      </c>
      <c r="K299" t="s">
        <v>1514</v>
      </c>
      <c r="L299" t="s">
        <v>1514</v>
      </c>
      <c r="M299" t="s">
        <v>1515</v>
      </c>
      <c r="N299" t="s">
        <v>1516</v>
      </c>
      <c r="O299" t="s">
        <v>575</v>
      </c>
      <c r="P299" t="s">
        <v>1517</v>
      </c>
      <c r="Q299" t="s">
        <v>1518</v>
      </c>
      <c r="R299">
        <v>1</v>
      </c>
    </row>
    <row r="300" spans="1:18" x14ac:dyDescent="0.3">
      <c r="A300" t="s">
        <v>943</v>
      </c>
      <c r="B300" t="s">
        <v>1981</v>
      </c>
      <c r="C300" t="s">
        <v>944</v>
      </c>
      <c r="D300" t="s">
        <v>27</v>
      </c>
      <c r="E300" t="s">
        <v>28</v>
      </c>
      <c r="F300" t="s">
        <v>945</v>
      </c>
      <c r="G300" t="s">
        <v>22</v>
      </c>
      <c r="H300" s="13">
        <v>45287</v>
      </c>
      <c r="I300" t="s">
        <v>54</v>
      </c>
      <c r="J300" t="s">
        <v>24</v>
      </c>
      <c r="K300" t="s">
        <v>1514</v>
      </c>
      <c r="L300" t="s">
        <v>1514</v>
      </c>
      <c r="M300" t="s">
        <v>1982</v>
      </c>
      <c r="N300" t="s">
        <v>1514</v>
      </c>
      <c r="O300" t="s">
        <v>28</v>
      </c>
      <c r="P300" t="s">
        <v>1517</v>
      </c>
      <c r="Q300" t="s">
        <v>1514</v>
      </c>
      <c r="R300">
        <v>0</v>
      </c>
    </row>
    <row r="301" spans="1:18" x14ac:dyDescent="0.3">
      <c r="A301" t="s">
        <v>946</v>
      </c>
      <c r="B301" t="s">
        <v>1983</v>
      </c>
      <c r="C301" t="s">
        <v>947</v>
      </c>
      <c r="D301" t="s">
        <v>84</v>
      </c>
      <c r="E301" t="s">
        <v>119</v>
      </c>
      <c r="F301" t="s">
        <v>948</v>
      </c>
      <c r="G301" t="s">
        <v>22</v>
      </c>
      <c r="H301" s="13">
        <v>45878</v>
      </c>
      <c r="I301" t="s">
        <v>54</v>
      </c>
      <c r="J301" t="s">
        <v>78</v>
      </c>
      <c r="K301" t="s">
        <v>1514</v>
      </c>
      <c r="L301" t="s">
        <v>1514</v>
      </c>
      <c r="M301" t="s">
        <v>1984</v>
      </c>
      <c r="N301" t="s">
        <v>1514</v>
      </c>
      <c r="O301" t="s">
        <v>119</v>
      </c>
      <c r="P301" t="s">
        <v>1517</v>
      </c>
      <c r="Q301" t="s">
        <v>1514</v>
      </c>
      <c r="R301">
        <v>0</v>
      </c>
    </row>
    <row r="302" spans="1:18" x14ac:dyDescent="0.3">
      <c r="A302" t="s">
        <v>949</v>
      </c>
      <c r="B302" t="s">
        <v>1985</v>
      </c>
      <c r="C302" t="s">
        <v>950</v>
      </c>
      <c r="D302" t="s">
        <v>12</v>
      </c>
      <c r="E302" t="s">
        <v>166</v>
      </c>
      <c r="F302" t="s">
        <v>951</v>
      </c>
      <c r="G302" t="s">
        <v>15</v>
      </c>
      <c r="H302" s="13">
        <v>45926</v>
      </c>
      <c r="I302" t="s">
        <v>54</v>
      </c>
      <c r="J302" t="s">
        <v>17</v>
      </c>
      <c r="K302" t="s">
        <v>1514</v>
      </c>
      <c r="L302" t="s">
        <v>1514</v>
      </c>
      <c r="M302" t="s">
        <v>1986</v>
      </c>
      <c r="N302" t="s">
        <v>1514</v>
      </c>
      <c r="O302" t="s">
        <v>166</v>
      </c>
      <c r="P302" t="s">
        <v>1517</v>
      </c>
      <c r="Q302" t="s">
        <v>1514</v>
      </c>
      <c r="R302">
        <v>0</v>
      </c>
    </row>
    <row r="303" spans="1:18" x14ac:dyDescent="0.3">
      <c r="A303" t="s">
        <v>952</v>
      </c>
      <c r="B303" t="s">
        <v>1987</v>
      </c>
      <c r="C303" t="s">
        <v>953</v>
      </c>
      <c r="D303" t="s">
        <v>71</v>
      </c>
      <c r="E303" t="s">
        <v>277</v>
      </c>
      <c r="F303" t="s">
        <v>954</v>
      </c>
      <c r="G303" t="s">
        <v>15</v>
      </c>
      <c r="H303" s="13">
        <v>45732</v>
      </c>
      <c r="I303" t="s">
        <v>23</v>
      </c>
      <c r="K303" t="s">
        <v>1514</v>
      </c>
      <c r="L303" t="s">
        <v>1514</v>
      </c>
      <c r="M303" t="s">
        <v>1988</v>
      </c>
      <c r="N303" t="s">
        <v>1514</v>
      </c>
      <c r="O303" t="s">
        <v>277</v>
      </c>
      <c r="P303" t="s">
        <v>1517</v>
      </c>
      <c r="Q303" t="s">
        <v>1514</v>
      </c>
      <c r="R303">
        <v>0</v>
      </c>
    </row>
    <row r="304" spans="1:18" x14ac:dyDescent="0.3">
      <c r="A304" t="s">
        <v>955</v>
      </c>
      <c r="B304" t="s">
        <v>1989</v>
      </c>
      <c r="C304" t="s">
        <v>956</v>
      </c>
      <c r="D304" t="s">
        <v>47</v>
      </c>
      <c r="E304" t="s">
        <v>575</v>
      </c>
      <c r="F304" t="s">
        <v>957</v>
      </c>
      <c r="G304" t="s">
        <v>15</v>
      </c>
      <c r="H304" s="13">
        <v>45580</v>
      </c>
      <c r="I304" t="s">
        <v>23</v>
      </c>
      <c r="J304" t="s">
        <v>78</v>
      </c>
      <c r="K304" t="s">
        <v>1514</v>
      </c>
      <c r="L304" t="s">
        <v>1514</v>
      </c>
      <c r="M304" t="s">
        <v>955</v>
      </c>
      <c r="N304" t="s">
        <v>1514</v>
      </c>
      <c r="O304" t="s">
        <v>575</v>
      </c>
      <c r="P304" t="s">
        <v>1517</v>
      </c>
      <c r="Q304" t="s">
        <v>1514</v>
      </c>
      <c r="R304">
        <v>0</v>
      </c>
    </row>
    <row r="305" spans="1:18" x14ac:dyDescent="0.3">
      <c r="A305" t="s">
        <v>958</v>
      </c>
      <c r="B305" t="s">
        <v>1990</v>
      </c>
      <c r="C305" t="s">
        <v>959</v>
      </c>
      <c r="D305" t="s">
        <v>62</v>
      </c>
      <c r="E305" t="s">
        <v>89</v>
      </c>
      <c r="F305" t="s">
        <v>960</v>
      </c>
      <c r="G305" t="s">
        <v>15</v>
      </c>
      <c r="H305" s="13">
        <v>45062</v>
      </c>
      <c r="I305" t="s">
        <v>23</v>
      </c>
      <c r="K305" t="s">
        <v>1514</v>
      </c>
      <c r="L305" t="s">
        <v>1514</v>
      </c>
      <c r="M305" t="s">
        <v>1991</v>
      </c>
      <c r="N305" t="s">
        <v>1514</v>
      </c>
      <c r="O305" t="s">
        <v>89</v>
      </c>
      <c r="P305" t="s">
        <v>1517</v>
      </c>
      <c r="Q305" t="s">
        <v>1514</v>
      </c>
      <c r="R305">
        <v>0</v>
      </c>
    </row>
    <row r="306" spans="1:18" x14ac:dyDescent="0.3">
      <c r="A306" t="s">
        <v>961</v>
      </c>
      <c r="B306" t="s">
        <v>1992</v>
      </c>
      <c r="C306" t="s">
        <v>962</v>
      </c>
      <c r="D306" t="s">
        <v>62</v>
      </c>
      <c r="E306" t="s">
        <v>510</v>
      </c>
      <c r="F306" t="s">
        <v>963</v>
      </c>
      <c r="G306" t="s">
        <v>22</v>
      </c>
      <c r="H306" s="13">
        <v>45731</v>
      </c>
      <c r="I306" t="s">
        <v>54</v>
      </c>
      <c r="J306" t="s">
        <v>95</v>
      </c>
      <c r="K306" t="s">
        <v>1514</v>
      </c>
      <c r="L306" t="s">
        <v>1514</v>
      </c>
      <c r="M306" t="s">
        <v>510</v>
      </c>
      <c r="N306" t="s">
        <v>1514</v>
      </c>
      <c r="O306" t="s">
        <v>510</v>
      </c>
      <c r="P306" t="s">
        <v>1517</v>
      </c>
      <c r="Q306" t="s">
        <v>1514</v>
      </c>
      <c r="R306">
        <v>0</v>
      </c>
    </row>
    <row r="307" spans="1:18" x14ac:dyDescent="0.3">
      <c r="A307" t="s">
        <v>964</v>
      </c>
      <c r="B307" t="s">
        <v>1993</v>
      </c>
      <c r="C307" t="s">
        <v>965</v>
      </c>
      <c r="D307" t="s">
        <v>12</v>
      </c>
      <c r="E307" t="s">
        <v>166</v>
      </c>
      <c r="F307" t="s">
        <v>966</v>
      </c>
      <c r="G307" t="s">
        <v>22</v>
      </c>
      <c r="H307" s="13">
        <v>45331</v>
      </c>
      <c r="I307" t="s">
        <v>16</v>
      </c>
      <c r="K307" t="s">
        <v>1514</v>
      </c>
      <c r="L307" t="s">
        <v>1514</v>
      </c>
      <c r="M307" t="s">
        <v>1994</v>
      </c>
      <c r="N307" t="s">
        <v>1514</v>
      </c>
      <c r="O307" t="s">
        <v>166</v>
      </c>
      <c r="P307" t="s">
        <v>1517</v>
      </c>
      <c r="Q307" t="s">
        <v>1514</v>
      </c>
      <c r="R307">
        <v>0</v>
      </c>
    </row>
    <row r="308" spans="1:18" x14ac:dyDescent="0.3">
      <c r="A308" t="s">
        <v>967</v>
      </c>
      <c r="B308" t="s">
        <v>1995</v>
      </c>
      <c r="C308" t="s">
        <v>968</v>
      </c>
      <c r="D308" t="s">
        <v>84</v>
      </c>
      <c r="E308" t="s">
        <v>234</v>
      </c>
      <c r="F308" t="s">
        <v>969</v>
      </c>
      <c r="G308" t="s">
        <v>15</v>
      </c>
      <c r="H308" s="13">
        <v>45242</v>
      </c>
      <c r="I308" t="s">
        <v>39</v>
      </c>
      <c r="J308" t="s">
        <v>24</v>
      </c>
      <c r="K308" t="s">
        <v>1514</v>
      </c>
      <c r="L308" t="s">
        <v>1514</v>
      </c>
      <c r="M308" t="s">
        <v>1996</v>
      </c>
      <c r="N308" t="s">
        <v>1514</v>
      </c>
      <c r="O308" t="s">
        <v>234</v>
      </c>
      <c r="P308" t="s">
        <v>1517</v>
      </c>
      <c r="Q308" t="s">
        <v>1514</v>
      </c>
      <c r="R308">
        <v>0</v>
      </c>
    </row>
    <row r="309" spans="1:18" x14ac:dyDescent="0.3">
      <c r="A309" t="s">
        <v>970</v>
      </c>
      <c r="B309" t="s">
        <v>1997</v>
      </c>
      <c r="C309" t="s">
        <v>971</v>
      </c>
      <c r="D309" t="s">
        <v>173</v>
      </c>
      <c r="E309" t="s">
        <v>174</v>
      </c>
      <c r="F309" t="s">
        <v>972</v>
      </c>
      <c r="G309" t="s">
        <v>22</v>
      </c>
      <c r="H309" s="13">
        <v>45591</v>
      </c>
      <c r="I309" t="s">
        <v>33</v>
      </c>
      <c r="J309" t="s">
        <v>95</v>
      </c>
      <c r="K309" t="s">
        <v>1514</v>
      </c>
      <c r="L309" t="s">
        <v>1514</v>
      </c>
      <c r="M309" t="s">
        <v>174</v>
      </c>
      <c r="N309" t="s">
        <v>1514</v>
      </c>
      <c r="O309" t="s">
        <v>174</v>
      </c>
      <c r="P309" t="s">
        <v>1517</v>
      </c>
      <c r="Q309" t="s">
        <v>1514</v>
      </c>
      <c r="R309">
        <v>0</v>
      </c>
    </row>
    <row r="310" spans="1:18" x14ac:dyDescent="0.3">
      <c r="A310" t="s">
        <v>973</v>
      </c>
      <c r="B310" t="s">
        <v>1998</v>
      </c>
      <c r="C310" t="s">
        <v>974</v>
      </c>
      <c r="D310" t="s">
        <v>173</v>
      </c>
      <c r="E310" t="s">
        <v>270</v>
      </c>
      <c r="F310" t="s">
        <v>975</v>
      </c>
      <c r="G310" t="s">
        <v>15</v>
      </c>
      <c r="H310" s="13">
        <v>45023</v>
      </c>
      <c r="I310" t="s">
        <v>54</v>
      </c>
      <c r="K310" t="s">
        <v>1514</v>
      </c>
      <c r="L310" t="s">
        <v>1514</v>
      </c>
      <c r="M310" t="s">
        <v>1999</v>
      </c>
      <c r="N310" t="s">
        <v>1514</v>
      </c>
      <c r="O310" t="s">
        <v>270</v>
      </c>
      <c r="P310" t="s">
        <v>1517</v>
      </c>
      <c r="Q310" t="s">
        <v>1514</v>
      </c>
      <c r="R310">
        <v>0</v>
      </c>
    </row>
    <row r="311" spans="1:18" x14ac:dyDescent="0.3">
      <c r="A311" t="s">
        <v>976</v>
      </c>
      <c r="B311" t="s">
        <v>2000</v>
      </c>
      <c r="C311" t="s">
        <v>977</v>
      </c>
      <c r="D311" t="s">
        <v>71</v>
      </c>
      <c r="E311" t="s">
        <v>277</v>
      </c>
      <c r="F311" t="s">
        <v>978</v>
      </c>
      <c r="G311" t="s">
        <v>15</v>
      </c>
      <c r="H311" s="13">
        <v>45559</v>
      </c>
      <c r="I311" t="s">
        <v>54</v>
      </c>
      <c r="K311" t="s">
        <v>1514</v>
      </c>
      <c r="L311" t="s">
        <v>1514</v>
      </c>
      <c r="M311" t="s">
        <v>2001</v>
      </c>
      <c r="N311" t="s">
        <v>1514</v>
      </c>
      <c r="O311" t="s">
        <v>277</v>
      </c>
      <c r="P311" t="s">
        <v>1517</v>
      </c>
      <c r="Q311" t="s">
        <v>1514</v>
      </c>
      <c r="R311">
        <v>0</v>
      </c>
    </row>
    <row r="312" spans="1:18" x14ac:dyDescent="0.3">
      <c r="A312" t="s">
        <v>979</v>
      </c>
      <c r="B312" t="s">
        <v>2002</v>
      </c>
      <c r="C312" t="s">
        <v>980</v>
      </c>
      <c r="D312" t="s">
        <v>27</v>
      </c>
      <c r="E312" t="s">
        <v>241</v>
      </c>
      <c r="F312" t="s">
        <v>981</v>
      </c>
      <c r="G312" t="s">
        <v>22</v>
      </c>
      <c r="H312" s="13">
        <v>45081</v>
      </c>
      <c r="I312" t="s">
        <v>23</v>
      </c>
      <c r="J312" t="s">
        <v>95</v>
      </c>
      <c r="K312" t="s">
        <v>1514</v>
      </c>
      <c r="L312" t="s">
        <v>1514</v>
      </c>
      <c r="M312" t="s">
        <v>979</v>
      </c>
      <c r="N312" t="s">
        <v>1514</v>
      </c>
      <c r="O312" t="s">
        <v>241</v>
      </c>
      <c r="P312" t="s">
        <v>1517</v>
      </c>
      <c r="Q312" t="s">
        <v>1514</v>
      </c>
      <c r="R312">
        <v>0</v>
      </c>
    </row>
    <row r="313" spans="1:18" x14ac:dyDescent="0.3">
      <c r="A313" t="s">
        <v>982</v>
      </c>
      <c r="B313" t="s">
        <v>2003</v>
      </c>
      <c r="C313" t="s">
        <v>983</v>
      </c>
      <c r="D313" t="s">
        <v>62</v>
      </c>
      <c r="E313" t="s">
        <v>89</v>
      </c>
      <c r="F313" t="s">
        <v>984</v>
      </c>
      <c r="G313" t="s">
        <v>15</v>
      </c>
      <c r="H313" s="13">
        <v>45478</v>
      </c>
      <c r="I313" t="s">
        <v>16</v>
      </c>
      <c r="J313" t="s">
        <v>24</v>
      </c>
      <c r="K313" t="s">
        <v>1514</v>
      </c>
      <c r="L313" t="s">
        <v>1514</v>
      </c>
      <c r="M313" t="s">
        <v>2004</v>
      </c>
      <c r="N313" t="s">
        <v>1514</v>
      </c>
      <c r="O313" t="s">
        <v>89</v>
      </c>
      <c r="P313" t="s">
        <v>1517</v>
      </c>
      <c r="Q313" t="s">
        <v>1514</v>
      </c>
      <c r="R313">
        <v>0</v>
      </c>
    </row>
    <row r="314" spans="1:18" x14ac:dyDescent="0.3">
      <c r="A314" t="s">
        <v>985</v>
      </c>
      <c r="B314" t="s">
        <v>2005</v>
      </c>
      <c r="C314" t="s">
        <v>986</v>
      </c>
      <c r="D314" t="s">
        <v>12</v>
      </c>
      <c r="E314" t="s">
        <v>166</v>
      </c>
      <c r="F314" t="s">
        <v>987</v>
      </c>
      <c r="G314" t="s">
        <v>22</v>
      </c>
      <c r="H314" s="13">
        <v>45590</v>
      </c>
      <c r="I314" t="s">
        <v>33</v>
      </c>
      <c r="J314" t="s">
        <v>24</v>
      </c>
      <c r="K314" t="s">
        <v>1514</v>
      </c>
      <c r="L314" t="s">
        <v>1514</v>
      </c>
      <c r="M314" t="s">
        <v>1515</v>
      </c>
      <c r="N314" t="s">
        <v>1516</v>
      </c>
      <c r="O314" t="s">
        <v>166</v>
      </c>
      <c r="P314" t="s">
        <v>1517</v>
      </c>
      <c r="Q314" t="s">
        <v>1518</v>
      </c>
      <c r="R314">
        <v>1</v>
      </c>
    </row>
    <row r="315" spans="1:18" x14ac:dyDescent="0.3">
      <c r="A315" t="s">
        <v>988</v>
      </c>
      <c r="B315" t="s">
        <v>2006</v>
      </c>
      <c r="C315" t="s">
        <v>989</v>
      </c>
      <c r="D315" t="s">
        <v>36</v>
      </c>
      <c r="E315" t="s">
        <v>162</v>
      </c>
      <c r="F315" t="s">
        <v>990</v>
      </c>
      <c r="G315" t="s">
        <v>15</v>
      </c>
      <c r="H315" s="13">
        <v>45702</v>
      </c>
      <c r="I315" t="s">
        <v>23</v>
      </c>
      <c r="K315" t="s">
        <v>1514</v>
      </c>
      <c r="L315" t="s">
        <v>1514</v>
      </c>
      <c r="M315" t="s">
        <v>162</v>
      </c>
      <c r="N315" t="s">
        <v>1514</v>
      </c>
      <c r="O315" t="s">
        <v>162</v>
      </c>
      <c r="P315" t="s">
        <v>1517</v>
      </c>
      <c r="Q315" t="s">
        <v>1514</v>
      </c>
      <c r="R315">
        <v>0</v>
      </c>
    </row>
    <row r="316" spans="1:18" x14ac:dyDescent="0.3">
      <c r="A316" t="s">
        <v>991</v>
      </c>
      <c r="B316" t="s">
        <v>2007</v>
      </c>
      <c r="C316" t="s">
        <v>992</v>
      </c>
      <c r="D316" t="s">
        <v>173</v>
      </c>
      <c r="E316" t="s">
        <v>174</v>
      </c>
      <c r="F316" t="s">
        <v>993</v>
      </c>
      <c r="G316" t="s">
        <v>22</v>
      </c>
      <c r="H316" s="13">
        <v>45166</v>
      </c>
      <c r="I316" t="s">
        <v>54</v>
      </c>
      <c r="K316" t="s">
        <v>1514</v>
      </c>
      <c r="L316" t="s">
        <v>1514</v>
      </c>
      <c r="M316" t="s">
        <v>173</v>
      </c>
      <c r="N316" t="s">
        <v>1514</v>
      </c>
      <c r="O316" t="s">
        <v>174</v>
      </c>
      <c r="P316" t="s">
        <v>1517</v>
      </c>
      <c r="Q316" t="s">
        <v>1514</v>
      </c>
      <c r="R316">
        <v>0</v>
      </c>
    </row>
    <row r="317" spans="1:18" x14ac:dyDescent="0.3">
      <c r="A317" t="s">
        <v>994</v>
      </c>
      <c r="B317" t="s">
        <v>2008</v>
      </c>
      <c r="C317" t="s">
        <v>995</v>
      </c>
      <c r="D317" t="s">
        <v>42</v>
      </c>
      <c r="E317" t="s">
        <v>76</v>
      </c>
      <c r="F317" t="s">
        <v>996</v>
      </c>
      <c r="G317" t="s">
        <v>15</v>
      </c>
      <c r="H317" s="13">
        <v>45200</v>
      </c>
      <c r="I317" t="s">
        <v>39</v>
      </c>
      <c r="K317" t="s">
        <v>1514</v>
      </c>
      <c r="L317" t="s">
        <v>1514</v>
      </c>
      <c r="M317" t="s">
        <v>76</v>
      </c>
      <c r="N317" t="s">
        <v>1514</v>
      </c>
      <c r="O317" t="s">
        <v>76</v>
      </c>
      <c r="P317" t="s">
        <v>1517</v>
      </c>
      <c r="Q317" t="s">
        <v>1514</v>
      </c>
      <c r="R317">
        <v>0</v>
      </c>
    </row>
    <row r="318" spans="1:18" x14ac:dyDescent="0.3">
      <c r="A318" t="s">
        <v>997</v>
      </c>
      <c r="B318" t="s">
        <v>2009</v>
      </c>
      <c r="C318" t="s">
        <v>998</v>
      </c>
      <c r="D318" t="s">
        <v>27</v>
      </c>
      <c r="E318" t="s">
        <v>28</v>
      </c>
      <c r="F318" t="s">
        <v>999</v>
      </c>
      <c r="G318" t="s">
        <v>22</v>
      </c>
      <c r="H318" s="13">
        <v>45793</v>
      </c>
      <c r="I318" t="s">
        <v>16</v>
      </c>
      <c r="J318" t="s">
        <v>24</v>
      </c>
      <c r="K318" t="s">
        <v>1514</v>
      </c>
      <c r="L318" t="s">
        <v>1514</v>
      </c>
      <c r="M318" t="s">
        <v>28</v>
      </c>
      <c r="N318" t="s">
        <v>1514</v>
      </c>
      <c r="O318" t="s">
        <v>28</v>
      </c>
      <c r="P318" t="s">
        <v>1517</v>
      </c>
      <c r="Q318" t="s">
        <v>1514</v>
      </c>
      <c r="R318">
        <v>0</v>
      </c>
    </row>
    <row r="319" spans="1:18" x14ac:dyDescent="0.3">
      <c r="A319" t="s">
        <v>1000</v>
      </c>
      <c r="B319" t="s">
        <v>2010</v>
      </c>
      <c r="C319" t="s">
        <v>1001</v>
      </c>
      <c r="D319" t="s">
        <v>12</v>
      </c>
      <c r="E319" t="s">
        <v>13</v>
      </c>
      <c r="F319" t="s">
        <v>1002</v>
      </c>
      <c r="G319" t="s">
        <v>15</v>
      </c>
      <c r="H319" s="13">
        <v>45813</v>
      </c>
      <c r="I319" t="s">
        <v>23</v>
      </c>
      <c r="J319" t="s">
        <v>17</v>
      </c>
      <c r="K319" t="s">
        <v>1514</v>
      </c>
      <c r="L319" t="s">
        <v>1514</v>
      </c>
      <c r="M319" t="s">
        <v>1000</v>
      </c>
      <c r="N319" t="s">
        <v>1514</v>
      </c>
      <c r="O319" t="s">
        <v>13</v>
      </c>
      <c r="P319" t="s">
        <v>1517</v>
      </c>
      <c r="Q319" t="s">
        <v>1514</v>
      </c>
      <c r="R319">
        <v>0</v>
      </c>
    </row>
    <row r="320" spans="1:18" x14ac:dyDescent="0.3">
      <c r="A320" t="s">
        <v>1003</v>
      </c>
      <c r="B320" t="s">
        <v>2011</v>
      </c>
      <c r="C320" t="s">
        <v>1004</v>
      </c>
      <c r="D320" t="s">
        <v>71</v>
      </c>
      <c r="E320" t="s">
        <v>93</v>
      </c>
      <c r="F320" t="s">
        <v>1005</v>
      </c>
      <c r="G320" t="s">
        <v>22</v>
      </c>
      <c r="H320" s="13">
        <v>45725</v>
      </c>
      <c r="I320" t="s">
        <v>39</v>
      </c>
      <c r="J320" t="s">
        <v>24</v>
      </c>
      <c r="K320" t="s">
        <v>1514</v>
      </c>
      <c r="L320" t="s">
        <v>1514</v>
      </c>
      <c r="M320" t="s">
        <v>1515</v>
      </c>
      <c r="N320" t="s">
        <v>1516</v>
      </c>
      <c r="O320" t="s">
        <v>93</v>
      </c>
      <c r="P320" t="s">
        <v>1517</v>
      </c>
      <c r="Q320" t="s">
        <v>1518</v>
      </c>
      <c r="R320">
        <v>1</v>
      </c>
    </row>
    <row r="321" spans="1:18" x14ac:dyDescent="0.3">
      <c r="A321" t="s">
        <v>1006</v>
      </c>
      <c r="B321" t="s">
        <v>2012</v>
      </c>
      <c r="C321" t="s">
        <v>1007</v>
      </c>
      <c r="D321" t="s">
        <v>42</v>
      </c>
      <c r="E321" t="s">
        <v>503</v>
      </c>
      <c r="F321" t="s">
        <v>1008</v>
      </c>
      <c r="G321" t="s">
        <v>22</v>
      </c>
      <c r="H321" s="13">
        <v>45577</v>
      </c>
      <c r="I321" t="s">
        <v>54</v>
      </c>
      <c r="K321" t="s">
        <v>1514</v>
      </c>
      <c r="L321" t="s">
        <v>1514</v>
      </c>
      <c r="M321" t="s">
        <v>2013</v>
      </c>
      <c r="N321" t="s">
        <v>1514</v>
      </c>
      <c r="O321" t="s">
        <v>503</v>
      </c>
      <c r="P321" t="s">
        <v>1517</v>
      </c>
      <c r="Q321" t="s">
        <v>1514</v>
      </c>
      <c r="R321">
        <v>0</v>
      </c>
    </row>
    <row r="322" spans="1:18" x14ac:dyDescent="0.3">
      <c r="A322" t="s">
        <v>766</v>
      </c>
      <c r="B322" t="s">
        <v>2014</v>
      </c>
      <c r="C322" t="s">
        <v>1009</v>
      </c>
      <c r="D322" t="s">
        <v>36</v>
      </c>
      <c r="E322" t="s">
        <v>67</v>
      </c>
      <c r="F322" t="s">
        <v>1010</v>
      </c>
      <c r="G322" t="s">
        <v>22</v>
      </c>
      <c r="H322" s="13">
        <v>45553</v>
      </c>
      <c r="I322" t="s">
        <v>16</v>
      </c>
      <c r="J322" t="s">
        <v>17</v>
      </c>
      <c r="K322" t="s">
        <v>1514</v>
      </c>
      <c r="L322" t="s">
        <v>1514</v>
      </c>
      <c r="M322" t="s">
        <v>36</v>
      </c>
      <c r="N322" t="s">
        <v>1514</v>
      </c>
      <c r="O322" t="s">
        <v>67</v>
      </c>
      <c r="P322" t="s">
        <v>1517</v>
      </c>
      <c r="Q322" t="s">
        <v>1514</v>
      </c>
      <c r="R322">
        <v>0</v>
      </c>
    </row>
    <row r="323" spans="1:18" x14ac:dyDescent="0.3">
      <c r="A323" t="s">
        <v>1011</v>
      </c>
      <c r="B323" t="s">
        <v>2015</v>
      </c>
      <c r="C323" t="s">
        <v>1012</v>
      </c>
      <c r="D323" t="s">
        <v>57</v>
      </c>
      <c r="E323" t="s">
        <v>481</v>
      </c>
      <c r="F323" t="s">
        <v>1013</v>
      </c>
      <c r="G323" t="s">
        <v>22</v>
      </c>
      <c r="H323" s="13">
        <v>45518</v>
      </c>
      <c r="I323" t="s">
        <v>33</v>
      </c>
      <c r="J323" t="s">
        <v>17</v>
      </c>
      <c r="K323" t="s">
        <v>1514</v>
      </c>
      <c r="L323" t="s">
        <v>1514</v>
      </c>
      <c r="M323" t="s">
        <v>2016</v>
      </c>
      <c r="N323" t="s">
        <v>1514</v>
      </c>
      <c r="O323" t="s">
        <v>481</v>
      </c>
      <c r="P323" t="s">
        <v>1517</v>
      </c>
      <c r="Q323" t="s">
        <v>1514</v>
      </c>
      <c r="R323">
        <v>0</v>
      </c>
    </row>
    <row r="324" spans="1:18" x14ac:dyDescent="0.3">
      <c r="A324" t="s">
        <v>1014</v>
      </c>
      <c r="B324" t="s">
        <v>2017</v>
      </c>
      <c r="C324" t="s">
        <v>1015</v>
      </c>
      <c r="D324" t="s">
        <v>12</v>
      </c>
      <c r="E324" t="s">
        <v>166</v>
      </c>
      <c r="F324" t="s">
        <v>1016</v>
      </c>
      <c r="G324" t="s">
        <v>15</v>
      </c>
      <c r="H324" s="13">
        <v>45275</v>
      </c>
      <c r="I324" t="s">
        <v>33</v>
      </c>
      <c r="J324" t="s">
        <v>24</v>
      </c>
      <c r="K324" t="s">
        <v>1514</v>
      </c>
      <c r="L324" t="s">
        <v>1514</v>
      </c>
      <c r="M324" t="s">
        <v>2018</v>
      </c>
      <c r="N324" t="s">
        <v>1514</v>
      </c>
      <c r="O324" t="s">
        <v>166</v>
      </c>
      <c r="P324" t="s">
        <v>1517</v>
      </c>
      <c r="Q324" t="s">
        <v>1514</v>
      </c>
      <c r="R324">
        <v>0</v>
      </c>
    </row>
    <row r="325" spans="1:18" x14ac:dyDescent="0.3">
      <c r="A325" t="s">
        <v>1017</v>
      </c>
      <c r="B325" t="s">
        <v>2019</v>
      </c>
      <c r="C325" t="s">
        <v>1018</v>
      </c>
      <c r="D325" t="s">
        <v>47</v>
      </c>
      <c r="E325" t="s">
        <v>181</v>
      </c>
      <c r="F325" t="s">
        <v>1019</v>
      </c>
      <c r="G325" t="s">
        <v>22</v>
      </c>
      <c r="H325" s="13">
        <v>45099</v>
      </c>
      <c r="I325" t="s">
        <v>23</v>
      </c>
      <c r="K325" t="s">
        <v>1514</v>
      </c>
      <c r="L325" t="s">
        <v>1514</v>
      </c>
      <c r="M325" t="s">
        <v>2020</v>
      </c>
      <c r="N325" t="s">
        <v>1514</v>
      </c>
      <c r="O325" t="s">
        <v>181</v>
      </c>
      <c r="P325" t="s">
        <v>1517</v>
      </c>
      <c r="Q325" t="s">
        <v>1514</v>
      </c>
      <c r="R325">
        <v>0</v>
      </c>
    </row>
    <row r="326" spans="1:18" x14ac:dyDescent="0.3">
      <c r="A326" t="s">
        <v>1020</v>
      </c>
      <c r="B326" t="s">
        <v>2021</v>
      </c>
      <c r="C326" t="s">
        <v>1021</v>
      </c>
      <c r="D326" t="s">
        <v>71</v>
      </c>
      <c r="E326" t="s">
        <v>93</v>
      </c>
      <c r="F326" t="s">
        <v>1022</v>
      </c>
      <c r="G326" t="s">
        <v>15</v>
      </c>
      <c r="H326" s="13">
        <v>45981</v>
      </c>
      <c r="I326" t="s">
        <v>33</v>
      </c>
      <c r="J326" t="s">
        <v>17</v>
      </c>
      <c r="K326" t="s">
        <v>1514</v>
      </c>
      <c r="L326" t="s">
        <v>1514</v>
      </c>
      <c r="M326" t="s">
        <v>1020</v>
      </c>
      <c r="N326" t="s">
        <v>1514</v>
      </c>
      <c r="O326" t="s">
        <v>93</v>
      </c>
      <c r="P326" t="s">
        <v>1517</v>
      </c>
      <c r="Q326" t="s">
        <v>1514</v>
      </c>
      <c r="R326">
        <v>0</v>
      </c>
    </row>
    <row r="327" spans="1:18" x14ac:dyDescent="0.3">
      <c r="A327" t="s">
        <v>525</v>
      </c>
      <c r="B327" t="s">
        <v>2022</v>
      </c>
      <c r="C327" t="s">
        <v>1023</v>
      </c>
      <c r="D327" t="s">
        <v>36</v>
      </c>
      <c r="E327" t="s">
        <v>37</v>
      </c>
      <c r="F327" t="s">
        <v>1024</v>
      </c>
      <c r="G327" t="s">
        <v>15</v>
      </c>
      <c r="H327" s="13">
        <v>45653</v>
      </c>
      <c r="I327" t="s">
        <v>54</v>
      </c>
      <c r="J327" t="s">
        <v>50</v>
      </c>
      <c r="K327" t="s">
        <v>1514</v>
      </c>
      <c r="L327" t="s">
        <v>1514</v>
      </c>
      <c r="M327" t="s">
        <v>36</v>
      </c>
      <c r="N327" t="s">
        <v>1514</v>
      </c>
      <c r="O327" t="s">
        <v>37</v>
      </c>
      <c r="P327" t="s">
        <v>1517</v>
      </c>
      <c r="Q327" t="s">
        <v>1514</v>
      </c>
      <c r="R327">
        <v>0</v>
      </c>
    </row>
    <row r="328" spans="1:18" x14ac:dyDescent="0.3">
      <c r="A328" t="s">
        <v>1025</v>
      </c>
      <c r="B328" t="s">
        <v>2023</v>
      </c>
      <c r="C328" t="s">
        <v>1026</v>
      </c>
      <c r="D328" t="s">
        <v>36</v>
      </c>
      <c r="E328" t="s">
        <v>162</v>
      </c>
      <c r="F328" t="s">
        <v>1027</v>
      </c>
      <c r="G328" t="s">
        <v>22</v>
      </c>
      <c r="H328" s="13">
        <v>45133</v>
      </c>
      <c r="I328" t="s">
        <v>33</v>
      </c>
      <c r="K328" t="s">
        <v>1514</v>
      </c>
      <c r="L328" t="s">
        <v>1514</v>
      </c>
      <c r="M328" t="s">
        <v>2024</v>
      </c>
      <c r="N328" t="s">
        <v>1514</v>
      </c>
      <c r="O328" t="s">
        <v>162</v>
      </c>
      <c r="P328" t="s">
        <v>1517</v>
      </c>
      <c r="Q328" t="s">
        <v>1514</v>
      </c>
      <c r="R328">
        <v>0</v>
      </c>
    </row>
    <row r="329" spans="1:18" x14ac:dyDescent="0.3">
      <c r="A329" t="s">
        <v>1028</v>
      </c>
      <c r="B329" t="s">
        <v>2025</v>
      </c>
      <c r="C329" t="s">
        <v>1029</v>
      </c>
      <c r="D329" t="s">
        <v>27</v>
      </c>
      <c r="E329" t="s">
        <v>241</v>
      </c>
      <c r="F329" t="s">
        <v>1030</v>
      </c>
      <c r="G329" t="s">
        <v>22</v>
      </c>
      <c r="H329" s="13">
        <v>45262</v>
      </c>
      <c r="I329" t="s">
        <v>16</v>
      </c>
      <c r="K329" t="s">
        <v>1514</v>
      </c>
      <c r="L329" t="s">
        <v>1514</v>
      </c>
      <c r="M329" t="s">
        <v>2026</v>
      </c>
      <c r="N329" t="s">
        <v>1514</v>
      </c>
      <c r="O329" t="s">
        <v>241</v>
      </c>
      <c r="P329" t="s">
        <v>1517</v>
      </c>
      <c r="Q329" t="s">
        <v>1514</v>
      </c>
      <c r="R329">
        <v>0</v>
      </c>
    </row>
    <row r="330" spans="1:18" x14ac:dyDescent="0.3">
      <c r="A330" t="s">
        <v>1031</v>
      </c>
      <c r="B330" t="s">
        <v>2027</v>
      </c>
      <c r="C330" t="s">
        <v>1032</v>
      </c>
      <c r="D330" t="s">
        <v>71</v>
      </c>
      <c r="E330" t="s">
        <v>93</v>
      </c>
      <c r="F330" t="s">
        <v>1033</v>
      </c>
      <c r="G330" t="s">
        <v>22</v>
      </c>
      <c r="H330" s="13">
        <v>45982</v>
      </c>
      <c r="I330" t="s">
        <v>33</v>
      </c>
      <c r="K330" t="s">
        <v>1514</v>
      </c>
      <c r="L330" t="s">
        <v>1514</v>
      </c>
      <c r="M330" t="s">
        <v>93</v>
      </c>
      <c r="N330" t="s">
        <v>1514</v>
      </c>
      <c r="O330" t="s">
        <v>93</v>
      </c>
      <c r="P330" t="s">
        <v>1517</v>
      </c>
      <c r="Q330" t="s">
        <v>1514</v>
      </c>
      <c r="R330">
        <v>0</v>
      </c>
    </row>
    <row r="331" spans="1:18" x14ac:dyDescent="0.3">
      <c r="A331" t="s">
        <v>1034</v>
      </c>
      <c r="B331" t="s">
        <v>2028</v>
      </c>
      <c r="C331" t="s">
        <v>1035</v>
      </c>
      <c r="D331" t="s">
        <v>36</v>
      </c>
      <c r="E331" t="s">
        <v>127</v>
      </c>
      <c r="F331" t="s">
        <v>1036</v>
      </c>
      <c r="G331" t="s">
        <v>15</v>
      </c>
      <c r="H331" s="13">
        <v>44920</v>
      </c>
      <c r="I331" t="s">
        <v>39</v>
      </c>
      <c r="J331" t="s">
        <v>78</v>
      </c>
      <c r="K331" t="s">
        <v>1514</v>
      </c>
      <c r="L331" t="s">
        <v>1514</v>
      </c>
      <c r="M331" t="s">
        <v>1034</v>
      </c>
      <c r="N331" t="s">
        <v>1514</v>
      </c>
      <c r="O331" t="s">
        <v>127</v>
      </c>
      <c r="P331" t="s">
        <v>1517</v>
      </c>
      <c r="Q331" t="s">
        <v>1514</v>
      </c>
      <c r="R331">
        <v>0</v>
      </c>
    </row>
    <row r="332" spans="1:18" x14ac:dyDescent="0.3">
      <c r="A332" t="s">
        <v>874</v>
      </c>
      <c r="B332" t="s">
        <v>2029</v>
      </c>
      <c r="C332" t="s">
        <v>1037</v>
      </c>
      <c r="D332" t="s">
        <v>42</v>
      </c>
      <c r="E332" t="s">
        <v>305</v>
      </c>
      <c r="F332" t="s">
        <v>1038</v>
      </c>
      <c r="G332" t="s">
        <v>15</v>
      </c>
      <c r="H332" s="13">
        <v>45264</v>
      </c>
      <c r="I332" t="s">
        <v>23</v>
      </c>
      <c r="J332" t="s">
        <v>24</v>
      </c>
      <c r="K332" t="s">
        <v>1514</v>
      </c>
      <c r="L332" t="s">
        <v>1514</v>
      </c>
      <c r="M332" t="s">
        <v>1515</v>
      </c>
      <c r="N332" t="s">
        <v>1516</v>
      </c>
      <c r="O332" t="s">
        <v>305</v>
      </c>
      <c r="P332" t="s">
        <v>1517</v>
      </c>
      <c r="Q332" t="s">
        <v>1518</v>
      </c>
      <c r="R332">
        <v>1</v>
      </c>
    </row>
    <row r="333" spans="1:18" x14ac:dyDescent="0.3">
      <c r="A333" t="s">
        <v>988</v>
      </c>
      <c r="B333" t="s">
        <v>2030</v>
      </c>
      <c r="C333" t="s">
        <v>1039</v>
      </c>
      <c r="D333" t="s">
        <v>36</v>
      </c>
      <c r="E333" t="s">
        <v>162</v>
      </c>
      <c r="F333" t="s">
        <v>1040</v>
      </c>
      <c r="G333" t="s">
        <v>22</v>
      </c>
      <c r="H333" s="13">
        <v>45289</v>
      </c>
      <c r="I333" t="s">
        <v>54</v>
      </c>
      <c r="J333" t="s">
        <v>50</v>
      </c>
      <c r="K333" t="s">
        <v>1514</v>
      </c>
      <c r="L333" t="s">
        <v>1514</v>
      </c>
      <c r="M333" t="s">
        <v>162</v>
      </c>
      <c r="N333" t="s">
        <v>1514</v>
      </c>
      <c r="O333" t="s">
        <v>162</v>
      </c>
      <c r="P333" t="s">
        <v>1517</v>
      </c>
      <c r="Q333" t="s">
        <v>1514</v>
      </c>
      <c r="R333">
        <v>0</v>
      </c>
    </row>
    <row r="334" spans="1:18" x14ac:dyDescent="0.3">
      <c r="A334" t="s">
        <v>1041</v>
      </c>
      <c r="B334" t="s">
        <v>2031</v>
      </c>
      <c r="C334" t="s">
        <v>1042</v>
      </c>
      <c r="D334" t="s">
        <v>12</v>
      </c>
      <c r="E334" t="s">
        <v>166</v>
      </c>
      <c r="F334" t="s">
        <v>1043</v>
      </c>
      <c r="G334" t="s">
        <v>22</v>
      </c>
      <c r="H334" s="13">
        <v>45371</v>
      </c>
      <c r="I334" t="s">
        <v>16</v>
      </c>
      <c r="K334" t="s">
        <v>1514</v>
      </c>
      <c r="L334" t="s">
        <v>1514</v>
      </c>
      <c r="M334" t="s">
        <v>2032</v>
      </c>
      <c r="N334" t="s">
        <v>1514</v>
      </c>
      <c r="O334" t="s">
        <v>166</v>
      </c>
      <c r="P334" t="s">
        <v>1517</v>
      </c>
      <c r="Q334" t="s">
        <v>1514</v>
      </c>
      <c r="R334">
        <v>0</v>
      </c>
    </row>
    <row r="335" spans="1:18" x14ac:dyDescent="0.3">
      <c r="A335" t="s">
        <v>1044</v>
      </c>
      <c r="B335" t="s">
        <v>2033</v>
      </c>
      <c r="C335" t="s">
        <v>1045</v>
      </c>
      <c r="D335" t="s">
        <v>42</v>
      </c>
      <c r="E335" t="s">
        <v>76</v>
      </c>
      <c r="F335" t="s">
        <v>1046</v>
      </c>
      <c r="G335" t="s">
        <v>22</v>
      </c>
      <c r="H335" s="13">
        <v>45377</v>
      </c>
      <c r="I335" t="s">
        <v>54</v>
      </c>
      <c r="K335" t="s">
        <v>1514</v>
      </c>
      <c r="L335" t="s">
        <v>1514</v>
      </c>
      <c r="M335" t="s">
        <v>2034</v>
      </c>
      <c r="N335" t="s">
        <v>1514</v>
      </c>
      <c r="O335" t="s">
        <v>76</v>
      </c>
      <c r="P335" t="s">
        <v>1517</v>
      </c>
      <c r="Q335" t="s">
        <v>1514</v>
      </c>
      <c r="R335">
        <v>0</v>
      </c>
    </row>
    <row r="336" spans="1:18" x14ac:dyDescent="0.3">
      <c r="A336" t="s">
        <v>1047</v>
      </c>
      <c r="B336" t="s">
        <v>2035</v>
      </c>
      <c r="C336" t="s">
        <v>1048</v>
      </c>
      <c r="D336" t="s">
        <v>47</v>
      </c>
      <c r="E336" t="s">
        <v>425</v>
      </c>
      <c r="F336" t="s">
        <v>1049</v>
      </c>
      <c r="G336" t="s">
        <v>22</v>
      </c>
      <c r="H336" s="13">
        <v>45746</v>
      </c>
      <c r="I336" t="s">
        <v>16</v>
      </c>
      <c r="J336" t="s">
        <v>78</v>
      </c>
      <c r="K336" t="s">
        <v>1514</v>
      </c>
      <c r="L336" t="s">
        <v>1514</v>
      </c>
      <c r="M336" t="s">
        <v>2036</v>
      </c>
      <c r="N336" t="s">
        <v>1514</v>
      </c>
      <c r="O336" t="s">
        <v>425</v>
      </c>
      <c r="P336" t="s">
        <v>1517</v>
      </c>
      <c r="Q336" t="s">
        <v>1514</v>
      </c>
      <c r="R336">
        <v>0</v>
      </c>
    </row>
    <row r="337" spans="1:18" x14ac:dyDescent="0.3">
      <c r="A337" t="s">
        <v>1050</v>
      </c>
      <c r="B337" t="s">
        <v>2037</v>
      </c>
      <c r="C337" t="s">
        <v>1051</v>
      </c>
      <c r="D337" t="s">
        <v>173</v>
      </c>
      <c r="E337" t="s">
        <v>191</v>
      </c>
      <c r="F337" t="s">
        <v>1052</v>
      </c>
      <c r="G337" t="s">
        <v>15</v>
      </c>
      <c r="H337" s="13">
        <v>45964</v>
      </c>
      <c r="I337" t="s">
        <v>16</v>
      </c>
      <c r="K337" t="s">
        <v>1514</v>
      </c>
      <c r="L337" t="s">
        <v>1514</v>
      </c>
      <c r="M337" t="s">
        <v>2038</v>
      </c>
      <c r="N337" t="s">
        <v>1514</v>
      </c>
      <c r="O337" t="s">
        <v>191</v>
      </c>
      <c r="P337" t="s">
        <v>1517</v>
      </c>
      <c r="Q337" t="s">
        <v>1514</v>
      </c>
      <c r="R337">
        <v>0</v>
      </c>
    </row>
    <row r="338" spans="1:18" x14ac:dyDescent="0.3">
      <c r="A338" t="s">
        <v>997</v>
      </c>
      <c r="B338" t="s">
        <v>2039</v>
      </c>
      <c r="C338" t="s">
        <v>1053</v>
      </c>
      <c r="D338" t="s">
        <v>27</v>
      </c>
      <c r="E338" t="s">
        <v>28</v>
      </c>
      <c r="F338" t="s">
        <v>1054</v>
      </c>
      <c r="G338" t="s">
        <v>15</v>
      </c>
      <c r="H338" s="13">
        <v>45255</v>
      </c>
      <c r="I338" t="s">
        <v>39</v>
      </c>
      <c r="J338" t="s">
        <v>95</v>
      </c>
      <c r="K338" t="s">
        <v>1514</v>
      </c>
      <c r="L338" t="s">
        <v>1514</v>
      </c>
      <c r="M338" t="s">
        <v>28</v>
      </c>
      <c r="N338" t="s">
        <v>1514</v>
      </c>
      <c r="O338" t="s">
        <v>28</v>
      </c>
      <c r="P338" t="s">
        <v>1517</v>
      </c>
      <c r="Q338" t="s">
        <v>1514</v>
      </c>
      <c r="R338">
        <v>0</v>
      </c>
    </row>
    <row r="339" spans="1:18" x14ac:dyDescent="0.3">
      <c r="A339" t="s">
        <v>1055</v>
      </c>
      <c r="B339" t="s">
        <v>2040</v>
      </c>
      <c r="C339" t="s">
        <v>1056</v>
      </c>
      <c r="D339" t="s">
        <v>12</v>
      </c>
      <c r="E339" t="s">
        <v>138</v>
      </c>
      <c r="F339" t="s">
        <v>1057</v>
      </c>
      <c r="G339" t="s">
        <v>22</v>
      </c>
      <c r="H339" s="13">
        <v>45105</v>
      </c>
      <c r="I339" t="s">
        <v>33</v>
      </c>
      <c r="J339" t="s">
        <v>50</v>
      </c>
      <c r="K339" t="s">
        <v>1514</v>
      </c>
      <c r="L339" t="s">
        <v>1514</v>
      </c>
      <c r="M339" t="s">
        <v>2041</v>
      </c>
      <c r="N339" t="s">
        <v>1514</v>
      </c>
      <c r="O339" t="s">
        <v>138</v>
      </c>
      <c r="P339" t="s">
        <v>1517</v>
      </c>
      <c r="Q339" t="s">
        <v>1514</v>
      </c>
      <c r="R339">
        <v>0</v>
      </c>
    </row>
    <row r="340" spans="1:18" x14ac:dyDescent="0.3">
      <c r="A340" t="s">
        <v>1058</v>
      </c>
      <c r="B340" t="s">
        <v>2042</v>
      </c>
      <c r="C340" t="s">
        <v>1059</v>
      </c>
      <c r="D340" t="s">
        <v>42</v>
      </c>
      <c r="E340" t="s">
        <v>43</v>
      </c>
      <c r="F340" t="s">
        <v>1060</v>
      </c>
      <c r="G340" t="s">
        <v>15</v>
      </c>
      <c r="H340" s="13">
        <v>45910</v>
      </c>
      <c r="I340" t="s">
        <v>54</v>
      </c>
      <c r="K340" t="s">
        <v>1514</v>
      </c>
      <c r="L340" t="s">
        <v>1514</v>
      </c>
      <c r="M340" t="s">
        <v>2043</v>
      </c>
      <c r="N340" t="s">
        <v>1514</v>
      </c>
      <c r="O340" t="s">
        <v>43</v>
      </c>
      <c r="P340" t="s">
        <v>1517</v>
      </c>
      <c r="Q340" t="s">
        <v>1514</v>
      </c>
      <c r="R340">
        <v>0</v>
      </c>
    </row>
    <row r="341" spans="1:18" x14ac:dyDescent="0.3">
      <c r="A341" t="s">
        <v>1061</v>
      </c>
      <c r="B341" t="s">
        <v>2044</v>
      </c>
      <c r="C341" t="s">
        <v>1062</v>
      </c>
      <c r="D341" t="s">
        <v>12</v>
      </c>
      <c r="E341" t="s">
        <v>138</v>
      </c>
      <c r="F341" t="s">
        <v>1063</v>
      </c>
      <c r="G341" t="s">
        <v>22</v>
      </c>
      <c r="H341" s="13">
        <v>45700</v>
      </c>
      <c r="I341" t="s">
        <v>33</v>
      </c>
      <c r="K341" t="s">
        <v>1514</v>
      </c>
      <c r="L341" t="s">
        <v>1514</v>
      </c>
      <c r="M341" t="s">
        <v>1061</v>
      </c>
      <c r="N341" t="s">
        <v>1514</v>
      </c>
      <c r="O341" t="s">
        <v>138</v>
      </c>
      <c r="P341" t="s">
        <v>1517</v>
      </c>
      <c r="Q341" t="s">
        <v>1514</v>
      </c>
      <c r="R341">
        <v>0</v>
      </c>
    </row>
    <row r="342" spans="1:18" x14ac:dyDescent="0.3">
      <c r="A342" t="s">
        <v>1064</v>
      </c>
      <c r="B342" t="s">
        <v>2045</v>
      </c>
      <c r="C342" t="s">
        <v>1065</v>
      </c>
      <c r="D342" t="s">
        <v>47</v>
      </c>
      <c r="E342" t="s">
        <v>112</v>
      </c>
      <c r="F342" t="s">
        <v>1066</v>
      </c>
      <c r="G342" t="s">
        <v>15</v>
      </c>
      <c r="H342" s="13">
        <v>44966</v>
      </c>
      <c r="I342" t="s">
        <v>16</v>
      </c>
      <c r="K342" t="s">
        <v>1514</v>
      </c>
      <c r="L342" t="s">
        <v>1514</v>
      </c>
      <c r="M342" t="s">
        <v>1064</v>
      </c>
      <c r="N342" t="s">
        <v>1514</v>
      </c>
      <c r="O342" t="s">
        <v>112</v>
      </c>
      <c r="P342" t="s">
        <v>1517</v>
      </c>
      <c r="Q342" t="s">
        <v>1514</v>
      </c>
      <c r="R342">
        <v>0</v>
      </c>
    </row>
    <row r="343" spans="1:18" x14ac:dyDescent="0.3">
      <c r="A343" t="s">
        <v>570</v>
      </c>
      <c r="B343" t="s">
        <v>2046</v>
      </c>
      <c r="C343" t="s">
        <v>1067</v>
      </c>
      <c r="D343" t="s">
        <v>84</v>
      </c>
      <c r="E343" t="s">
        <v>248</v>
      </c>
      <c r="F343" t="s">
        <v>1068</v>
      </c>
      <c r="G343" t="s">
        <v>22</v>
      </c>
      <c r="H343" s="13">
        <v>45748</v>
      </c>
      <c r="I343" t="s">
        <v>33</v>
      </c>
      <c r="J343" t="s">
        <v>17</v>
      </c>
      <c r="K343" t="s">
        <v>1514</v>
      </c>
      <c r="L343" t="s">
        <v>1514</v>
      </c>
      <c r="M343" t="s">
        <v>1515</v>
      </c>
      <c r="N343" t="s">
        <v>1516</v>
      </c>
      <c r="O343" t="s">
        <v>248</v>
      </c>
      <c r="P343" t="s">
        <v>1517</v>
      </c>
      <c r="Q343" t="s">
        <v>1518</v>
      </c>
      <c r="R343">
        <v>1</v>
      </c>
    </row>
    <row r="344" spans="1:18" x14ac:dyDescent="0.3">
      <c r="A344" t="s">
        <v>1069</v>
      </c>
      <c r="B344" t="s">
        <v>2047</v>
      </c>
      <c r="C344" t="s">
        <v>1070</v>
      </c>
      <c r="D344" t="s">
        <v>12</v>
      </c>
      <c r="E344" t="s">
        <v>13</v>
      </c>
      <c r="F344" t="s">
        <v>1071</v>
      </c>
      <c r="G344" t="s">
        <v>22</v>
      </c>
      <c r="H344" s="13">
        <v>45191</v>
      </c>
      <c r="I344" t="s">
        <v>23</v>
      </c>
      <c r="J344" t="s">
        <v>78</v>
      </c>
      <c r="K344" t="s">
        <v>1514</v>
      </c>
      <c r="L344" t="s">
        <v>1514</v>
      </c>
      <c r="M344" t="s">
        <v>2048</v>
      </c>
      <c r="N344" t="s">
        <v>1514</v>
      </c>
      <c r="O344" t="s">
        <v>13</v>
      </c>
      <c r="P344" t="s">
        <v>1517</v>
      </c>
      <c r="Q344" t="s">
        <v>1514</v>
      </c>
      <c r="R344">
        <v>0</v>
      </c>
    </row>
    <row r="345" spans="1:18" x14ac:dyDescent="0.3">
      <c r="A345" t="s">
        <v>1072</v>
      </c>
      <c r="B345" t="s">
        <v>2049</v>
      </c>
      <c r="C345" t="s">
        <v>1073</v>
      </c>
      <c r="D345" t="s">
        <v>173</v>
      </c>
      <c r="E345" t="s">
        <v>328</v>
      </c>
      <c r="F345" t="s">
        <v>1074</v>
      </c>
      <c r="G345" t="s">
        <v>22</v>
      </c>
      <c r="H345" s="13">
        <v>45129</v>
      </c>
      <c r="I345" t="s">
        <v>39</v>
      </c>
      <c r="K345" t="s">
        <v>1514</v>
      </c>
      <c r="L345" t="s">
        <v>1514</v>
      </c>
      <c r="M345" t="s">
        <v>2050</v>
      </c>
      <c r="N345" t="s">
        <v>1514</v>
      </c>
      <c r="O345" t="s">
        <v>328</v>
      </c>
      <c r="P345" t="s">
        <v>1517</v>
      </c>
      <c r="Q345" t="s">
        <v>1514</v>
      </c>
      <c r="R345">
        <v>0</v>
      </c>
    </row>
    <row r="346" spans="1:18" x14ac:dyDescent="0.3">
      <c r="A346" t="s">
        <v>1075</v>
      </c>
      <c r="B346" t="s">
        <v>2051</v>
      </c>
      <c r="C346" t="s">
        <v>1076</v>
      </c>
      <c r="D346" t="s">
        <v>47</v>
      </c>
      <c r="E346" t="s">
        <v>575</v>
      </c>
      <c r="F346" t="s">
        <v>1077</v>
      </c>
      <c r="G346" t="s">
        <v>15</v>
      </c>
      <c r="H346" s="13">
        <v>45473</v>
      </c>
      <c r="I346" t="s">
        <v>16</v>
      </c>
      <c r="K346" t="s">
        <v>1514</v>
      </c>
      <c r="L346" t="s">
        <v>1514</v>
      </c>
      <c r="M346" t="s">
        <v>1075</v>
      </c>
      <c r="N346" t="s">
        <v>1514</v>
      </c>
      <c r="O346" t="s">
        <v>575</v>
      </c>
      <c r="P346" t="s">
        <v>1517</v>
      </c>
      <c r="Q346" t="s">
        <v>1514</v>
      </c>
      <c r="R346">
        <v>0</v>
      </c>
    </row>
    <row r="347" spans="1:18" x14ac:dyDescent="0.3">
      <c r="A347" t="s">
        <v>1078</v>
      </c>
      <c r="B347" t="s">
        <v>2052</v>
      </c>
      <c r="C347" t="s">
        <v>1079</v>
      </c>
      <c r="D347" t="s">
        <v>27</v>
      </c>
      <c r="E347" t="s">
        <v>158</v>
      </c>
      <c r="F347" t="s">
        <v>1080</v>
      </c>
      <c r="G347" t="s">
        <v>22</v>
      </c>
      <c r="H347" s="13">
        <v>45063</v>
      </c>
      <c r="I347" t="s">
        <v>54</v>
      </c>
      <c r="K347" t="s">
        <v>1514</v>
      </c>
      <c r="L347" t="s">
        <v>1514</v>
      </c>
      <c r="M347" t="s">
        <v>2053</v>
      </c>
      <c r="N347" t="s">
        <v>1514</v>
      </c>
      <c r="O347" t="s">
        <v>158</v>
      </c>
      <c r="P347" t="s">
        <v>1517</v>
      </c>
      <c r="Q347" t="s">
        <v>1514</v>
      </c>
      <c r="R347">
        <v>0</v>
      </c>
    </row>
    <row r="348" spans="1:18" x14ac:dyDescent="0.3">
      <c r="A348" t="s">
        <v>1081</v>
      </c>
      <c r="B348" t="s">
        <v>2054</v>
      </c>
      <c r="C348" t="s">
        <v>1082</v>
      </c>
      <c r="D348" t="s">
        <v>62</v>
      </c>
      <c r="E348" t="s">
        <v>89</v>
      </c>
      <c r="F348" t="s">
        <v>1083</v>
      </c>
      <c r="G348" t="s">
        <v>22</v>
      </c>
      <c r="H348" s="13">
        <v>44995</v>
      </c>
      <c r="I348" t="s">
        <v>33</v>
      </c>
      <c r="J348" t="s">
        <v>50</v>
      </c>
      <c r="K348" t="s">
        <v>1514</v>
      </c>
      <c r="L348" t="s">
        <v>1514</v>
      </c>
      <c r="M348" t="s">
        <v>1081</v>
      </c>
      <c r="N348" t="s">
        <v>1514</v>
      </c>
      <c r="O348" t="s">
        <v>89</v>
      </c>
      <c r="P348" t="s">
        <v>1517</v>
      </c>
      <c r="Q348" t="s">
        <v>1514</v>
      </c>
      <c r="R348">
        <v>0</v>
      </c>
    </row>
    <row r="349" spans="1:18" x14ac:dyDescent="0.3">
      <c r="A349" t="s">
        <v>1084</v>
      </c>
      <c r="B349" t="s">
        <v>2055</v>
      </c>
      <c r="C349" t="s">
        <v>1085</v>
      </c>
      <c r="D349" t="s">
        <v>47</v>
      </c>
      <c r="E349" t="s">
        <v>575</v>
      </c>
      <c r="F349" t="s">
        <v>1086</v>
      </c>
      <c r="G349" t="s">
        <v>22</v>
      </c>
      <c r="H349" s="13">
        <v>45710</v>
      </c>
      <c r="I349" t="s">
        <v>33</v>
      </c>
      <c r="K349" t="s">
        <v>1514</v>
      </c>
      <c r="L349" t="s">
        <v>1514</v>
      </c>
      <c r="M349" t="s">
        <v>47</v>
      </c>
      <c r="N349" t="s">
        <v>1514</v>
      </c>
      <c r="O349" t="s">
        <v>575</v>
      </c>
      <c r="P349" t="s">
        <v>1517</v>
      </c>
      <c r="Q349" t="s">
        <v>1514</v>
      </c>
      <c r="R349">
        <v>0</v>
      </c>
    </row>
    <row r="350" spans="1:18" x14ac:dyDescent="0.3">
      <c r="A350" t="s">
        <v>1087</v>
      </c>
      <c r="B350" t="s">
        <v>2056</v>
      </c>
      <c r="C350" t="s">
        <v>1088</v>
      </c>
      <c r="D350" t="s">
        <v>47</v>
      </c>
      <c r="E350" t="s">
        <v>425</v>
      </c>
      <c r="F350" t="s">
        <v>1089</v>
      </c>
      <c r="G350" t="s">
        <v>22</v>
      </c>
      <c r="H350" s="13">
        <v>45945</v>
      </c>
      <c r="I350" t="s">
        <v>33</v>
      </c>
      <c r="K350" t="s">
        <v>1514</v>
      </c>
      <c r="L350" t="s">
        <v>1514</v>
      </c>
      <c r="M350" t="s">
        <v>1515</v>
      </c>
      <c r="N350" t="s">
        <v>1516</v>
      </c>
      <c r="O350" t="s">
        <v>425</v>
      </c>
      <c r="P350" t="s">
        <v>1517</v>
      </c>
      <c r="Q350" t="s">
        <v>1518</v>
      </c>
      <c r="R350">
        <v>1</v>
      </c>
    </row>
    <row r="351" spans="1:18" x14ac:dyDescent="0.3">
      <c r="A351" t="s">
        <v>851</v>
      </c>
      <c r="B351" t="s">
        <v>2057</v>
      </c>
      <c r="C351" t="s">
        <v>1090</v>
      </c>
      <c r="D351" t="s">
        <v>27</v>
      </c>
      <c r="E351" t="s">
        <v>158</v>
      </c>
      <c r="F351" t="s">
        <v>1091</v>
      </c>
      <c r="G351" t="s">
        <v>22</v>
      </c>
      <c r="H351" s="13">
        <v>45938</v>
      </c>
      <c r="I351" t="s">
        <v>39</v>
      </c>
      <c r="K351" t="s">
        <v>1514</v>
      </c>
      <c r="L351" t="s">
        <v>1514</v>
      </c>
      <c r="M351" t="s">
        <v>1515</v>
      </c>
      <c r="N351" t="s">
        <v>1516</v>
      </c>
      <c r="O351" t="s">
        <v>158</v>
      </c>
      <c r="P351" t="s">
        <v>1517</v>
      </c>
      <c r="Q351" t="s">
        <v>1518</v>
      </c>
      <c r="R351">
        <v>1</v>
      </c>
    </row>
    <row r="352" spans="1:18" x14ac:dyDescent="0.3">
      <c r="A352" t="s">
        <v>1092</v>
      </c>
      <c r="B352" t="s">
        <v>2058</v>
      </c>
      <c r="C352" t="s">
        <v>1093</v>
      </c>
      <c r="D352" t="s">
        <v>42</v>
      </c>
      <c r="E352" t="s">
        <v>76</v>
      </c>
      <c r="F352" t="s">
        <v>1094</v>
      </c>
      <c r="G352" t="s">
        <v>15</v>
      </c>
      <c r="H352" s="13">
        <v>45401</v>
      </c>
      <c r="I352" t="s">
        <v>54</v>
      </c>
      <c r="K352" t="s">
        <v>1514</v>
      </c>
      <c r="L352" t="s">
        <v>1514</v>
      </c>
      <c r="M352" t="s">
        <v>2059</v>
      </c>
      <c r="N352" t="s">
        <v>1514</v>
      </c>
      <c r="O352" t="s">
        <v>76</v>
      </c>
      <c r="P352" t="s">
        <v>1517</v>
      </c>
      <c r="Q352" t="s">
        <v>1514</v>
      </c>
      <c r="R352">
        <v>0</v>
      </c>
    </row>
    <row r="353" spans="1:18" x14ac:dyDescent="0.3">
      <c r="A353" t="s">
        <v>1095</v>
      </c>
      <c r="B353" t="s">
        <v>2060</v>
      </c>
      <c r="C353" t="s">
        <v>1096</v>
      </c>
      <c r="D353" t="s">
        <v>62</v>
      </c>
      <c r="E353" t="s">
        <v>154</v>
      </c>
      <c r="F353" t="s">
        <v>1097</v>
      </c>
      <c r="G353" t="s">
        <v>22</v>
      </c>
      <c r="H353" s="13">
        <v>45877</v>
      </c>
      <c r="I353" t="s">
        <v>16</v>
      </c>
      <c r="J353" t="s">
        <v>24</v>
      </c>
      <c r="K353" t="s">
        <v>1514</v>
      </c>
      <c r="L353" t="s">
        <v>1514</v>
      </c>
      <c r="M353" t="s">
        <v>1515</v>
      </c>
      <c r="N353" t="s">
        <v>1516</v>
      </c>
      <c r="O353" t="s">
        <v>154</v>
      </c>
      <c r="P353" t="s">
        <v>1517</v>
      </c>
      <c r="Q353" t="s">
        <v>1518</v>
      </c>
      <c r="R353">
        <v>1</v>
      </c>
    </row>
    <row r="354" spans="1:18" x14ac:dyDescent="0.3">
      <c r="A354" t="s">
        <v>1098</v>
      </c>
      <c r="B354" t="s">
        <v>2061</v>
      </c>
      <c r="C354" t="s">
        <v>1099</v>
      </c>
      <c r="D354" t="s">
        <v>27</v>
      </c>
      <c r="E354" t="s">
        <v>241</v>
      </c>
      <c r="F354" t="s">
        <v>1100</v>
      </c>
      <c r="G354" t="s">
        <v>22</v>
      </c>
      <c r="H354" s="13">
        <v>45893</v>
      </c>
      <c r="I354" t="s">
        <v>54</v>
      </c>
      <c r="J354" t="s">
        <v>17</v>
      </c>
      <c r="K354" t="s">
        <v>1514</v>
      </c>
      <c r="L354" t="s">
        <v>1514</v>
      </c>
      <c r="M354" t="s">
        <v>241</v>
      </c>
      <c r="N354" t="s">
        <v>1514</v>
      </c>
      <c r="O354" t="s">
        <v>241</v>
      </c>
      <c r="P354" t="s">
        <v>1517</v>
      </c>
      <c r="Q354" t="s">
        <v>1514</v>
      </c>
      <c r="R354">
        <v>0</v>
      </c>
    </row>
    <row r="355" spans="1:18" x14ac:dyDescent="0.3">
      <c r="A355" t="s">
        <v>1101</v>
      </c>
      <c r="B355" t="s">
        <v>2062</v>
      </c>
      <c r="C355" t="s">
        <v>1102</v>
      </c>
      <c r="D355" t="s">
        <v>47</v>
      </c>
      <c r="E355" t="s">
        <v>181</v>
      </c>
      <c r="F355" t="s">
        <v>1103</v>
      </c>
      <c r="G355" t="s">
        <v>15</v>
      </c>
      <c r="H355" s="13">
        <v>45113</v>
      </c>
      <c r="I355" t="s">
        <v>23</v>
      </c>
      <c r="J355" t="s">
        <v>78</v>
      </c>
      <c r="K355" t="s">
        <v>1514</v>
      </c>
      <c r="L355" t="s">
        <v>1514</v>
      </c>
      <c r="M355" t="s">
        <v>181</v>
      </c>
      <c r="N355" t="s">
        <v>1514</v>
      </c>
      <c r="O355" t="s">
        <v>181</v>
      </c>
      <c r="P355" t="s">
        <v>1517</v>
      </c>
      <c r="Q355" t="s">
        <v>1514</v>
      </c>
      <c r="R355">
        <v>0</v>
      </c>
    </row>
    <row r="356" spans="1:18" x14ac:dyDescent="0.3">
      <c r="A356" t="s">
        <v>10</v>
      </c>
      <c r="B356" t="s">
        <v>2063</v>
      </c>
      <c r="C356" t="s">
        <v>1104</v>
      </c>
      <c r="D356" t="s">
        <v>12</v>
      </c>
      <c r="E356" t="s">
        <v>13</v>
      </c>
      <c r="F356" t="s">
        <v>1105</v>
      </c>
      <c r="G356" t="s">
        <v>15</v>
      </c>
      <c r="H356" s="13">
        <v>45114</v>
      </c>
      <c r="I356" t="s">
        <v>16</v>
      </c>
      <c r="K356" t="s">
        <v>1514</v>
      </c>
      <c r="L356" t="s">
        <v>1514</v>
      </c>
      <c r="M356" t="s">
        <v>1515</v>
      </c>
      <c r="N356" t="s">
        <v>1516</v>
      </c>
      <c r="O356" t="s">
        <v>13</v>
      </c>
      <c r="P356" t="s">
        <v>1517</v>
      </c>
      <c r="Q356" t="s">
        <v>1518</v>
      </c>
      <c r="R356">
        <v>1</v>
      </c>
    </row>
    <row r="357" spans="1:18" x14ac:dyDescent="0.3">
      <c r="A357" t="s">
        <v>1106</v>
      </c>
      <c r="B357" t="s">
        <v>2064</v>
      </c>
      <c r="C357" t="s">
        <v>1107</v>
      </c>
      <c r="D357" t="s">
        <v>42</v>
      </c>
      <c r="E357" t="s">
        <v>305</v>
      </c>
      <c r="F357" t="s">
        <v>1108</v>
      </c>
      <c r="G357" t="s">
        <v>22</v>
      </c>
      <c r="H357" s="13">
        <v>45785</v>
      </c>
      <c r="I357" t="s">
        <v>54</v>
      </c>
      <c r="K357" t="s">
        <v>1514</v>
      </c>
      <c r="L357" t="s">
        <v>1514</v>
      </c>
      <c r="M357" t="s">
        <v>42</v>
      </c>
      <c r="N357" t="s">
        <v>1514</v>
      </c>
      <c r="O357" t="s">
        <v>305</v>
      </c>
      <c r="P357" t="s">
        <v>1517</v>
      </c>
      <c r="Q357" t="s">
        <v>1514</v>
      </c>
      <c r="R357">
        <v>0</v>
      </c>
    </row>
    <row r="358" spans="1:18" x14ac:dyDescent="0.3">
      <c r="A358" t="s">
        <v>65</v>
      </c>
      <c r="B358" t="s">
        <v>2065</v>
      </c>
      <c r="C358" t="s">
        <v>1109</v>
      </c>
      <c r="D358" t="s">
        <v>36</v>
      </c>
      <c r="E358" t="s">
        <v>67</v>
      </c>
      <c r="F358" t="s">
        <v>1110</v>
      </c>
      <c r="G358" t="s">
        <v>22</v>
      </c>
      <c r="H358" s="13">
        <v>45044</v>
      </c>
      <c r="I358" t="s">
        <v>39</v>
      </c>
      <c r="K358" t="s">
        <v>1514</v>
      </c>
      <c r="L358" t="s">
        <v>1514</v>
      </c>
      <c r="M358" t="s">
        <v>67</v>
      </c>
      <c r="N358" t="s">
        <v>1514</v>
      </c>
      <c r="O358" t="s">
        <v>67</v>
      </c>
      <c r="P358" t="s">
        <v>1517</v>
      </c>
      <c r="Q358" t="s">
        <v>1514</v>
      </c>
      <c r="R358">
        <v>0</v>
      </c>
    </row>
    <row r="359" spans="1:18" x14ac:dyDescent="0.3">
      <c r="A359" t="s">
        <v>1111</v>
      </c>
      <c r="B359" t="s">
        <v>2066</v>
      </c>
      <c r="C359" t="s">
        <v>1112</v>
      </c>
      <c r="D359" t="s">
        <v>42</v>
      </c>
      <c r="E359" t="s">
        <v>305</v>
      </c>
      <c r="F359" t="s">
        <v>1113</v>
      </c>
      <c r="G359" t="s">
        <v>22</v>
      </c>
      <c r="H359" s="13">
        <v>45921</v>
      </c>
      <c r="I359" t="s">
        <v>23</v>
      </c>
      <c r="J359" t="s">
        <v>50</v>
      </c>
      <c r="K359" t="s">
        <v>1514</v>
      </c>
      <c r="L359" t="s">
        <v>1514</v>
      </c>
      <c r="M359" t="s">
        <v>2067</v>
      </c>
      <c r="N359" t="s">
        <v>1514</v>
      </c>
      <c r="O359" t="s">
        <v>305</v>
      </c>
      <c r="P359" t="s">
        <v>1517</v>
      </c>
      <c r="Q359" t="s">
        <v>1514</v>
      </c>
      <c r="R359">
        <v>0</v>
      </c>
    </row>
    <row r="360" spans="1:18" x14ac:dyDescent="0.3">
      <c r="A360" t="s">
        <v>1114</v>
      </c>
      <c r="B360" t="s">
        <v>2068</v>
      </c>
      <c r="C360" t="s">
        <v>1115</v>
      </c>
      <c r="D360" t="s">
        <v>12</v>
      </c>
      <c r="E360" t="s">
        <v>20</v>
      </c>
      <c r="F360" t="s">
        <v>1116</v>
      </c>
      <c r="G360" t="s">
        <v>15</v>
      </c>
      <c r="H360" s="13">
        <v>44979</v>
      </c>
      <c r="I360" t="s">
        <v>33</v>
      </c>
      <c r="K360" t="s">
        <v>1514</v>
      </c>
      <c r="L360" t="s">
        <v>1514</v>
      </c>
      <c r="M360" t="s">
        <v>1114</v>
      </c>
      <c r="N360" t="s">
        <v>1514</v>
      </c>
      <c r="O360" t="s">
        <v>20</v>
      </c>
      <c r="P360" t="s">
        <v>1517</v>
      </c>
      <c r="Q360" t="s">
        <v>1514</v>
      </c>
      <c r="R360">
        <v>0</v>
      </c>
    </row>
    <row r="361" spans="1:18" x14ac:dyDescent="0.3">
      <c r="A361" t="s">
        <v>1117</v>
      </c>
      <c r="B361" t="s">
        <v>2069</v>
      </c>
      <c r="C361" t="s">
        <v>1118</v>
      </c>
      <c r="D361" t="s">
        <v>62</v>
      </c>
      <c r="E361" t="s">
        <v>316</v>
      </c>
      <c r="F361" t="s">
        <v>1119</v>
      </c>
      <c r="G361" t="s">
        <v>22</v>
      </c>
      <c r="H361" s="13">
        <v>44955</v>
      </c>
      <c r="I361" t="s">
        <v>54</v>
      </c>
      <c r="J361" t="s">
        <v>24</v>
      </c>
      <c r="K361" t="s">
        <v>1514</v>
      </c>
      <c r="L361" t="s">
        <v>1514</v>
      </c>
      <c r="M361" t="s">
        <v>2070</v>
      </c>
      <c r="N361" t="s">
        <v>1514</v>
      </c>
      <c r="O361" t="s">
        <v>316</v>
      </c>
      <c r="P361" t="s">
        <v>1517</v>
      </c>
      <c r="Q361" t="s">
        <v>1514</v>
      </c>
      <c r="R361">
        <v>0</v>
      </c>
    </row>
    <row r="362" spans="1:18" x14ac:dyDescent="0.3">
      <c r="A362" t="s">
        <v>561</v>
      </c>
      <c r="B362" t="s">
        <v>2071</v>
      </c>
      <c r="C362" t="s">
        <v>1120</v>
      </c>
      <c r="D362" t="s">
        <v>173</v>
      </c>
      <c r="E362" t="s">
        <v>191</v>
      </c>
      <c r="F362" t="s">
        <v>1121</v>
      </c>
      <c r="G362" t="s">
        <v>22</v>
      </c>
      <c r="H362" s="13">
        <v>45061</v>
      </c>
      <c r="I362" t="s">
        <v>23</v>
      </c>
      <c r="J362" t="s">
        <v>78</v>
      </c>
      <c r="K362" t="s">
        <v>1514</v>
      </c>
      <c r="L362" t="s">
        <v>1514</v>
      </c>
      <c r="M362" t="s">
        <v>191</v>
      </c>
      <c r="N362" t="s">
        <v>1514</v>
      </c>
      <c r="O362" t="s">
        <v>191</v>
      </c>
      <c r="P362" t="s">
        <v>1517</v>
      </c>
      <c r="Q362" t="s">
        <v>1514</v>
      </c>
      <c r="R362">
        <v>0</v>
      </c>
    </row>
    <row r="363" spans="1:18" x14ac:dyDescent="0.3">
      <c r="A363" t="s">
        <v>333</v>
      </c>
      <c r="B363" t="s">
        <v>2072</v>
      </c>
      <c r="C363" t="s">
        <v>1122</v>
      </c>
      <c r="D363" t="s">
        <v>47</v>
      </c>
      <c r="E363" t="s">
        <v>112</v>
      </c>
      <c r="F363" t="s">
        <v>1123</v>
      </c>
      <c r="G363" t="s">
        <v>15</v>
      </c>
      <c r="H363" s="13">
        <v>45687</v>
      </c>
      <c r="I363" t="s">
        <v>23</v>
      </c>
      <c r="J363" t="s">
        <v>50</v>
      </c>
      <c r="K363" t="s">
        <v>1514</v>
      </c>
      <c r="L363" t="s">
        <v>1514</v>
      </c>
      <c r="M363" t="s">
        <v>112</v>
      </c>
      <c r="N363" t="s">
        <v>1514</v>
      </c>
      <c r="O363" t="s">
        <v>112</v>
      </c>
      <c r="P363" t="s">
        <v>1517</v>
      </c>
      <c r="Q363" t="s">
        <v>1514</v>
      </c>
      <c r="R363">
        <v>0</v>
      </c>
    </row>
    <row r="364" spans="1:18" x14ac:dyDescent="0.3">
      <c r="A364" t="s">
        <v>1124</v>
      </c>
      <c r="B364" t="s">
        <v>2073</v>
      </c>
      <c r="C364" t="s">
        <v>1125</v>
      </c>
      <c r="D364" t="s">
        <v>62</v>
      </c>
      <c r="E364" t="s">
        <v>63</v>
      </c>
      <c r="F364" t="s">
        <v>1126</v>
      </c>
      <c r="G364" t="s">
        <v>15</v>
      </c>
      <c r="H364" s="13">
        <v>45954</v>
      </c>
      <c r="I364" t="s">
        <v>16</v>
      </c>
      <c r="J364" t="s">
        <v>95</v>
      </c>
      <c r="K364" t="s">
        <v>1514</v>
      </c>
      <c r="L364" t="s">
        <v>1514</v>
      </c>
      <c r="M364" t="s">
        <v>2074</v>
      </c>
      <c r="N364" t="s">
        <v>1514</v>
      </c>
      <c r="O364" t="s">
        <v>63</v>
      </c>
      <c r="P364" t="s">
        <v>1517</v>
      </c>
      <c r="Q364" t="s">
        <v>1514</v>
      </c>
      <c r="R364">
        <v>0</v>
      </c>
    </row>
    <row r="365" spans="1:18" x14ac:dyDescent="0.3">
      <c r="A365" t="s">
        <v>1127</v>
      </c>
      <c r="B365" t="s">
        <v>2075</v>
      </c>
      <c r="C365" t="s">
        <v>1128</v>
      </c>
      <c r="D365" t="s">
        <v>62</v>
      </c>
      <c r="E365" t="s">
        <v>63</v>
      </c>
      <c r="F365" t="s">
        <v>1129</v>
      </c>
      <c r="G365" t="s">
        <v>22</v>
      </c>
      <c r="H365" s="13">
        <v>45052</v>
      </c>
      <c r="I365" t="s">
        <v>54</v>
      </c>
      <c r="K365" t="s">
        <v>1514</v>
      </c>
      <c r="L365" t="s">
        <v>1514</v>
      </c>
      <c r="M365" t="s">
        <v>2076</v>
      </c>
      <c r="N365" t="s">
        <v>1514</v>
      </c>
      <c r="O365" t="s">
        <v>63</v>
      </c>
      <c r="P365" t="s">
        <v>1517</v>
      </c>
      <c r="Q365" t="s">
        <v>1514</v>
      </c>
      <c r="R365">
        <v>0</v>
      </c>
    </row>
    <row r="366" spans="1:18" x14ac:dyDescent="0.3">
      <c r="A366" t="s">
        <v>246</v>
      </c>
      <c r="B366" t="s">
        <v>2077</v>
      </c>
      <c r="C366" t="s">
        <v>1130</v>
      </c>
      <c r="D366" t="s">
        <v>84</v>
      </c>
      <c r="E366" t="s">
        <v>248</v>
      </c>
      <c r="F366" t="s">
        <v>1131</v>
      </c>
      <c r="G366" t="s">
        <v>15</v>
      </c>
      <c r="H366" s="13">
        <v>44960</v>
      </c>
      <c r="I366" t="s">
        <v>23</v>
      </c>
      <c r="J366" t="s">
        <v>17</v>
      </c>
      <c r="K366" t="s">
        <v>1514</v>
      </c>
      <c r="L366" t="s">
        <v>1514</v>
      </c>
      <c r="M366" t="s">
        <v>248</v>
      </c>
      <c r="N366" t="s">
        <v>1514</v>
      </c>
      <c r="O366" t="s">
        <v>248</v>
      </c>
      <c r="P366" t="s">
        <v>1517</v>
      </c>
      <c r="Q366" t="s">
        <v>1514</v>
      </c>
      <c r="R366">
        <v>0</v>
      </c>
    </row>
    <row r="367" spans="1:18" x14ac:dyDescent="0.3">
      <c r="A367" t="s">
        <v>1132</v>
      </c>
      <c r="B367" t="s">
        <v>2078</v>
      </c>
      <c r="C367" t="s">
        <v>1133</v>
      </c>
      <c r="D367" t="s">
        <v>84</v>
      </c>
      <c r="E367" t="s">
        <v>201</v>
      </c>
      <c r="F367" t="s">
        <v>1134</v>
      </c>
      <c r="G367" t="s">
        <v>15</v>
      </c>
      <c r="H367" s="13">
        <v>45891</v>
      </c>
      <c r="I367" t="s">
        <v>54</v>
      </c>
      <c r="J367" t="s">
        <v>24</v>
      </c>
      <c r="K367" t="s">
        <v>1514</v>
      </c>
      <c r="L367" t="s">
        <v>1514</v>
      </c>
      <c r="M367" t="s">
        <v>2079</v>
      </c>
      <c r="N367" t="s">
        <v>1514</v>
      </c>
      <c r="O367" t="s">
        <v>201</v>
      </c>
      <c r="P367" t="s">
        <v>1517</v>
      </c>
      <c r="Q367" t="s">
        <v>1514</v>
      </c>
      <c r="R367">
        <v>0</v>
      </c>
    </row>
    <row r="368" spans="1:18" x14ac:dyDescent="0.3">
      <c r="A368" t="s">
        <v>561</v>
      </c>
      <c r="B368" t="s">
        <v>2080</v>
      </c>
      <c r="C368" t="s">
        <v>1135</v>
      </c>
      <c r="D368" t="s">
        <v>173</v>
      </c>
      <c r="E368" t="s">
        <v>191</v>
      </c>
      <c r="F368" t="s">
        <v>1136</v>
      </c>
      <c r="G368" t="s">
        <v>15</v>
      </c>
      <c r="H368" s="13">
        <v>45572</v>
      </c>
      <c r="I368" t="s">
        <v>39</v>
      </c>
      <c r="K368" t="s">
        <v>1514</v>
      </c>
      <c r="L368" t="s">
        <v>1514</v>
      </c>
      <c r="M368" t="s">
        <v>191</v>
      </c>
      <c r="N368" t="s">
        <v>1514</v>
      </c>
      <c r="O368" t="s">
        <v>191</v>
      </c>
      <c r="P368" t="s">
        <v>1517</v>
      </c>
      <c r="Q368" t="s">
        <v>1514</v>
      </c>
      <c r="R368">
        <v>0</v>
      </c>
    </row>
    <row r="369" spans="1:18" x14ac:dyDescent="0.3">
      <c r="A369" t="s">
        <v>1137</v>
      </c>
      <c r="B369" t="s">
        <v>2081</v>
      </c>
      <c r="C369" t="s">
        <v>1138</v>
      </c>
      <c r="D369" t="s">
        <v>47</v>
      </c>
      <c r="E369" t="s">
        <v>181</v>
      </c>
      <c r="F369" t="s">
        <v>1139</v>
      </c>
      <c r="G369" t="s">
        <v>22</v>
      </c>
      <c r="H369" s="13">
        <v>45636</v>
      </c>
      <c r="I369" t="s">
        <v>33</v>
      </c>
      <c r="J369" t="s">
        <v>24</v>
      </c>
      <c r="K369" t="s">
        <v>1514</v>
      </c>
      <c r="L369" t="s">
        <v>1514</v>
      </c>
      <c r="M369" t="s">
        <v>2082</v>
      </c>
      <c r="N369" t="s">
        <v>1514</v>
      </c>
      <c r="O369" t="s">
        <v>181</v>
      </c>
      <c r="P369" t="s">
        <v>1517</v>
      </c>
      <c r="Q369" t="s">
        <v>1514</v>
      </c>
      <c r="R369">
        <v>0</v>
      </c>
    </row>
    <row r="370" spans="1:18" x14ac:dyDescent="0.3">
      <c r="A370" t="s">
        <v>1140</v>
      </c>
      <c r="B370" t="s">
        <v>2083</v>
      </c>
      <c r="C370" t="s">
        <v>1141</v>
      </c>
      <c r="D370" t="s">
        <v>62</v>
      </c>
      <c r="E370" t="s">
        <v>316</v>
      </c>
      <c r="F370" t="s">
        <v>1142</v>
      </c>
      <c r="G370" t="s">
        <v>15</v>
      </c>
      <c r="H370" s="13">
        <v>45087</v>
      </c>
      <c r="I370" t="s">
        <v>16</v>
      </c>
      <c r="J370" t="s">
        <v>95</v>
      </c>
      <c r="K370" t="s">
        <v>1514</v>
      </c>
      <c r="L370" t="s">
        <v>1514</v>
      </c>
      <c r="M370" t="s">
        <v>2084</v>
      </c>
      <c r="N370" t="s">
        <v>1514</v>
      </c>
      <c r="O370" t="s">
        <v>316</v>
      </c>
      <c r="P370" t="s">
        <v>1517</v>
      </c>
      <c r="Q370" t="s">
        <v>1514</v>
      </c>
      <c r="R370">
        <v>0</v>
      </c>
    </row>
    <row r="371" spans="1:18" x14ac:dyDescent="0.3">
      <c r="A371" t="s">
        <v>1143</v>
      </c>
      <c r="B371" t="s">
        <v>2085</v>
      </c>
      <c r="C371" t="s">
        <v>1144</v>
      </c>
      <c r="D371" t="s">
        <v>47</v>
      </c>
      <c r="E371" t="s">
        <v>181</v>
      </c>
      <c r="F371" t="s">
        <v>1145</v>
      </c>
      <c r="G371" t="s">
        <v>22</v>
      </c>
      <c r="H371" s="13">
        <v>45850</v>
      </c>
      <c r="I371" t="s">
        <v>33</v>
      </c>
      <c r="J371" t="s">
        <v>95</v>
      </c>
      <c r="K371" t="s">
        <v>1514</v>
      </c>
      <c r="L371" t="s">
        <v>1514</v>
      </c>
      <c r="M371" t="s">
        <v>2086</v>
      </c>
      <c r="N371" t="s">
        <v>1514</v>
      </c>
      <c r="O371" t="s">
        <v>181</v>
      </c>
      <c r="P371" t="s">
        <v>1517</v>
      </c>
      <c r="Q371" t="s">
        <v>1514</v>
      </c>
      <c r="R371">
        <v>0</v>
      </c>
    </row>
    <row r="372" spans="1:18" x14ac:dyDescent="0.3">
      <c r="A372" t="s">
        <v>1146</v>
      </c>
      <c r="B372" t="s">
        <v>2087</v>
      </c>
      <c r="C372" t="s">
        <v>1147</v>
      </c>
      <c r="D372" t="s">
        <v>57</v>
      </c>
      <c r="E372" t="s">
        <v>481</v>
      </c>
      <c r="F372" t="s">
        <v>1148</v>
      </c>
      <c r="G372" t="s">
        <v>22</v>
      </c>
      <c r="H372" s="13">
        <v>45725</v>
      </c>
      <c r="I372" t="s">
        <v>39</v>
      </c>
      <c r="J372" t="s">
        <v>78</v>
      </c>
      <c r="K372" t="s">
        <v>1514</v>
      </c>
      <c r="L372" t="s">
        <v>1514</v>
      </c>
      <c r="M372" t="s">
        <v>2088</v>
      </c>
      <c r="N372" t="s">
        <v>1514</v>
      </c>
      <c r="O372" t="s">
        <v>481</v>
      </c>
      <c r="P372" t="s">
        <v>1517</v>
      </c>
      <c r="Q372" t="s">
        <v>1514</v>
      </c>
      <c r="R372">
        <v>0</v>
      </c>
    </row>
    <row r="373" spans="1:18" x14ac:dyDescent="0.3">
      <c r="A373" t="s">
        <v>1149</v>
      </c>
      <c r="B373" t="s">
        <v>2089</v>
      </c>
      <c r="C373" t="s">
        <v>1150</v>
      </c>
      <c r="D373" t="s">
        <v>27</v>
      </c>
      <c r="E373" t="s">
        <v>98</v>
      </c>
      <c r="F373" t="s">
        <v>1151</v>
      </c>
      <c r="G373" t="s">
        <v>22</v>
      </c>
      <c r="H373" s="13">
        <v>45688</v>
      </c>
      <c r="I373" t="s">
        <v>33</v>
      </c>
      <c r="J373" t="s">
        <v>24</v>
      </c>
      <c r="K373" t="s">
        <v>1514</v>
      </c>
      <c r="L373" t="s">
        <v>1514</v>
      </c>
      <c r="M373" t="s">
        <v>2090</v>
      </c>
      <c r="N373" t="s">
        <v>1514</v>
      </c>
      <c r="O373" t="s">
        <v>98</v>
      </c>
      <c r="P373" t="s">
        <v>1517</v>
      </c>
      <c r="Q373" t="s">
        <v>1514</v>
      </c>
      <c r="R373">
        <v>0</v>
      </c>
    </row>
    <row r="374" spans="1:18" x14ac:dyDescent="0.3">
      <c r="A374" t="s">
        <v>1152</v>
      </c>
      <c r="B374" t="s">
        <v>2091</v>
      </c>
      <c r="C374" t="s">
        <v>1153</v>
      </c>
      <c r="D374" t="s">
        <v>57</v>
      </c>
      <c r="E374" t="s">
        <v>481</v>
      </c>
      <c r="F374" t="s">
        <v>1154</v>
      </c>
      <c r="G374" t="s">
        <v>15</v>
      </c>
      <c r="H374" s="13">
        <v>45358</v>
      </c>
      <c r="I374" t="s">
        <v>39</v>
      </c>
      <c r="K374" t="s">
        <v>1514</v>
      </c>
      <c r="L374" t="s">
        <v>1514</v>
      </c>
      <c r="M374" t="s">
        <v>2092</v>
      </c>
      <c r="N374" t="s">
        <v>1514</v>
      </c>
      <c r="O374" t="s">
        <v>481</v>
      </c>
      <c r="P374" t="s">
        <v>1517</v>
      </c>
      <c r="Q374" t="s">
        <v>1514</v>
      </c>
      <c r="R374">
        <v>0</v>
      </c>
    </row>
    <row r="375" spans="1:18" x14ac:dyDescent="0.3">
      <c r="A375" t="s">
        <v>1155</v>
      </c>
      <c r="B375" t="s">
        <v>2093</v>
      </c>
      <c r="C375" t="s">
        <v>1156</v>
      </c>
      <c r="D375" t="s">
        <v>57</v>
      </c>
      <c r="E375" t="s">
        <v>252</v>
      </c>
      <c r="F375" t="s">
        <v>1157</v>
      </c>
      <c r="G375" t="s">
        <v>22</v>
      </c>
      <c r="H375" s="13">
        <v>45035</v>
      </c>
      <c r="I375" t="s">
        <v>54</v>
      </c>
      <c r="K375" t="s">
        <v>1514</v>
      </c>
      <c r="L375" t="s">
        <v>1514</v>
      </c>
      <c r="M375" t="s">
        <v>2094</v>
      </c>
      <c r="N375" t="s">
        <v>1514</v>
      </c>
      <c r="O375" t="s">
        <v>252</v>
      </c>
      <c r="P375" t="s">
        <v>1517</v>
      </c>
      <c r="Q375" t="s">
        <v>1514</v>
      </c>
      <c r="R375">
        <v>0</v>
      </c>
    </row>
    <row r="376" spans="1:18" x14ac:dyDescent="0.3">
      <c r="A376" t="s">
        <v>994</v>
      </c>
      <c r="B376" t="s">
        <v>2095</v>
      </c>
      <c r="C376" t="s">
        <v>1158</v>
      </c>
      <c r="D376" t="s">
        <v>42</v>
      </c>
      <c r="E376" t="s">
        <v>76</v>
      </c>
      <c r="F376" t="s">
        <v>1159</v>
      </c>
      <c r="G376" t="s">
        <v>15</v>
      </c>
      <c r="H376" s="13">
        <v>45733</v>
      </c>
      <c r="I376" t="s">
        <v>39</v>
      </c>
      <c r="J376" t="s">
        <v>95</v>
      </c>
      <c r="K376" t="s">
        <v>1514</v>
      </c>
      <c r="L376" t="s">
        <v>1514</v>
      </c>
      <c r="M376" t="s">
        <v>76</v>
      </c>
      <c r="N376" t="s">
        <v>1514</v>
      </c>
      <c r="O376" t="s">
        <v>76</v>
      </c>
      <c r="P376" t="s">
        <v>1517</v>
      </c>
      <c r="Q376" t="s">
        <v>1514</v>
      </c>
      <c r="R376">
        <v>0</v>
      </c>
    </row>
    <row r="377" spans="1:18" x14ac:dyDescent="0.3">
      <c r="A377" t="s">
        <v>1160</v>
      </c>
      <c r="B377" t="s">
        <v>2096</v>
      </c>
      <c r="C377" t="s">
        <v>1161</v>
      </c>
      <c r="D377" t="s">
        <v>12</v>
      </c>
      <c r="E377" t="s">
        <v>123</v>
      </c>
      <c r="F377" t="s">
        <v>1162</v>
      </c>
      <c r="G377" t="s">
        <v>22</v>
      </c>
      <c r="H377" s="13">
        <v>45769</v>
      </c>
      <c r="I377" t="s">
        <v>23</v>
      </c>
      <c r="K377" t="s">
        <v>1514</v>
      </c>
      <c r="L377" t="s">
        <v>1514</v>
      </c>
      <c r="M377" t="s">
        <v>2097</v>
      </c>
      <c r="N377" t="s">
        <v>1514</v>
      </c>
      <c r="O377" t="s">
        <v>123</v>
      </c>
      <c r="P377" t="s">
        <v>1517</v>
      </c>
      <c r="Q377" t="s">
        <v>1514</v>
      </c>
      <c r="R377">
        <v>0</v>
      </c>
    </row>
    <row r="378" spans="1:18" x14ac:dyDescent="0.3">
      <c r="A378" t="s">
        <v>597</v>
      </c>
      <c r="B378" t="s">
        <v>2098</v>
      </c>
      <c r="C378" t="s">
        <v>1163</v>
      </c>
      <c r="D378" t="s">
        <v>42</v>
      </c>
      <c r="E378" t="s">
        <v>76</v>
      </c>
      <c r="F378" t="s">
        <v>1164</v>
      </c>
      <c r="G378" t="s">
        <v>15</v>
      </c>
      <c r="H378" s="13">
        <v>45113</v>
      </c>
      <c r="I378" t="s">
        <v>33</v>
      </c>
      <c r="J378" t="s">
        <v>17</v>
      </c>
      <c r="K378" t="s">
        <v>1514</v>
      </c>
      <c r="L378" t="s">
        <v>1514</v>
      </c>
      <c r="M378" t="s">
        <v>1515</v>
      </c>
      <c r="N378" t="s">
        <v>1516</v>
      </c>
      <c r="O378" t="s">
        <v>76</v>
      </c>
      <c r="P378" t="s">
        <v>1517</v>
      </c>
      <c r="Q378" t="s">
        <v>1518</v>
      </c>
      <c r="R378">
        <v>1</v>
      </c>
    </row>
    <row r="379" spans="1:18" x14ac:dyDescent="0.3">
      <c r="A379" t="s">
        <v>1165</v>
      </c>
      <c r="B379" t="s">
        <v>2099</v>
      </c>
      <c r="C379" t="s">
        <v>1166</v>
      </c>
      <c r="D379" t="s">
        <v>173</v>
      </c>
      <c r="E379" t="s">
        <v>328</v>
      </c>
      <c r="F379" t="s">
        <v>1167</v>
      </c>
      <c r="G379" t="s">
        <v>22</v>
      </c>
      <c r="H379" s="13">
        <v>45673</v>
      </c>
      <c r="I379" t="s">
        <v>16</v>
      </c>
      <c r="K379" t="s">
        <v>1514</v>
      </c>
      <c r="L379" t="s">
        <v>1514</v>
      </c>
      <c r="M379" t="s">
        <v>2100</v>
      </c>
      <c r="N379" t="s">
        <v>1514</v>
      </c>
      <c r="O379" t="s">
        <v>328</v>
      </c>
      <c r="P379" t="s">
        <v>1517</v>
      </c>
      <c r="Q379" t="s">
        <v>1514</v>
      </c>
      <c r="R379">
        <v>0</v>
      </c>
    </row>
    <row r="380" spans="1:18" x14ac:dyDescent="0.3">
      <c r="A380" t="s">
        <v>1168</v>
      </c>
      <c r="B380" t="s">
        <v>2101</v>
      </c>
      <c r="C380" t="s">
        <v>1169</v>
      </c>
      <c r="D380" t="s">
        <v>173</v>
      </c>
      <c r="E380" t="s">
        <v>191</v>
      </c>
      <c r="F380" t="s">
        <v>1170</v>
      </c>
      <c r="G380" t="s">
        <v>22</v>
      </c>
      <c r="H380" s="13">
        <v>44950</v>
      </c>
      <c r="I380" t="s">
        <v>33</v>
      </c>
      <c r="J380" t="s">
        <v>95</v>
      </c>
      <c r="K380" t="s">
        <v>1514</v>
      </c>
      <c r="L380" t="s">
        <v>1514</v>
      </c>
      <c r="M380" t="s">
        <v>2102</v>
      </c>
      <c r="N380" t="s">
        <v>1514</v>
      </c>
      <c r="O380" t="s">
        <v>191</v>
      </c>
      <c r="P380" t="s">
        <v>1517</v>
      </c>
      <c r="Q380" t="s">
        <v>1514</v>
      </c>
      <c r="R380">
        <v>0</v>
      </c>
    </row>
    <row r="381" spans="1:18" x14ac:dyDescent="0.3">
      <c r="A381" t="s">
        <v>1171</v>
      </c>
      <c r="B381" t="s">
        <v>2103</v>
      </c>
      <c r="C381" t="s">
        <v>1172</v>
      </c>
      <c r="D381" t="s">
        <v>47</v>
      </c>
      <c r="E381" t="s">
        <v>575</v>
      </c>
      <c r="F381" t="s">
        <v>1173</v>
      </c>
      <c r="G381" t="s">
        <v>15</v>
      </c>
      <c r="H381" s="13">
        <v>45526</v>
      </c>
      <c r="I381" t="s">
        <v>23</v>
      </c>
      <c r="J381" t="s">
        <v>24</v>
      </c>
      <c r="K381" t="s">
        <v>1514</v>
      </c>
      <c r="L381" t="s">
        <v>1514</v>
      </c>
      <c r="M381" t="s">
        <v>575</v>
      </c>
      <c r="N381" t="s">
        <v>1514</v>
      </c>
      <c r="O381" t="s">
        <v>575</v>
      </c>
      <c r="P381" t="s">
        <v>1517</v>
      </c>
      <c r="Q381" t="s">
        <v>1514</v>
      </c>
      <c r="R381">
        <v>0</v>
      </c>
    </row>
    <row r="382" spans="1:18" x14ac:dyDescent="0.3">
      <c r="A382" t="s">
        <v>1174</v>
      </c>
      <c r="B382" t="s">
        <v>2104</v>
      </c>
      <c r="C382" t="s">
        <v>1175</v>
      </c>
      <c r="D382" t="s">
        <v>36</v>
      </c>
      <c r="E382" t="s">
        <v>67</v>
      </c>
      <c r="F382" t="s">
        <v>1176</v>
      </c>
      <c r="G382" t="s">
        <v>15</v>
      </c>
      <c r="H382" s="13">
        <v>45972</v>
      </c>
      <c r="I382" t="s">
        <v>39</v>
      </c>
      <c r="J382" t="s">
        <v>78</v>
      </c>
      <c r="K382" t="s">
        <v>1514</v>
      </c>
      <c r="L382" t="s">
        <v>1514</v>
      </c>
      <c r="M382" t="s">
        <v>1174</v>
      </c>
      <c r="N382" t="s">
        <v>1514</v>
      </c>
      <c r="O382" t="s">
        <v>67</v>
      </c>
      <c r="P382" t="s">
        <v>1517</v>
      </c>
      <c r="Q382" t="s">
        <v>1514</v>
      </c>
      <c r="R382">
        <v>0</v>
      </c>
    </row>
    <row r="383" spans="1:18" x14ac:dyDescent="0.3">
      <c r="A383" t="s">
        <v>1177</v>
      </c>
      <c r="B383" t="s">
        <v>2105</v>
      </c>
      <c r="C383" t="s">
        <v>1178</v>
      </c>
      <c r="D383" t="s">
        <v>47</v>
      </c>
      <c r="E383" t="s">
        <v>425</v>
      </c>
      <c r="F383" t="s">
        <v>1179</v>
      </c>
      <c r="G383" t="s">
        <v>15</v>
      </c>
      <c r="H383" s="13">
        <v>45938</v>
      </c>
      <c r="I383" t="s">
        <v>16</v>
      </c>
      <c r="K383" t="s">
        <v>1514</v>
      </c>
      <c r="L383" t="s">
        <v>1514</v>
      </c>
      <c r="M383" t="s">
        <v>2106</v>
      </c>
      <c r="N383" t="s">
        <v>1514</v>
      </c>
      <c r="O383" t="s">
        <v>425</v>
      </c>
      <c r="P383" t="s">
        <v>1517</v>
      </c>
      <c r="Q383" t="s">
        <v>1514</v>
      </c>
      <c r="R383">
        <v>0</v>
      </c>
    </row>
    <row r="384" spans="1:18" x14ac:dyDescent="0.3">
      <c r="A384" t="s">
        <v>1180</v>
      </c>
      <c r="B384" t="s">
        <v>2107</v>
      </c>
      <c r="C384" t="s">
        <v>1181</v>
      </c>
      <c r="D384" t="s">
        <v>36</v>
      </c>
      <c r="E384" t="s">
        <v>67</v>
      </c>
      <c r="F384" t="s">
        <v>1182</v>
      </c>
      <c r="G384" t="s">
        <v>15</v>
      </c>
      <c r="H384" s="13">
        <v>45230</v>
      </c>
      <c r="I384" t="s">
        <v>23</v>
      </c>
      <c r="J384" t="s">
        <v>78</v>
      </c>
      <c r="K384" t="s">
        <v>1514</v>
      </c>
      <c r="L384" t="s">
        <v>1514</v>
      </c>
      <c r="M384" t="s">
        <v>2108</v>
      </c>
      <c r="N384" t="s">
        <v>1514</v>
      </c>
      <c r="O384" t="s">
        <v>67</v>
      </c>
      <c r="P384" t="s">
        <v>1517</v>
      </c>
      <c r="Q384" t="s">
        <v>1514</v>
      </c>
      <c r="R384">
        <v>0</v>
      </c>
    </row>
    <row r="385" spans="1:18" x14ac:dyDescent="0.3">
      <c r="A385" t="s">
        <v>1183</v>
      </c>
      <c r="B385" t="s">
        <v>2109</v>
      </c>
      <c r="C385" t="s">
        <v>1184</v>
      </c>
      <c r="D385" t="s">
        <v>42</v>
      </c>
      <c r="E385" t="s">
        <v>76</v>
      </c>
      <c r="F385" t="s">
        <v>1185</v>
      </c>
      <c r="G385" t="s">
        <v>22</v>
      </c>
      <c r="H385" s="13">
        <v>45692</v>
      </c>
      <c r="I385" t="s">
        <v>54</v>
      </c>
      <c r="J385" t="s">
        <v>50</v>
      </c>
      <c r="K385" t="s">
        <v>1514</v>
      </c>
      <c r="L385" t="s">
        <v>1514</v>
      </c>
      <c r="M385" t="s">
        <v>2110</v>
      </c>
      <c r="N385" t="s">
        <v>1514</v>
      </c>
      <c r="O385" t="s">
        <v>76</v>
      </c>
      <c r="P385" t="s">
        <v>1517</v>
      </c>
      <c r="Q385" t="s">
        <v>1514</v>
      </c>
      <c r="R385">
        <v>0</v>
      </c>
    </row>
    <row r="386" spans="1:18" x14ac:dyDescent="0.3">
      <c r="A386" t="s">
        <v>1186</v>
      </c>
      <c r="B386" t="s">
        <v>2111</v>
      </c>
      <c r="C386" t="s">
        <v>1187</v>
      </c>
      <c r="D386" t="s">
        <v>12</v>
      </c>
      <c r="E386" t="s">
        <v>13</v>
      </c>
      <c r="F386" t="s">
        <v>1188</v>
      </c>
      <c r="G386" t="s">
        <v>22</v>
      </c>
      <c r="H386" s="13">
        <v>45086</v>
      </c>
      <c r="I386" t="s">
        <v>39</v>
      </c>
      <c r="K386" t="s">
        <v>1514</v>
      </c>
      <c r="L386" t="s">
        <v>1514</v>
      </c>
      <c r="M386" t="s">
        <v>13</v>
      </c>
      <c r="N386" t="s">
        <v>1514</v>
      </c>
      <c r="O386" t="s">
        <v>13</v>
      </c>
      <c r="P386" t="s">
        <v>1517</v>
      </c>
      <c r="Q386" t="s">
        <v>1514</v>
      </c>
      <c r="R386">
        <v>0</v>
      </c>
    </row>
    <row r="387" spans="1:18" x14ac:dyDescent="0.3">
      <c r="A387" t="s">
        <v>1189</v>
      </c>
      <c r="B387" t="s">
        <v>2112</v>
      </c>
      <c r="C387" t="s">
        <v>1190</v>
      </c>
      <c r="D387" t="s">
        <v>12</v>
      </c>
      <c r="E387" t="s">
        <v>123</v>
      </c>
      <c r="F387" t="s">
        <v>1191</v>
      </c>
      <c r="G387" t="s">
        <v>15</v>
      </c>
      <c r="H387" s="13">
        <v>44991</v>
      </c>
      <c r="I387" t="s">
        <v>23</v>
      </c>
      <c r="J387" t="s">
        <v>95</v>
      </c>
      <c r="K387" t="s">
        <v>1514</v>
      </c>
      <c r="L387" t="s">
        <v>1514</v>
      </c>
      <c r="M387" t="s">
        <v>2113</v>
      </c>
      <c r="N387" t="s">
        <v>1514</v>
      </c>
      <c r="O387" t="s">
        <v>123</v>
      </c>
      <c r="P387" t="s">
        <v>1517</v>
      </c>
      <c r="Q387" t="s">
        <v>1514</v>
      </c>
      <c r="R387">
        <v>0</v>
      </c>
    </row>
    <row r="388" spans="1:18" x14ac:dyDescent="0.3">
      <c r="A388" t="s">
        <v>1192</v>
      </c>
      <c r="B388" t="s">
        <v>2114</v>
      </c>
      <c r="C388" t="s">
        <v>1193</v>
      </c>
      <c r="D388" t="s">
        <v>173</v>
      </c>
      <c r="E388" t="s">
        <v>328</v>
      </c>
      <c r="F388" t="s">
        <v>1194</v>
      </c>
      <c r="G388" t="s">
        <v>22</v>
      </c>
      <c r="H388" s="13">
        <v>45044</v>
      </c>
      <c r="I388" t="s">
        <v>23</v>
      </c>
      <c r="K388" t="s">
        <v>1514</v>
      </c>
      <c r="L388" t="s">
        <v>1514</v>
      </c>
      <c r="M388" t="s">
        <v>328</v>
      </c>
      <c r="N388" t="s">
        <v>1514</v>
      </c>
      <c r="O388" t="s">
        <v>328</v>
      </c>
      <c r="P388" t="s">
        <v>1517</v>
      </c>
      <c r="Q388" t="s">
        <v>1514</v>
      </c>
      <c r="R388">
        <v>0</v>
      </c>
    </row>
    <row r="389" spans="1:18" x14ac:dyDescent="0.3">
      <c r="A389" t="s">
        <v>1195</v>
      </c>
      <c r="B389" t="s">
        <v>2115</v>
      </c>
      <c r="C389" t="s">
        <v>1196</v>
      </c>
      <c r="D389" t="s">
        <v>57</v>
      </c>
      <c r="E389" t="s">
        <v>252</v>
      </c>
      <c r="F389" t="s">
        <v>1197</v>
      </c>
      <c r="G389" t="s">
        <v>15</v>
      </c>
      <c r="H389" s="13">
        <v>45165</v>
      </c>
      <c r="I389" t="s">
        <v>33</v>
      </c>
      <c r="J389" t="s">
        <v>95</v>
      </c>
      <c r="K389" t="s">
        <v>1514</v>
      </c>
      <c r="L389" t="s">
        <v>1514</v>
      </c>
      <c r="M389" t="s">
        <v>2116</v>
      </c>
      <c r="N389" t="s">
        <v>1514</v>
      </c>
      <c r="O389" t="s">
        <v>252</v>
      </c>
      <c r="P389" t="s">
        <v>1517</v>
      </c>
      <c r="Q389" t="s">
        <v>1514</v>
      </c>
      <c r="R389">
        <v>0</v>
      </c>
    </row>
    <row r="390" spans="1:18" x14ac:dyDescent="0.3">
      <c r="A390" t="s">
        <v>1198</v>
      </c>
      <c r="B390" t="s">
        <v>2117</v>
      </c>
      <c r="C390" t="s">
        <v>1199</v>
      </c>
      <c r="D390" t="s">
        <v>47</v>
      </c>
      <c r="E390" t="s">
        <v>575</v>
      </c>
      <c r="F390" t="s">
        <v>1200</v>
      </c>
      <c r="G390" t="s">
        <v>22</v>
      </c>
      <c r="H390" s="13">
        <v>45505</v>
      </c>
      <c r="I390" t="s">
        <v>33</v>
      </c>
      <c r="J390" t="s">
        <v>95</v>
      </c>
      <c r="K390" t="s">
        <v>1514</v>
      </c>
      <c r="L390" t="s">
        <v>1514</v>
      </c>
      <c r="M390" t="s">
        <v>2118</v>
      </c>
      <c r="N390" t="s">
        <v>1514</v>
      </c>
      <c r="O390" t="s">
        <v>575</v>
      </c>
      <c r="P390" t="s">
        <v>1517</v>
      </c>
      <c r="Q390" t="s">
        <v>1514</v>
      </c>
      <c r="R390">
        <v>0</v>
      </c>
    </row>
    <row r="391" spans="1:18" x14ac:dyDescent="0.3">
      <c r="A391" t="s">
        <v>1201</v>
      </c>
      <c r="B391" t="s">
        <v>2119</v>
      </c>
      <c r="C391" t="s">
        <v>1202</v>
      </c>
      <c r="D391" t="s">
        <v>36</v>
      </c>
      <c r="E391" t="s">
        <v>127</v>
      </c>
      <c r="F391" t="s">
        <v>1203</v>
      </c>
      <c r="G391" t="s">
        <v>22</v>
      </c>
      <c r="H391" s="13">
        <v>45423</v>
      </c>
      <c r="I391" t="s">
        <v>54</v>
      </c>
      <c r="K391" t="s">
        <v>1514</v>
      </c>
      <c r="L391" t="s">
        <v>1514</v>
      </c>
      <c r="M391" t="s">
        <v>2120</v>
      </c>
      <c r="N391" t="s">
        <v>1514</v>
      </c>
      <c r="O391" t="s">
        <v>127</v>
      </c>
      <c r="P391" t="s">
        <v>1517</v>
      </c>
      <c r="Q391" t="s">
        <v>1514</v>
      </c>
      <c r="R391">
        <v>0</v>
      </c>
    </row>
    <row r="392" spans="1:18" x14ac:dyDescent="0.3">
      <c r="A392" t="s">
        <v>652</v>
      </c>
      <c r="B392" t="s">
        <v>2121</v>
      </c>
      <c r="C392" t="s">
        <v>1204</v>
      </c>
      <c r="D392" t="s">
        <v>47</v>
      </c>
      <c r="E392" t="s">
        <v>181</v>
      </c>
      <c r="F392" t="s">
        <v>1205</v>
      </c>
      <c r="G392" t="s">
        <v>15</v>
      </c>
      <c r="H392" s="13">
        <v>45863</v>
      </c>
      <c r="I392" t="s">
        <v>39</v>
      </c>
      <c r="J392" t="s">
        <v>78</v>
      </c>
      <c r="K392" t="s">
        <v>1514</v>
      </c>
      <c r="L392" t="s">
        <v>1514</v>
      </c>
      <c r="M392" t="s">
        <v>47</v>
      </c>
      <c r="N392" t="s">
        <v>1514</v>
      </c>
      <c r="O392" t="s">
        <v>181</v>
      </c>
      <c r="P392" t="s">
        <v>1517</v>
      </c>
      <c r="Q392" t="s">
        <v>1514</v>
      </c>
      <c r="R392">
        <v>0</v>
      </c>
    </row>
    <row r="393" spans="1:18" x14ac:dyDescent="0.3">
      <c r="A393" t="s">
        <v>608</v>
      </c>
      <c r="B393" t="s">
        <v>2122</v>
      </c>
      <c r="C393" t="s">
        <v>1206</v>
      </c>
      <c r="D393" t="s">
        <v>173</v>
      </c>
      <c r="E393" t="s">
        <v>270</v>
      </c>
      <c r="F393" t="s">
        <v>1207</v>
      </c>
      <c r="G393" t="s">
        <v>15</v>
      </c>
      <c r="H393" s="13">
        <v>45242</v>
      </c>
      <c r="I393" t="s">
        <v>39</v>
      </c>
      <c r="J393" t="s">
        <v>95</v>
      </c>
      <c r="K393" t="s">
        <v>1514</v>
      </c>
      <c r="L393" t="s">
        <v>1514</v>
      </c>
      <c r="M393" t="s">
        <v>173</v>
      </c>
      <c r="N393" t="s">
        <v>1514</v>
      </c>
      <c r="O393" t="s">
        <v>270</v>
      </c>
      <c r="P393" t="s">
        <v>1517</v>
      </c>
      <c r="Q393" t="s">
        <v>1514</v>
      </c>
      <c r="R393">
        <v>0</v>
      </c>
    </row>
    <row r="394" spans="1:18" x14ac:dyDescent="0.3">
      <c r="A394" t="s">
        <v>1208</v>
      </c>
      <c r="B394" t="s">
        <v>2123</v>
      </c>
      <c r="C394" t="s">
        <v>1209</v>
      </c>
      <c r="D394" t="s">
        <v>84</v>
      </c>
      <c r="E394" t="s">
        <v>234</v>
      </c>
      <c r="F394" t="s">
        <v>1210</v>
      </c>
      <c r="G394" t="s">
        <v>22</v>
      </c>
      <c r="H394" s="13">
        <v>45491</v>
      </c>
      <c r="I394" t="s">
        <v>39</v>
      </c>
      <c r="K394" t="s">
        <v>1514</v>
      </c>
      <c r="L394" t="s">
        <v>1514</v>
      </c>
      <c r="M394" t="s">
        <v>1208</v>
      </c>
      <c r="N394" t="s">
        <v>1514</v>
      </c>
      <c r="O394" t="s">
        <v>234</v>
      </c>
      <c r="P394" t="s">
        <v>1517</v>
      </c>
      <c r="Q394" t="s">
        <v>1514</v>
      </c>
      <c r="R394">
        <v>0</v>
      </c>
    </row>
    <row r="395" spans="1:18" x14ac:dyDescent="0.3">
      <c r="A395" t="s">
        <v>1211</v>
      </c>
      <c r="B395" t="s">
        <v>2124</v>
      </c>
      <c r="C395" t="s">
        <v>1212</v>
      </c>
      <c r="D395" t="s">
        <v>71</v>
      </c>
      <c r="E395" t="s">
        <v>72</v>
      </c>
      <c r="F395" t="s">
        <v>1213</v>
      </c>
      <c r="G395" t="s">
        <v>22</v>
      </c>
      <c r="H395" s="13">
        <v>45378</v>
      </c>
      <c r="I395" t="s">
        <v>39</v>
      </c>
      <c r="J395" t="s">
        <v>24</v>
      </c>
      <c r="K395" t="s">
        <v>1514</v>
      </c>
      <c r="L395" t="s">
        <v>1514</v>
      </c>
      <c r="M395" t="s">
        <v>2125</v>
      </c>
      <c r="N395" t="s">
        <v>1514</v>
      </c>
      <c r="O395" t="s">
        <v>72</v>
      </c>
      <c r="P395" t="s">
        <v>1517</v>
      </c>
      <c r="Q395" t="s">
        <v>1514</v>
      </c>
      <c r="R395">
        <v>0</v>
      </c>
    </row>
    <row r="396" spans="1:18" x14ac:dyDescent="0.3">
      <c r="A396" t="s">
        <v>1214</v>
      </c>
      <c r="B396" t="s">
        <v>2126</v>
      </c>
      <c r="C396" t="s">
        <v>1215</v>
      </c>
      <c r="D396" t="s">
        <v>42</v>
      </c>
      <c r="E396" t="s">
        <v>108</v>
      </c>
      <c r="F396" t="s">
        <v>1216</v>
      </c>
      <c r="G396" t="s">
        <v>15</v>
      </c>
      <c r="H396" s="13">
        <v>45126</v>
      </c>
      <c r="I396" t="s">
        <v>16</v>
      </c>
      <c r="J396" t="s">
        <v>95</v>
      </c>
      <c r="K396" t="s">
        <v>1514</v>
      </c>
      <c r="L396" t="s">
        <v>1514</v>
      </c>
      <c r="M396" t="s">
        <v>2127</v>
      </c>
      <c r="N396" t="s">
        <v>1514</v>
      </c>
      <c r="O396" t="s">
        <v>108</v>
      </c>
      <c r="P396" t="s">
        <v>1517</v>
      </c>
      <c r="Q396" t="s">
        <v>1514</v>
      </c>
      <c r="R396">
        <v>0</v>
      </c>
    </row>
    <row r="397" spans="1:18" x14ac:dyDescent="0.3">
      <c r="A397" t="s">
        <v>692</v>
      </c>
      <c r="B397" t="s">
        <v>2128</v>
      </c>
      <c r="C397" t="s">
        <v>1217</v>
      </c>
      <c r="D397" t="s">
        <v>57</v>
      </c>
      <c r="E397" t="s">
        <v>312</v>
      </c>
      <c r="F397" t="s">
        <v>1218</v>
      </c>
      <c r="G397" t="s">
        <v>15</v>
      </c>
      <c r="H397" s="13">
        <v>45841</v>
      </c>
      <c r="I397" t="s">
        <v>54</v>
      </c>
      <c r="J397" t="s">
        <v>50</v>
      </c>
      <c r="K397" t="s">
        <v>1514</v>
      </c>
      <c r="L397" t="s">
        <v>1514</v>
      </c>
      <c r="M397" t="s">
        <v>57</v>
      </c>
      <c r="N397" t="s">
        <v>1514</v>
      </c>
      <c r="O397" t="s">
        <v>312</v>
      </c>
      <c r="P397" t="s">
        <v>1517</v>
      </c>
      <c r="Q397" t="s">
        <v>1514</v>
      </c>
      <c r="R397">
        <v>0</v>
      </c>
    </row>
    <row r="398" spans="1:18" x14ac:dyDescent="0.3">
      <c r="A398" t="s">
        <v>970</v>
      </c>
      <c r="B398" t="s">
        <v>2129</v>
      </c>
      <c r="C398" t="s">
        <v>1219</v>
      </c>
      <c r="D398" t="s">
        <v>173</v>
      </c>
      <c r="E398" t="s">
        <v>174</v>
      </c>
      <c r="F398" t="s">
        <v>1220</v>
      </c>
      <c r="G398" t="s">
        <v>15</v>
      </c>
      <c r="H398" s="13">
        <v>45357</v>
      </c>
      <c r="I398" t="s">
        <v>54</v>
      </c>
      <c r="K398" t="s">
        <v>1514</v>
      </c>
      <c r="L398" t="s">
        <v>1514</v>
      </c>
      <c r="M398" t="s">
        <v>174</v>
      </c>
      <c r="N398" t="s">
        <v>1514</v>
      </c>
      <c r="O398" t="s">
        <v>174</v>
      </c>
      <c r="P398" t="s">
        <v>1517</v>
      </c>
      <c r="Q398" t="s">
        <v>1514</v>
      </c>
      <c r="R398">
        <v>0</v>
      </c>
    </row>
    <row r="399" spans="1:18" x14ac:dyDescent="0.3">
      <c r="A399" t="s">
        <v>1221</v>
      </c>
      <c r="B399" t="s">
        <v>2130</v>
      </c>
      <c r="C399" t="s">
        <v>1222</v>
      </c>
      <c r="D399" t="s">
        <v>36</v>
      </c>
      <c r="E399" t="s">
        <v>131</v>
      </c>
      <c r="F399" t="s">
        <v>1223</v>
      </c>
      <c r="G399" t="s">
        <v>15</v>
      </c>
      <c r="H399" s="13">
        <v>45575</v>
      </c>
      <c r="I399" t="s">
        <v>16</v>
      </c>
      <c r="K399" t="s">
        <v>1514</v>
      </c>
      <c r="L399" t="s">
        <v>1514</v>
      </c>
      <c r="M399" t="s">
        <v>2131</v>
      </c>
      <c r="N399" t="s">
        <v>1514</v>
      </c>
      <c r="O399" t="s">
        <v>131</v>
      </c>
      <c r="P399" t="s">
        <v>1517</v>
      </c>
      <c r="Q399" t="s">
        <v>1514</v>
      </c>
      <c r="R399">
        <v>0</v>
      </c>
    </row>
    <row r="400" spans="1:18" x14ac:dyDescent="0.3">
      <c r="A400" t="s">
        <v>300</v>
      </c>
      <c r="B400" t="s">
        <v>2132</v>
      </c>
      <c r="C400" t="s">
        <v>1224</v>
      </c>
      <c r="D400" t="s">
        <v>57</v>
      </c>
      <c r="E400" t="s">
        <v>58</v>
      </c>
      <c r="F400" t="s">
        <v>1225</v>
      </c>
      <c r="G400" t="s">
        <v>15</v>
      </c>
      <c r="H400" s="13">
        <v>45675</v>
      </c>
      <c r="I400" t="s">
        <v>23</v>
      </c>
      <c r="J400" t="s">
        <v>50</v>
      </c>
      <c r="K400" t="s">
        <v>1514</v>
      </c>
      <c r="L400" t="s">
        <v>1514</v>
      </c>
      <c r="M400" t="s">
        <v>58</v>
      </c>
      <c r="N400" t="s">
        <v>1514</v>
      </c>
      <c r="O400" t="s">
        <v>58</v>
      </c>
      <c r="P400" t="s">
        <v>1517</v>
      </c>
      <c r="Q400" t="s">
        <v>1514</v>
      </c>
      <c r="R400">
        <v>0</v>
      </c>
    </row>
    <row r="401" spans="1:18" x14ac:dyDescent="0.3">
      <c r="A401" t="s">
        <v>1226</v>
      </c>
      <c r="B401" t="s">
        <v>2133</v>
      </c>
      <c r="C401" t="s">
        <v>1227</v>
      </c>
      <c r="D401" t="s">
        <v>27</v>
      </c>
      <c r="E401" t="s">
        <v>241</v>
      </c>
      <c r="F401" t="s">
        <v>1228</v>
      </c>
      <c r="G401" t="s">
        <v>22</v>
      </c>
      <c r="H401" s="13">
        <v>45045</v>
      </c>
      <c r="I401" t="s">
        <v>39</v>
      </c>
      <c r="J401" t="s">
        <v>50</v>
      </c>
      <c r="K401" t="s">
        <v>1514</v>
      </c>
      <c r="L401" t="s">
        <v>1514</v>
      </c>
      <c r="M401" t="s">
        <v>2134</v>
      </c>
      <c r="N401" t="s">
        <v>1514</v>
      </c>
      <c r="O401" t="s">
        <v>241</v>
      </c>
      <c r="P401" t="s">
        <v>1517</v>
      </c>
      <c r="Q401" t="s">
        <v>1514</v>
      </c>
      <c r="R401">
        <v>0</v>
      </c>
    </row>
    <row r="402" spans="1:18" x14ac:dyDescent="0.3">
      <c r="A402" t="s">
        <v>766</v>
      </c>
      <c r="B402" t="s">
        <v>2135</v>
      </c>
      <c r="C402" t="s">
        <v>1229</v>
      </c>
      <c r="D402" t="s">
        <v>36</v>
      </c>
      <c r="E402" t="s">
        <v>67</v>
      </c>
      <c r="F402" t="s">
        <v>1230</v>
      </c>
      <c r="G402" t="s">
        <v>22</v>
      </c>
      <c r="H402" s="13">
        <v>45516</v>
      </c>
      <c r="I402" t="s">
        <v>33</v>
      </c>
      <c r="K402" t="s">
        <v>1514</v>
      </c>
      <c r="L402" t="s">
        <v>1514</v>
      </c>
      <c r="M402" t="s">
        <v>36</v>
      </c>
      <c r="N402" t="s">
        <v>1514</v>
      </c>
      <c r="O402" t="s">
        <v>67</v>
      </c>
      <c r="P402" t="s">
        <v>1517</v>
      </c>
      <c r="Q402" t="s">
        <v>1514</v>
      </c>
      <c r="R402">
        <v>0</v>
      </c>
    </row>
    <row r="403" spans="1:18" x14ac:dyDescent="0.3">
      <c r="A403" t="s">
        <v>1231</v>
      </c>
      <c r="B403" t="s">
        <v>2136</v>
      </c>
      <c r="C403" t="s">
        <v>1232</v>
      </c>
      <c r="D403" t="s">
        <v>173</v>
      </c>
      <c r="E403" t="s">
        <v>191</v>
      </c>
      <c r="F403" t="s">
        <v>1233</v>
      </c>
      <c r="G403" t="s">
        <v>15</v>
      </c>
      <c r="H403" s="13">
        <v>45194</v>
      </c>
      <c r="I403" t="s">
        <v>39</v>
      </c>
      <c r="K403" t="s">
        <v>1514</v>
      </c>
      <c r="L403" t="s">
        <v>1514</v>
      </c>
      <c r="M403" t="s">
        <v>2137</v>
      </c>
      <c r="N403" t="s">
        <v>1514</v>
      </c>
      <c r="O403" t="s">
        <v>191</v>
      </c>
      <c r="P403" t="s">
        <v>1517</v>
      </c>
      <c r="Q403" t="s">
        <v>1514</v>
      </c>
      <c r="R403">
        <v>0</v>
      </c>
    </row>
    <row r="404" spans="1:18" x14ac:dyDescent="0.3">
      <c r="A404" t="s">
        <v>940</v>
      </c>
      <c r="B404" t="s">
        <v>2138</v>
      </c>
      <c r="C404" t="s">
        <v>1234</v>
      </c>
      <c r="D404" t="s">
        <v>47</v>
      </c>
      <c r="E404" t="s">
        <v>575</v>
      </c>
      <c r="F404" t="s">
        <v>1235</v>
      </c>
      <c r="G404" t="s">
        <v>22</v>
      </c>
      <c r="H404" s="13">
        <v>45975</v>
      </c>
      <c r="I404" t="s">
        <v>54</v>
      </c>
      <c r="J404" t="s">
        <v>24</v>
      </c>
      <c r="K404" t="s">
        <v>1514</v>
      </c>
      <c r="L404" t="s">
        <v>1514</v>
      </c>
      <c r="M404" t="s">
        <v>1515</v>
      </c>
      <c r="N404" t="s">
        <v>1516</v>
      </c>
      <c r="O404" t="s">
        <v>575</v>
      </c>
      <c r="P404" t="s">
        <v>1517</v>
      </c>
      <c r="Q404" t="s">
        <v>1518</v>
      </c>
      <c r="R404">
        <v>1</v>
      </c>
    </row>
    <row r="405" spans="1:18" x14ac:dyDescent="0.3">
      <c r="A405" t="s">
        <v>1236</v>
      </c>
      <c r="B405" t="s">
        <v>2139</v>
      </c>
      <c r="C405" t="s">
        <v>1237</v>
      </c>
      <c r="D405" t="s">
        <v>84</v>
      </c>
      <c r="E405" t="s">
        <v>119</v>
      </c>
      <c r="F405" t="s">
        <v>1238</v>
      </c>
      <c r="G405" t="s">
        <v>22</v>
      </c>
      <c r="H405" s="13">
        <v>45299</v>
      </c>
      <c r="I405" t="s">
        <v>16</v>
      </c>
      <c r="J405" t="s">
        <v>78</v>
      </c>
      <c r="K405" t="s">
        <v>1514</v>
      </c>
      <c r="L405" t="s">
        <v>1514</v>
      </c>
      <c r="M405" t="s">
        <v>2140</v>
      </c>
      <c r="N405" t="s">
        <v>1514</v>
      </c>
      <c r="O405" t="s">
        <v>119</v>
      </c>
      <c r="P405" t="s">
        <v>1517</v>
      </c>
      <c r="Q405" t="s">
        <v>1514</v>
      </c>
      <c r="R405">
        <v>0</v>
      </c>
    </row>
    <row r="406" spans="1:18" x14ac:dyDescent="0.3">
      <c r="A406" t="s">
        <v>369</v>
      </c>
      <c r="B406" t="s">
        <v>2141</v>
      </c>
      <c r="C406" t="s">
        <v>1239</v>
      </c>
      <c r="D406" t="s">
        <v>71</v>
      </c>
      <c r="E406" t="s">
        <v>72</v>
      </c>
      <c r="F406" t="s">
        <v>1240</v>
      </c>
      <c r="G406" t="s">
        <v>15</v>
      </c>
      <c r="H406" s="13">
        <v>45978</v>
      </c>
      <c r="I406" t="s">
        <v>54</v>
      </c>
      <c r="K406" t="s">
        <v>1514</v>
      </c>
      <c r="L406" t="s">
        <v>1514</v>
      </c>
      <c r="M406" t="s">
        <v>71</v>
      </c>
      <c r="N406" t="s">
        <v>1514</v>
      </c>
      <c r="O406" t="s">
        <v>72</v>
      </c>
      <c r="P406" t="s">
        <v>1517</v>
      </c>
      <c r="Q406" t="s">
        <v>1514</v>
      </c>
      <c r="R406">
        <v>0</v>
      </c>
    </row>
    <row r="407" spans="1:18" x14ac:dyDescent="0.3">
      <c r="A407" t="s">
        <v>1241</v>
      </c>
      <c r="B407" t="s">
        <v>2142</v>
      </c>
      <c r="C407" t="s">
        <v>1242</v>
      </c>
      <c r="D407" t="s">
        <v>27</v>
      </c>
      <c r="E407" t="s">
        <v>230</v>
      </c>
      <c r="F407" t="s">
        <v>1243</v>
      </c>
      <c r="G407" t="s">
        <v>15</v>
      </c>
      <c r="H407" s="13">
        <v>45886</v>
      </c>
      <c r="I407" t="s">
        <v>16</v>
      </c>
      <c r="K407" t="s">
        <v>1514</v>
      </c>
      <c r="L407" t="s">
        <v>1514</v>
      </c>
      <c r="M407" t="s">
        <v>2143</v>
      </c>
      <c r="N407" t="s">
        <v>1514</v>
      </c>
      <c r="O407" t="s">
        <v>230</v>
      </c>
      <c r="P407" t="s">
        <v>1517</v>
      </c>
      <c r="Q407" t="s">
        <v>1514</v>
      </c>
      <c r="R407">
        <v>0</v>
      </c>
    </row>
    <row r="408" spans="1:18" x14ac:dyDescent="0.3">
      <c r="A408" t="s">
        <v>1244</v>
      </c>
      <c r="B408" t="s">
        <v>2144</v>
      </c>
      <c r="C408" t="s">
        <v>1245</v>
      </c>
      <c r="D408" t="s">
        <v>36</v>
      </c>
      <c r="E408" t="s">
        <v>37</v>
      </c>
      <c r="F408" t="s">
        <v>1246</v>
      </c>
      <c r="G408" t="s">
        <v>15</v>
      </c>
      <c r="H408" s="13">
        <v>45882</v>
      </c>
      <c r="I408" t="s">
        <v>16</v>
      </c>
      <c r="J408" t="s">
        <v>50</v>
      </c>
      <c r="K408" t="s">
        <v>1514</v>
      </c>
      <c r="L408" t="s">
        <v>1514</v>
      </c>
      <c r="M408" t="s">
        <v>2145</v>
      </c>
      <c r="N408" t="s">
        <v>1514</v>
      </c>
      <c r="O408" t="s">
        <v>37</v>
      </c>
      <c r="P408" t="s">
        <v>1517</v>
      </c>
      <c r="Q408" t="s">
        <v>1514</v>
      </c>
      <c r="R408">
        <v>0</v>
      </c>
    </row>
    <row r="409" spans="1:18" x14ac:dyDescent="0.3">
      <c r="A409" t="s">
        <v>1247</v>
      </c>
      <c r="B409" t="s">
        <v>2146</v>
      </c>
      <c r="C409" t="s">
        <v>1248</v>
      </c>
      <c r="D409" t="s">
        <v>36</v>
      </c>
      <c r="E409" t="s">
        <v>37</v>
      </c>
      <c r="F409" t="s">
        <v>1249</v>
      </c>
      <c r="G409" t="s">
        <v>22</v>
      </c>
      <c r="H409" s="13">
        <v>45447</v>
      </c>
      <c r="I409" t="s">
        <v>33</v>
      </c>
      <c r="J409" t="s">
        <v>78</v>
      </c>
      <c r="K409" t="s">
        <v>1514</v>
      </c>
      <c r="L409" t="s">
        <v>1514</v>
      </c>
      <c r="M409" t="s">
        <v>1247</v>
      </c>
      <c r="N409" t="s">
        <v>1514</v>
      </c>
      <c r="O409" t="s">
        <v>37</v>
      </c>
      <c r="P409" t="s">
        <v>1517</v>
      </c>
      <c r="Q409" t="s">
        <v>1514</v>
      </c>
      <c r="R409">
        <v>0</v>
      </c>
    </row>
    <row r="410" spans="1:18" x14ac:dyDescent="0.3">
      <c r="A410" t="s">
        <v>1250</v>
      </c>
      <c r="B410" t="s">
        <v>2147</v>
      </c>
      <c r="C410" t="s">
        <v>1251</v>
      </c>
      <c r="D410" t="s">
        <v>84</v>
      </c>
      <c r="E410" t="s">
        <v>119</v>
      </c>
      <c r="F410" t="s">
        <v>1252</v>
      </c>
      <c r="G410" t="s">
        <v>15</v>
      </c>
      <c r="H410" s="13">
        <v>45344</v>
      </c>
      <c r="I410" t="s">
        <v>54</v>
      </c>
      <c r="J410" t="s">
        <v>24</v>
      </c>
      <c r="K410" t="s">
        <v>1514</v>
      </c>
      <c r="L410" t="s">
        <v>1514</v>
      </c>
      <c r="M410" t="s">
        <v>2148</v>
      </c>
      <c r="N410" t="s">
        <v>1514</v>
      </c>
      <c r="O410" t="s">
        <v>119</v>
      </c>
      <c r="P410" t="s">
        <v>1517</v>
      </c>
      <c r="Q410" t="s">
        <v>1514</v>
      </c>
      <c r="R410">
        <v>0</v>
      </c>
    </row>
    <row r="411" spans="1:18" x14ac:dyDescent="0.3">
      <c r="A411" t="s">
        <v>1253</v>
      </c>
      <c r="B411" t="s">
        <v>2149</v>
      </c>
      <c r="C411" t="s">
        <v>1254</v>
      </c>
      <c r="D411" t="s">
        <v>47</v>
      </c>
      <c r="E411" t="s">
        <v>425</v>
      </c>
      <c r="F411" t="s">
        <v>1255</v>
      </c>
      <c r="G411" t="s">
        <v>22</v>
      </c>
      <c r="H411" s="13">
        <v>45164</v>
      </c>
      <c r="I411" t="s">
        <v>39</v>
      </c>
      <c r="J411" t="s">
        <v>24</v>
      </c>
      <c r="K411" t="s">
        <v>1514</v>
      </c>
      <c r="L411" t="s">
        <v>1514</v>
      </c>
      <c r="M411" t="s">
        <v>1253</v>
      </c>
      <c r="N411" t="s">
        <v>1514</v>
      </c>
      <c r="O411" t="s">
        <v>425</v>
      </c>
      <c r="P411" t="s">
        <v>1517</v>
      </c>
      <c r="Q411" t="s">
        <v>1514</v>
      </c>
      <c r="R411">
        <v>0</v>
      </c>
    </row>
    <row r="412" spans="1:18" x14ac:dyDescent="0.3">
      <c r="A412" t="s">
        <v>1256</v>
      </c>
      <c r="B412" t="s">
        <v>2150</v>
      </c>
      <c r="C412" t="s">
        <v>1257</v>
      </c>
      <c r="D412" t="s">
        <v>36</v>
      </c>
      <c r="E412" t="s">
        <v>162</v>
      </c>
      <c r="F412" t="s">
        <v>1258</v>
      </c>
      <c r="G412" t="s">
        <v>22</v>
      </c>
      <c r="H412" s="13">
        <v>45825</v>
      </c>
      <c r="I412" t="s">
        <v>23</v>
      </c>
      <c r="J412" t="s">
        <v>24</v>
      </c>
      <c r="K412" t="s">
        <v>1514</v>
      </c>
      <c r="L412" t="s">
        <v>1514</v>
      </c>
      <c r="M412" t="s">
        <v>2151</v>
      </c>
      <c r="N412" t="s">
        <v>1514</v>
      </c>
      <c r="O412" t="s">
        <v>162</v>
      </c>
      <c r="P412" t="s">
        <v>1517</v>
      </c>
      <c r="Q412" t="s">
        <v>1514</v>
      </c>
      <c r="R412">
        <v>0</v>
      </c>
    </row>
    <row r="413" spans="1:18" x14ac:dyDescent="0.3">
      <c r="A413" t="s">
        <v>1259</v>
      </c>
      <c r="B413" t="s">
        <v>2152</v>
      </c>
      <c r="C413" t="s">
        <v>1260</v>
      </c>
      <c r="D413" t="s">
        <v>27</v>
      </c>
      <c r="E413" t="s">
        <v>158</v>
      </c>
      <c r="F413" t="s">
        <v>1261</v>
      </c>
      <c r="G413" t="s">
        <v>15</v>
      </c>
      <c r="H413" s="13">
        <v>45246</v>
      </c>
      <c r="I413" t="s">
        <v>16</v>
      </c>
      <c r="J413" t="s">
        <v>24</v>
      </c>
      <c r="K413" t="s">
        <v>1514</v>
      </c>
      <c r="L413" t="s">
        <v>1514</v>
      </c>
      <c r="M413" t="s">
        <v>2153</v>
      </c>
      <c r="N413" t="s">
        <v>1514</v>
      </c>
      <c r="O413" t="s">
        <v>158</v>
      </c>
      <c r="P413" t="s">
        <v>1517</v>
      </c>
      <c r="Q413" t="s">
        <v>1514</v>
      </c>
      <c r="R413">
        <v>0</v>
      </c>
    </row>
    <row r="414" spans="1:18" x14ac:dyDescent="0.3">
      <c r="A414" t="s">
        <v>1262</v>
      </c>
      <c r="B414" t="s">
        <v>2154</v>
      </c>
      <c r="C414" t="s">
        <v>1263</v>
      </c>
      <c r="D414" t="s">
        <v>84</v>
      </c>
      <c r="E414" t="s">
        <v>234</v>
      </c>
      <c r="F414" t="s">
        <v>1264</v>
      </c>
      <c r="G414" t="s">
        <v>22</v>
      </c>
      <c r="H414" s="13">
        <v>45959</v>
      </c>
      <c r="I414" t="s">
        <v>39</v>
      </c>
      <c r="J414" t="s">
        <v>17</v>
      </c>
      <c r="K414" t="s">
        <v>1514</v>
      </c>
      <c r="L414" t="s">
        <v>1514</v>
      </c>
      <c r="M414" t="s">
        <v>2155</v>
      </c>
      <c r="N414" t="s">
        <v>1514</v>
      </c>
      <c r="O414" t="s">
        <v>234</v>
      </c>
      <c r="P414" t="s">
        <v>1517</v>
      </c>
      <c r="Q414" t="s">
        <v>1514</v>
      </c>
      <c r="R414">
        <v>0</v>
      </c>
    </row>
    <row r="415" spans="1:18" x14ac:dyDescent="0.3">
      <c r="A415" t="s">
        <v>1265</v>
      </c>
      <c r="B415" t="s">
        <v>2156</v>
      </c>
      <c r="C415" t="s">
        <v>1266</v>
      </c>
      <c r="D415" t="s">
        <v>27</v>
      </c>
      <c r="E415" t="s">
        <v>98</v>
      </c>
      <c r="F415" t="s">
        <v>1267</v>
      </c>
      <c r="G415" t="s">
        <v>15</v>
      </c>
      <c r="H415" s="13">
        <v>45057</v>
      </c>
      <c r="I415" t="s">
        <v>23</v>
      </c>
      <c r="J415" t="s">
        <v>17</v>
      </c>
      <c r="K415" t="s">
        <v>1514</v>
      </c>
      <c r="L415" t="s">
        <v>1514</v>
      </c>
      <c r="M415" t="s">
        <v>1265</v>
      </c>
      <c r="N415" t="s">
        <v>1514</v>
      </c>
      <c r="O415" t="s">
        <v>98</v>
      </c>
      <c r="P415" t="s">
        <v>1517</v>
      </c>
      <c r="Q415" t="s">
        <v>1514</v>
      </c>
      <c r="R415">
        <v>0</v>
      </c>
    </row>
    <row r="416" spans="1:18" x14ac:dyDescent="0.3">
      <c r="A416" t="s">
        <v>1268</v>
      </c>
      <c r="B416" t="s">
        <v>2157</v>
      </c>
      <c r="C416" t="s">
        <v>1269</v>
      </c>
      <c r="D416" t="s">
        <v>36</v>
      </c>
      <c r="E416" t="s">
        <v>67</v>
      </c>
      <c r="F416" t="s">
        <v>1270</v>
      </c>
      <c r="G416" t="s">
        <v>22</v>
      </c>
      <c r="H416" s="13">
        <v>45729</v>
      </c>
      <c r="I416" t="s">
        <v>39</v>
      </c>
      <c r="K416" t="s">
        <v>1514</v>
      </c>
      <c r="L416" t="s">
        <v>1514</v>
      </c>
      <c r="M416" t="s">
        <v>2158</v>
      </c>
      <c r="N416" t="s">
        <v>1514</v>
      </c>
      <c r="O416" t="s">
        <v>67</v>
      </c>
      <c r="P416" t="s">
        <v>1517</v>
      </c>
      <c r="Q416" t="s">
        <v>1514</v>
      </c>
      <c r="R416">
        <v>0</v>
      </c>
    </row>
    <row r="417" spans="1:18" x14ac:dyDescent="0.3">
      <c r="A417" t="s">
        <v>1271</v>
      </c>
      <c r="B417" t="s">
        <v>2159</v>
      </c>
      <c r="C417" t="s">
        <v>1272</v>
      </c>
      <c r="D417" t="s">
        <v>42</v>
      </c>
      <c r="E417" t="s">
        <v>76</v>
      </c>
      <c r="F417" t="s">
        <v>1273</v>
      </c>
      <c r="G417" t="s">
        <v>22</v>
      </c>
      <c r="H417" s="13">
        <v>44910</v>
      </c>
      <c r="I417" t="s">
        <v>54</v>
      </c>
      <c r="J417" t="s">
        <v>50</v>
      </c>
      <c r="K417" t="s">
        <v>1514</v>
      </c>
      <c r="L417" t="s">
        <v>1514</v>
      </c>
      <c r="M417" t="s">
        <v>2160</v>
      </c>
      <c r="N417" t="s">
        <v>1514</v>
      </c>
      <c r="O417" t="s">
        <v>76</v>
      </c>
      <c r="P417" t="s">
        <v>1517</v>
      </c>
      <c r="Q417" t="s">
        <v>1514</v>
      </c>
      <c r="R417">
        <v>0</v>
      </c>
    </row>
    <row r="418" spans="1:18" x14ac:dyDescent="0.3">
      <c r="A418" t="s">
        <v>1274</v>
      </c>
      <c r="B418" t="s">
        <v>2161</v>
      </c>
      <c r="C418" t="s">
        <v>1275</v>
      </c>
      <c r="D418" t="s">
        <v>71</v>
      </c>
      <c r="E418" t="s">
        <v>93</v>
      </c>
      <c r="F418" t="s">
        <v>1276</v>
      </c>
      <c r="G418" t="s">
        <v>15</v>
      </c>
      <c r="H418" s="13">
        <v>45907</v>
      </c>
      <c r="I418" t="s">
        <v>23</v>
      </c>
      <c r="J418" t="s">
        <v>78</v>
      </c>
      <c r="K418" t="s">
        <v>1514</v>
      </c>
      <c r="L418" t="s">
        <v>1514</v>
      </c>
      <c r="M418" t="s">
        <v>2162</v>
      </c>
      <c r="N418" t="s">
        <v>1514</v>
      </c>
      <c r="O418" t="s">
        <v>93</v>
      </c>
      <c r="P418" t="s">
        <v>1517</v>
      </c>
      <c r="Q418" t="s">
        <v>1514</v>
      </c>
      <c r="R418">
        <v>0</v>
      </c>
    </row>
    <row r="419" spans="1:18" x14ac:dyDescent="0.3">
      <c r="A419" t="s">
        <v>1277</v>
      </c>
      <c r="B419" t="s">
        <v>2163</v>
      </c>
      <c r="C419" t="s">
        <v>1278</v>
      </c>
      <c r="D419" t="s">
        <v>12</v>
      </c>
      <c r="E419" t="s">
        <v>123</v>
      </c>
      <c r="F419" t="s">
        <v>1279</v>
      </c>
      <c r="G419" t="s">
        <v>22</v>
      </c>
      <c r="H419" s="13">
        <v>45493</v>
      </c>
      <c r="I419" t="s">
        <v>54</v>
      </c>
      <c r="J419" t="s">
        <v>95</v>
      </c>
      <c r="K419" t="s">
        <v>1514</v>
      </c>
      <c r="L419" t="s">
        <v>1514</v>
      </c>
      <c r="M419" t="s">
        <v>12</v>
      </c>
      <c r="N419" t="s">
        <v>1514</v>
      </c>
      <c r="O419" t="s">
        <v>123</v>
      </c>
      <c r="P419" t="s">
        <v>1517</v>
      </c>
      <c r="Q419" t="s">
        <v>1514</v>
      </c>
      <c r="R419">
        <v>0</v>
      </c>
    </row>
    <row r="420" spans="1:18" x14ac:dyDescent="0.3">
      <c r="A420" t="s">
        <v>1280</v>
      </c>
      <c r="B420" t="s">
        <v>2164</v>
      </c>
      <c r="C420" t="s">
        <v>1281</v>
      </c>
      <c r="D420" t="s">
        <v>27</v>
      </c>
      <c r="E420" t="s">
        <v>241</v>
      </c>
      <c r="F420" t="s">
        <v>1282</v>
      </c>
      <c r="G420" t="s">
        <v>22</v>
      </c>
      <c r="H420" s="13">
        <v>44979</v>
      </c>
      <c r="I420" t="s">
        <v>54</v>
      </c>
      <c r="J420" t="s">
        <v>17</v>
      </c>
      <c r="K420" t="s">
        <v>1514</v>
      </c>
      <c r="L420" t="s">
        <v>1514</v>
      </c>
      <c r="M420" t="s">
        <v>2165</v>
      </c>
      <c r="N420" t="s">
        <v>1514</v>
      </c>
      <c r="O420" t="s">
        <v>241</v>
      </c>
      <c r="P420" t="s">
        <v>1517</v>
      </c>
      <c r="Q420" t="s">
        <v>1514</v>
      </c>
      <c r="R420">
        <v>0</v>
      </c>
    </row>
    <row r="421" spans="1:18" x14ac:dyDescent="0.3">
      <c r="A421" t="s">
        <v>1283</v>
      </c>
      <c r="B421" t="s">
        <v>2166</v>
      </c>
      <c r="C421" t="s">
        <v>1284</v>
      </c>
      <c r="D421" t="s">
        <v>84</v>
      </c>
      <c r="E421" t="s">
        <v>201</v>
      </c>
      <c r="F421" t="s">
        <v>1285</v>
      </c>
      <c r="G421" t="s">
        <v>22</v>
      </c>
      <c r="H421" s="13">
        <v>45081</v>
      </c>
      <c r="I421" t="s">
        <v>23</v>
      </c>
      <c r="K421" t="s">
        <v>1514</v>
      </c>
      <c r="L421" t="s">
        <v>1514</v>
      </c>
      <c r="M421" t="s">
        <v>2167</v>
      </c>
      <c r="N421" t="s">
        <v>1514</v>
      </c>
      <c r="O421" t="s">
        <v>201</v>
      </c>
      <c r="P421" t="s">
        <v>1517</v>
      </c>
      <c r="Q421" t="s">
        <v>1514</v>
      </c>
      <c r="R421">
        <v>0</v>
      </c>
    </row>
    <row r="422" spans="1:18" x14ac:dyDescent="0.3">
      <c r="A422" t="s">
        <v>1286</v>
      </c>
      <c r="B422" t="s">
        <v>2168</v>
      </c>
      <c r="C422" t="s">
        <v>1287</v>
      </c>
      <c r="D422" t="s">
        <v>84</v>
      </c>
      <c r="E422" t="s">
        <v>85</v>
      </c>
      <c r="F422" t="s">
        <v>1288</v>
      </c>
      <c r="G422" t="s">
        <v>15</v>
      </c>
      <c r="H422" s="13">
        <v>45812</v>
      </c>
      <c r="I422" t="s">
        <v>54</v>
      </c>
      <c r="K422" t="s">
        <v>1514</v>
      </c>
      <c r="L422" t="s">
        <v>1514</v>
      </c>
      <c r="M422" t="s">
        <v>2169</v>
      </c>
      <c r="N422" t="s">
        <v>1514</v>
      </c>
      <c r="O422" t="s">
        <v>85</v>
      </c>
      <c r="P422" t="s">
        <v>1517</v>
      </c>
      <c r="Q422" t="s">
        <v>1514</v>
      </c>
      <c r="R422">
        <v>0</v>
      </c>
    </row>
    <row r="423" spans="1:18" x14ac:dyDescent="0.3">
      <c r="A423" t="s">
        <v>336</v>
      </c>
      <c r="B423" t="s">
        <v>2170</v>
      </c>
      <c r="C423" t="s">
        <v>1289</v>
      </c>
      <c r="D423" t="s">
        <v>173</v>
      </c>
      <c r="E423" t="s">
        <v>270</v>
      </c>
      <c r="F423" t="s">
        <v>1290</v>
      </c>
      <c r="G423" t="s">
        <v>15</v>
      </c>
      <c r="H423" s="13">
        <v>45278</v>
      </c>
      <c r="I423" t="s">
        <v>33</v>
      </c>
      <c r="J423" t="s">
        <v>50</v>
      </c>
      <c r="K423" t="s">
        <v>1514</v>
      </c>
      <c r="L423" t="s">
        <v>1514</v>
      </c>
      <c r="M423" t="s">
        <v>270</v>
      </c>
      <c r="N423" t="s">
        <v>1514</v>
      </c>
      <c r="O423" t="s">
        <v>270</v>
      </c>
      <c r="P423" t="s">
        <v>1517</v>
      </c>
      <c r="Q423" t="s">
        <v>1514</v>
      </c>
      <c r="R423">
        <v>0</v>
      </c>
    </row>
    <row r="424" spans="1:18" x14ac:dyDescent="0.3">
      <c r="A424" t="s">
        <v>1291</v>
      </c>
      <c r="B424" t="s">
        <v>1710</v>
      </c>
      <c r="C424" t="s">
        <v>1292</v>
      </c>
      <c r="D424" t="s">
        <v>27</v>
      </c>
      <c r="E424" t="s">
        <v>241</v>
      </c>
      <c r="F424" t="s">
        <v>1293</v>
      </c>
      <c r="G424" t="s">
        <v>22</v>
      </c>
      <c r="H424" s="13">
        <v>45469</v>
      </c>
      <c r="I424" t="s">
        <v>33</v>
      </c>
      <c r="K424" t="s">
        <v>1514</v>
      </c>
      <c r="L424" t="s">
        <v>1514</v>
      </c>
      <c r="M424" t="s">
        <v>2171</v>
      </c>
      <c r="N424" t="s">
        <v>1514</v>
      </c>
      <c r="O424" t="s">
        <v>241</v>
      </c>
      <c r="P424" t="s">
        <v>1517</v>
      </c>
      <c r="Q424" t="s">
        <v>1514</v>
      </c>
      <c r="R424">
        <v>0</v>
      </c>
    </row>
    <row r="425" spans="1:18" x14ac:dyDescent="0.3">
      <c r="A425" t="s">
        <v>360</v>
      </c>
      <c r="B425" t="s">
        <v>2172</v>
      </c>
      <c r="C425" t="s">
        <v>1294</v>
      </c>
      <c r="D425" t="s">
        <v>12</v>
      </c>
      <c r="E425" t="s">
        <v>166</v>
      </c>
      <c r="F425" t="s">
        <v>1295</v>
      </c>
      <c r="G425" t="s">
        <v>22</v>
      </c>
      <c r="H425" s="13">
        <v>45251</v>
      </c>
      <c r="I425" t="s">
        <v>39</v>
      </c>
      <c r="J425" t="s">
        <v>50</v>
      </c>
      <c r="K425" t="s">
        <v>1514</v>
      </c>
      <c r="L425" t="s">
        <v>1514</v>
      </c>
      <c r="M425" t="s">
        <v>166</v>
      </c>
      <c r="N425" t="s">
        <v>1514</v>
      </c>
      <c r="O425" t="s">
        <v>166</v>
      </c>
      <c r="P425" t="s">
        <v>1517</v>
      </c>
      <c r="Q425" t="s">
        <v>1514</v>
      </c>
      <c r="R425">
        <v>0</v>
      </c>
    </row>
    <row r="426" spans="1:18" x14ac:dyDescent="0.3">
      <c r="A426" t="s">
        <v>735</v>
      </c>
      <c r="B426" t="s">
        <v>2173</v>
      </c>
      <c r="C426" t="s">
        <v>1296</v>
      </c>
      <c r="D426" t="s">
        <v>12</v>
      </c>
      <c r="E426" t="s">
        <v>20</v>
      </c>
      <c r="F426" t="s">
        <v>1297</v>
      </c>
      <c r="G426" t="s">
        <v>15</v>
      </c>
      <c r="H426" s="13">
        <v>45362</v>
      </c>
      <c r="I426" t="s">
        <v>23</v>
      </c>
      <c r="K426" t="s">
        <v>1514</v>
      </c>
      <c r="L426" t="s">
        <v>1514</v>
      </c>
      <c r="M426" t="s">
        <v>1515</v>
      </c>
      <c r="N426" t="s">
        <v>1516</v>
      </c>
      <c r="O426" t="s">
        <v>20</v>
      </c>
      <c r="P426" t="s">
        <v>1517</v>
      </c>
      <c r="Q426" t="s">
        <v>1518</v>
      </c>
      <c r="R426">
        <v>1</v>
      </c>
    </row>
    <row r="427" spans="1:18" x14ac:dyDescent="0.3">
      <c r="A427" t="s">
        <v>1298</v>
      </c>
      <c r="B427" t="s">
        <v>2174</v>
      </c>
      <c r="C427" t="s">
        <v>1299</v>
      </c>
      <c r="D427" t="s">
        <v>57</v>
      </c>
      <c r="E427" t="s">
        <v>252</v>
      </c>
      <c r="F427" t="s">
        <v>1300</v>
      </c>
      <c r="G427" t="s">
        <v>15</v>
      </c>
      <c r="H427" s="13">
        <v>45054</v>
      </c>
      <c r="I427" t="s">
        <v>16</v>
      </c>
      <c r="J427" t="s">
        <v>78</v>
      </c>
      <c r="K427" t="s">
        <v>1514</v>
      </c>
      <c r="L427" t="s">
        <v>1514</v>
      </c>
      <c r="M427" t="s">
        <v>2175</v>
      </c>
      <c r="N427" t="s">
        <v>1514</v>
      </c>
      <c r="O427" t="s">
        <v>252</v>
      </c>
      <c r="P427" t="s">
        <v>1517</v>
      </c>
      <c r="Q427" t="s">
        <v>1514</v>
      </c>
      <c r="R427">
        <v>0</v>
      </c>
    </row>
    <row r="428" spans="1:18" x14ac:dyDescent="0.3">
      <c r="A428" t="s">
        <v>1301</v>
      </c>
      <c r="B428" t="s">
        <v>2176</v>
      </c>
      <c r="C428" t="s">
        <v>1302</v>
      </c>
      <c r="D428" t="s">
        <v>62</v>
      </c>
      <c r="E428" t="s">
        <v>63</v>
      </c>
      <c r="F428" t="s">
        <v>1303</v>
      </c>
      <c r="G428" t="s">
        <v>15</v>
      </c>
      <c r="H428" s="13">
        <v>45254</v>
      </c>
      <c r="I428" t="s">
        <v>54</v>
      </c>
      <c r="K428" t="s">
        <v>1514</v>
      </c>
      <c r="L428" t="s">
        <v>1514</v>
      </c>
      <c r="M428" t="s">
        <v>2177</v>
      </c>
      <c r="N428" t="s">
        <v>1514</v>
      </c>
      <c r="O428" t="s">
        <v>63</v>
      </c>
      <c r="P428" t="s">
        <v>1517</v>
      </c>
      <c r="Q428" t="s">
        <v>1514</v>
      </c>
      <c r="R428">
        <v>0</v>
      </c>
    </row>
    <row r="429" spans="1:18" x14ac:dyDescent="0.3">
      <c r="A429" t="s">
        <v>1304</v>
      </c>
      <c r="B429" t="s">
        <v>2178</v>
      </c>
      <c r="C429" t="s">
        <v>1305</v>
      </c>
      <c r="D429" t="s">
        <v>12</v>
      </c>
      <c r="E429" t="s">
        <v>138</v>
      </c>
      <c r="F429" t="s">
        <v>1306</v>
      </c>
      <c r="G429" t="s">
        <v>22</v>
      </c>
      <c r="H429" s="13">
        <v>45891</v>
      </c>
      <c r="I429" t="s">
        <v>23</v>
      </c>
      <c r="J429" t="s">
        <v>95</v>
      </c>
      <c r="K429" t="s">
        <v>1514</v>
      </c>
      <c r="L429" t="s">
        <v>1514</v>
      </c>
      <c r="M429" t="s">
        <v>2179</v>
      </c>
      <c r="N429" t="s">
        <v>1514</v>
      </c>
      <c r="O429" t="s">
        <v>138</v>
      </c>
      <c r="P429" t="s">
        <v>1517</v>
      </c>
      <c r="Q429" t="s">
        <v>1514</v>
      </c>
      <c r="R429">
        <v>0</v>
      </c>
    </row>
    <row r="430" spans="1:18" x14ac:dyDescent="0.3">
      <c r="A430" t="s">
        <v>345</v>
      </c>
      <c r="B430" t="s">
        <v>2180</v>
      </c>
      <c r="C430" t="s">
        <v>1307</v>
      </c>
      <c r="D430" t="s">
        <v>12</v>
      </c>
      <c r="E430" t="s">
        <v>123</v>
      </c>
      <c r="F430" t="s">
        <v>1308</v>
      </c>
      <c r="G430" t="s">
        <v>15</v>
      </c>
      <c r="H430" s="13">
        <v>45807</v>
      </c>
      <c r="I430" t="s">
        <v>54</v>
      </c>
      <c r="J430" t="s">
        <v>24</v>
      </c>
      <c r="K430" t="s">
        <v>1514</v>
      </c>
      <c r="L430" t="s">
        <v>1514</v>
      </c>
      <c r="M430" t="s">
        <v>1515</v>
      </c>
      <c r="N430" t="s">
        <v>1516</v>
      </c>
      <c r="O430" t="s">
        <v>123</v>
      </c>
      <c r="P430" t="s">
        <v>1517</v>
      </c>
      <c r="Q430" t="s">
        <v>1518</v>
      </c>
      <c r="R430">
        <v>1</v>
      </c>
    </row>
    <row r="431" spans="1:18" x14ac:dyDescent="0.3">
      <c r="A431" t="s">
        <v>1309</v>
      </c>
      <c r="B431" t="s">
        <v>2181</v>
      </c>
      <c r="C431" t="s">
        <v>1310</v>
      </c>
      <c r="D431" t="s">
        <v>47</v>
      </c>
      <c r="E431" t="s">
        <v>575</v>
      </c>
      <c r="F431" t="s">
        <v>1311</v>
      </c>
      <c r="G431" t="s">
        <v>15</v>
      </c>
      <c r="H431" s="13">
        <v>45271</v>
      </c>
      <c r="I431" t="s">
        <v>39</v>
      </c>
      <c r="K431" t="s">
        <v>1514</v>
      </c>
      <c r="L431" t="s">
        <v>1514</v>
      </c>
      <c r="M431" t="s">
        <v>2182</v>
      </c>
      <c r="N431" t="s">
        <v>1514</v>
      </c>
      <c r="O431" t="s">
        <v>575</v>
      </c>
      <c r="P431" t="s">
        <v>1517</v>
      </c>
      <c r="Q431" t="s">
        <v>1514</v>
      </c>
      <c r="R431">
        <v>0</v>
      </c>
    </row>
    <row r="432" spans="1:18" x14ac:dyDescent="0.3">
      <c r="A432" t="s">
        <v>82</v>
      </c>
      <c r="B432" t="s">
        <v>2183</v>
      </c>
      <c r="C432" t="s">
        <v>1312</v>
      </c>
      <c r="D432" t="s">
        <v>84</v>
      </c>
      <c r="E432" t="s">
        <v>85</v>
      </c>
      <c r="F432" t="s">
        <v>1313</v>
      </c>
      <c r="G432" t="s">
        <v>22</v>
      </c>
      <c r="H432" s="13">
        <v>44989</v>
      </c>
      <c r="I432" t="s">
        <v>39</v>
      </c>
      <c r="J432" t="s">
        <v>95</v>
      </c>
      <c r="K432" t="s">
        <v>1514</v>
      </c>
      <c r="L432" t="s">
        <v>1514</v>
      </c>
      <c r="M432" t="s">
        <v>1515</v>
      </c>
      <c r="N432" t="s">
        <v>1516</v>
      </c>
      <c r="O432" t="s">
        <v>85</v>
      </c>
      <c r="P432" t="s">
        <v>1517</v>
      </c>
      <c r="Q432" t="s">
        <v>1518</v>
      </c>
      <c r="R432">
        <v>1</v>
      </c>
    </row>
    <row r="433" spans="1:18" x14ac:dyDescent="0.3">
      <c r="A433" t="s">
        <v>1314</v>
      </c>
      <c r="B433" t="s">
        <v>2184</v>
      </c>
      <c r="C433" t="s">
        <v>1315</v>
      </c>
      <c r="D433" t="s">
        <v>47</v>
      </c>
      <c r="E433" t="s">
        <v>112</v>
      </c>
      <c r="F433" t="s">
        <v>1316</v>
      </c>
      <c r="G433" t="s">
        <v>22</v>
      </c>
      <c r="H433" s="13">
        <v>45293</v>
      </c>
      <c r="I433" t="s">
        <v>33</v>
      </c>
      <c r="K433" t="s">
        <v>1514</v>
      </c>
      <c r="L433" t="s">
        <v>1514</v>
      </c>
      <c r="M433" t="s">
        <v>2185</v>
      </c>
      <c r="N433" t="s">
        <v>1514</v>
      </c>
      <c r="O433" t="s">
        <v>112</v>
      </c>
      <c r="P433" t="s">
        <v>1517</v>
      </c>
      <c r="Q433" t="s">
        <v>1514</v>
      </c>
      <c r="R433">
        <v>0</v>
      </c>
    </row>
    <row r="434" spans="1:18" x14ac:dyDescent="0.3">
      <c r="A434" t="s">
        <v>1317</v>
      </c>
      <c r="B434" t="s">
        <v>2186</v>
      </c>
      <c r="C434" t="s">
        <v>1318</v>
      </c>
      <c r="D434" t="s">
        <v>47</v>
      </c>
      <c r="E434" t="s">
        <v>575</v>
      </c>
      <c r="F434" t="s">
        <v>1319</v>
      </c>
      <c r="G434" t="s">
        <v>22</v>
      </c>
      <c r="H434" s="13">
        <v>45204</v>
      </c>
      <c r="I434" t="s">
        <v>33</v>
      </c>
      <c r="K434" t="s">
        <v>1514</v>
      </c>
      <c r="L434" t="s">
        <v>1514</v>
      </c>
      <c r="M434" t="s">
        <v>2187</v>
      </c>
      <c r="N434" t="s">
        <v>1514</v>
      </c>
      <c r="O434" t="s">
        <v>575</v>
      </c>
      <c r="P434" t="s">
        <v>1517</v>
      </c>
      <c r="Q434" t="s">
        <v>1514</v>
      </c>
      <c r="R434">
        <v>0</v>
      </c>
    </row>
    <row r="435" spans="1:18" x14ac:dyDescent="0.3">
      <c r="A435" t="s">
        <v>1320</v>
      </c>
      <c r="B435" t="s">
        <v>2188</v>
      </c>
      <c r="C435" t="s">
        <v>1321</v>
      </c>
      <c r="D435" t="s">
        <v>42</v>
      </c>
      <c r="E435" t="s">
        <v>305</v>
      </c>
      <c r="F435" t="s">
        <v>1322</v>
      </c>
      <c r="G435" t="s">
        <v>22</v>
      </c>
      <c r="H435" s="13">
        <v>45309</v>
      </c>
      <c r="I435" t="s">
        <v>33</v>
      </c>
      <c r="K435" t="s">
        <v>1514</v>
      </c>
      <c r="L435" t="s">
        <v>1514</v>
      </c>
      <c r="M435" t="s">
        <v>2189</v>
      </c>
      <c r="N435" t="s">
        <v>1514</v>
      </c>
      <c r="O435" t="s">
        <v>305</v>
      </c>
      <c r="P435" t="s">
        <v>1517</v>
      </c>
      <c r="Q435" t="s">
        <v>1514</v>
      </c>
      <c r="R435">
        <v>0</v>
      </c>
    </row>
    <row r="436" spans="1:18" x14ac:dyDescent="0.3">
      <c r="A436" t="s">
        <v>420</v>
      </c>
      <c r="B436" t="s">
        <v>2190</v>
      </c>
      <c r="C436" t="s">
        <v>1323</v>
      </c>
      <c r="D436" t="s">
        <v>42</v>
      </c>
      <c r="E436" t="s">
        <v>43</v>
      </c>
      <c r="F436" t="s">
        <v>1324</v>
      </c>
      <c r="G436" t="s">
        <v>15</v>
      </c>
      <c r="H436" s="13">
        <v>45356</v>
      </c>
      <c r="I436" t="s">
        <v>39</v>
      </c>
      <c r="J436" t="s">
        <v>17</v>
      </c>
      <c r="K436" t="s">
        <v>1514</v>
      </c>
      <c r="L436" t="s">
        <v>1514</v>
      </c>
      <c r="M436" t="s">
        <v>42</v>
      </c>
      <c r="N436" t="s">
        <v>1514</v>
      </c>
      <c r="O436" t="s">
        <v>43</v>
      </c>
      <c r="P436" t="s">
        <v>1517</v>
      </c>
      <c r="Q436" t="s">
        <v>1514</v>
      </c>
      <c r="R436">
        <v>0</v>
      </c>
    </row>
    <row r="437" spans="1:18" x14ac:dyDescent="0.3">
      <c r="A437" t="s">
        <v>735</v>
      </c>
      <c r="B437" t="s">
        <v>2191</v>
      </c>
      <c r="C437" t="s">
        <v>1325</v>
      </c>
      <c r="D437" t="s">
        <v>12</v>
      </c>
      <c r="E437" t="s">
        <v>20</v>
      </c>
      <c r="F437" t="s">
        <v>1326</v>
      </c>
      <c r="G437" t="s">
        <v>22</v>
      </c>
      <c r="H437" s="13">
        <v>45521</v>
      </c>
      <c r="I437" t="s">
        <v>54</v>
      </c>
      <c r="J437" t="s">
        <v>50</v>
      </c>
      <c r="K437" t="s">
        <v>1514</v>
      </c>
      <c r="L437" t="s">
        <v>1514</v>
      </c>
      <c r="M437" t="s">
        <v>1515</v>
      </c>
      <c r="N437" t="s">
        <v>1516</v>
      </c>
      <c r="O437" t="s">
        <v>20</v>
      </c>
      <c r="P437" t="s">
        <v>1517</v>
      </c>
      <c r="Q437" t="s">
        <v>1518</v>
      </c>
      <c r="R437">
        <v>1</v>
      </c>
    </row>
    <row r="438" spans="1:18" x14ac:dyDescent="0.3">
      <c r="A438" t="s">
        <v>1327</v>
      </c>
      <c r="B438" t="s">
        <v>2192</v>
      </c>
      <c r="C438" t="s">
        <v>1328</v>
      </c>
      <c r="D438" t="s">
        <v>57</v>
      </c>
      <c r="E438" t="s">
        <v>252</v>
      </c>
      <c r="F438" t="s">
        <v>1329</v>
      </c>
      <c r="G438" t="s">
        <v>22</v>
      </c>
      <c r="H438" s="13">
        <v>45924</v>
      </c>
      <c r="I438" t="s">
        <v>23</v>
      </c>
      <c r="K438" t="s">
        <v>1514</v>
      </c>
      <c r="L438" t="s">
        <v>1514</v>
      </c>
      <c r="M438" t="s">
        <v>57</v>
      </c>
      <c r="N438" t="s">
        <v>1514</v>
      </c>
      <c r="O438" t="s">
        <v>252</v>
      </c>
      <c r="P438" t="s">
        <v>1517</v>
      </c>
      <c r="Q438" t="s">
        <v>1514</v>
      </c>
      <c r="R438">
        <v>0</v>
      </c>
    </row>
    <row r="439" spans="1:18" x14ac:dyDescent="0.3">
      <c r="A439" t="s">
        <v>183</v>
      </c>
      <c r="B439" t="s">
        <v>2193</v>
      </c>
      <c r="C439" t="s">
        <v>1330</v>
      </c>
      <c r="D439" t="s">
        <v>12</v>
      </c>
      <c r="E439" t="s">
        <v>13</v>
      </c>
      <c r="F439" t="s">
        <v>1331</v>
      </c>
      <c r="G439" t="s">
        <v>15</v>
      </c>
      <c r="H439" s="13">
        <v>45521</v>
      </c>
      <c r="I439" t="s">
        <v>39</v>
      </c>
      <c r="J439" t="s">
        <v>17</v>
      </c>
      <c r="K439" t="s">
        <v>1514</v>
      </c>
      <c r="L439" t="s">
        <v>1514</v>
      </c>
      <c r="M439" t="s">
        <v>12</v>
      </c>
      <c r="N439" t="s">
        <v>1514</v>
      </c>
      <c r="O439" t="s">
        <v>13</v>
      </c>
      <c r="P439" t="s">
        <v>1517</v>
      </c>
      <c r="Q439" t="s">
        <v>1514</v>
      </c>
      <c r="R439">
        <v>0</v>
      </c>
    </row>
    <row r="440" spans="1:18" x14ac:dyDescent="0.3">
      <c r="A440" t="s">
        <v>1332</v>
      </c>
      <c r="B440" t="s">
        <v>2194</v>
      </c>
      <c r="C440" t="s">
        <v>1333</v>
      </c>
      <c r="D440" t="s">
        <v>42</v>
      </c>
      <c r="E440" t="s">
        <v>43</v>
      </c>
      <c r="F440" t="s">
        <v>1334</v>
      </c>
      <c r="G440" t="s">
        <v>15</v>
      </c>
      <c r="H440" s="13">
        <v>45084</v>
      </c>
      <c r="I440" t="s">
        <v>23</v>
      </c>
      <c r="J440" t="s">
        <v>78</v>
      </c>
      <c r="K440" t="s">
        <v>1514</v>
      </c>
      <c r="L440" t="s">
        <v>1514</v>
      </c>
      <c r="M440" t="s">
        <v>2195</v>
      </c>
      <c r="N440" t="s">
        <v>1514</v>
      </c>
      <c r="O440" t="s">
        <v>43</v>
      </c>
      <c r="P440" t="s">
        <v>1517</v>
      </c>
      <c r="Q440" t="s">
        <v>1514</v>
      </c>
      <c r="R440">
        <v>0</v>
      </c>
    </row>
    <row r="441" spans="1:18" x14ac:dyDescent="0.3">
      <c r="A441" t="s">
        <v>1335</v>
      </c>
      <c r="B441" t="s">
        <v>2196</v>
      </c>
      <c r="C441" t="s">
        <v>1336</v>
      </c>
      <c r="D441" t="s">
        <v>27</v>
      </c>
      <c r="E441" t="s">
        <v>98</v>
      </c>
      <c r="F441" t="s">
        <v>1337</v>
      </c>
      <c r="G441" t="s">
        <v>15</v>
      </c>
      <c r="H441" s="13">
        <v>45675</v>
      </c>
      <c r="I441" t="s">
        <v>54</v>
      </c>
      <c r="K441" t="s">
        <v>1514</v>
      </c>
      <c r="L441" t="s">
        <v>1514</v>
      </c>
      <c r="M441" t="s">
        <v>1515</v>
      </c>
      <c r="N441" t="s">
        <v>1516</v>
      </c>
      <c r="O441" t="s">
        <v>98</v>
      </c>
      <c r="P441" t="s">
        <v>1517</v>
      </c>
      <c r="Q441" t="s">
        <v>1518</v>
      </c>
      <c r="R441">
        <v>1</v>
      </c>
    </row>
    <row r="442" spans="1:18" x14ac:dyDescent="0.3">
      <c r="A442" t="s">
        <v>1338</v>
      </c>
      <c r="B442" t="s">
        <v>2197</v>
      </c>
      <c r="C442" t="s">
        <v>1339</v>
      </c>
      <c r="D442" t="s">
        <v>62</v>
      </c>
      <c r="E442" t="s">
        <v>63</v>
      </c>
      <c r="F442" t="s">
        <v>1340</v>
      </c>
      <c r="G442" t="s">
        <v>15</v>
      </c>
      <c r="H442" s="13">
        <v>45902</v>
      </c>
      <c r="I442" t="s">
        <v>33</v>
      </c>
      <c r="J442" t="s">
        <v>50</v>
      </c>
      <c r="K442" t="s">
        <v>1514</v>
      </c>
      <c r="L442" t="s">
        <v>1514</v>
      </c>
      <c r="M442" t="s">
        <v>2198</v>
      </c>
      <c r="N442" t="s">
        <v>1514</v>
      </c>
      <c r="O442" t="s">
        <v>63</v>
      </c>
      <c r="P442" t="s">
        <v>1517</v>
      </c>
      <c r="Q442" t="s">
        <v>1514</v>
      </c>
      <c r="R442">
        <v>0</v>
      </c>
    </row>
    <row r="443" spans="1:18" x14ac:dyDescent="0.3">
      <c r="A443" t="s">
        <v>1341</v>
      </c>
      <c r="B443" t="s">
        <v>2199</v>
      </c>
      <c r="C443" t="s">
        <v>1342</v>
      </c>
      <c r="D443" t="s">
        <v>36</v>
      </c>
      <c r="E443" t="s">
        <v>127</v>
      </c>
      <c r="F443" t="s">
        <v>1343</v>
      </c>
      <c r="G443" t="s">
        <v>15</v>
      </c>
      <c r="H443" s="13">
        <v>45645</v>
      </c>
      <c r="I443" t="s">
        <v>33</v>
      </c>
      <c r="K443" t="s">
        <v>1514</v>
      </c>
      <c r="L443" t="s">
        <v>1514</v>
      </c>
      <c r="M443" t="s">
        <v>2200</v>
      </c>
      <c r="N443" t="s">
        <v>1514</v>
      </c>
      <c r="O443" t="s">
        <v>127</v>
      </c>
      <c r="P443" t="s">
        <v>1517</v>
      </c>
      <c r="Q443" t="s">
        <v>1514</v>
      </c>
      <c r="R443">
        <v>0</v>
      </c>
    </row>
    <row r="444" spans="1:18" x14ac:dyDescent="0.3">
      <c r="A444" t="s">
        <v>988</v>
      </c>
      <c r="B444" t="s">
        <v>2201</v>
      </c>
      <c r="C444" t="s">
        <v>1344</v>
      </c>
      <c r="D444" t="s">
        <v>36</v>
      </c>
      <c r="E444" t="s">
        <v>162</v>
      </c>
      <c r="F444" t="s">
        <v>1345</v>
      </c>
      <c r="G444" t="s">
        <v>22</v>
      </c>
      <c r="H444" s="13">
        <v>45247</v>
      </c>
      <c r="I444" t="s">
        <v>16</v>
      </c>
      <c r="K444" t="s">
        <v>1514</v>
      </c>
      <c r="L444" t="s">
        <v>1514</v>
      </c>
      <c r="M444" t="s">
        <v>162</v>
      </c>
      <c r="N444" t="s">
        <v>1514</v>
      </c>
      <c r="O444" t="s">
        <v>162</v>
      </c>
      <c r="P444" t="s">
        <v>1517</v>
      </c>
      <c r="Q444" t="s">
        <v>1514</v>
      </c>
      <c r="R444">
        <v>0</v>
      </c>
    </row>
    <row r="445" spans="1:18" x14ac:dyDescent="0.3">
      <c r="A445" t="s">
        <v>1346</v>
      </c>
      <c r="B445" t="s">
        <v>2202</v>
      </c>
      <c r="C445" t="s">
        <v>1347</v>
      </c>
      <c r="D445" t="s">
        <v>36</v>
      </c>
      <c r="E445" t="s">
        <v>162</v>
      </c>
      <c r="F445" t="s">
        <v>1348</v>
      </c>
      <c r="G445" t="s">
        <v>22</v>
      </c>
      <c r="H445" s="13">
        <v>44969</v>
      </c>
      <c r="I445" t="s">
        <v>23</v>
      </c>
      <c r="J445" t="s">
        <v>17</v>
      </c>
      <c r="K445" t="s">
        <v>1514</v>
      </c>
      <c r="L445" t="s">
        <v>1514</v>
      </c>
      <c r="M445" t="s">
        <v>2203</v>
      </c>
      <c r="N445" t="s">
        <v>1514</v>
      </c>
      <c r="O445" t="s">
        <v>162</v>
      </c>
      <c r="P445" t="s">
        <v>1517</v>
      </c>
      <c r="Q445" t="s">
        <v>1514</v>
      </c>
      <c r="R445">
        <v>0</v>
      </c>
    </row>
    <row r="446" spans="1:18" x14ac:dyDescent="0.3">
      <c r="A446" t="s">
        <v>1349</v>
      </c>
      <c r="B446" t="s">
        <v>2204</v>
      </c>
      <c r="C446" t="s">
        <v>1350</v>
      </c>
      <c r="D446" t="s">
        <v>84</v>
      </c>
      <c r="E446" t="s">
        <v>248</v>
      </c>
      <c r="F446" t="s">
        <v>1351</v>
      </c>
      <c r="G446" t="s">
        <v>22</v>
      </c>
      <c r="H446" s="13">
        <v>45815</v>
      </c>
      <c r="I446" t="s">
        <v>23</v>
      </c>
      <c r="K446" t="s">
        <v>1514</v>
      </c>
      <c r="L446" t="s">
        <v>1514</v>
      </c>
      <c r="M446" t="s">
        <v>2205</v>
      </c>
      <c r="N446" t="s">
        <v>1514</v>
      </c>
      <c r="O446" t="s">
        <v>248</v>
      </c>
      <c r="P446" t="s">
        <v>1517</v>
      </c>
      <c r="Q446" t="s">
        <v>1514</v>
      </c>
      <c r="R446">
        <v>0</v>
      </c>
    </row>
    <row r="447" spans="1:18" x14ac:dyDescent="0.3">
      <c r="A447" t="s">
        <v>1352</v>
      </c>
      <c r="B447" t="s">
        <v>2206</v>
      </c>
      <c r="C447" t="s">
        <v>1353</v>
      </c>
      <c r="D447" t="s">
        <v>42</v>
      </c>
      <c r="E447" t="s">
        <v>43</v>
      </c>
      <c r="F447" t="s">
        <v>1354</v>
      </c>
      <c r="G447" t="s">
        <v>22</v>
      </c>
      <c r="H447" s="13">
        <v>45761</v>
      </c>
      <c r="I447" t="s">
        <v>16</v>
      </c>
      <c r="J447" t="s">
        <v>95</v>
      </c>
      <c r="K447" t="s">
        <v>1514</v>
      </c>
      <c r="L447" t="s">
        <v>1514</v>
      </c>
      <c r="M447" t="s">
        <v>2207</v>
      </c>
      <c r="N447" t="s">
        <v>1514</v>
      </c>
      <c r="O447" t="s">
        <v>43</v>
      </c>
      <c r="P447" t="s">
        <v>1517</v>
      </c>
      <c r="Q447" t="s">
        <v>1514</v>
      </c>
      <c r="R447">
        <v>0</v>
      </c>
    </row>
    <row r="448" spans="1:18" x14ac:dyDescent="0.3">
      <c r="A448" t="s">
        <v>1355</v>
      </c>
      <c r="B448" t="s">
        <v>2208</v>
      </c>
      <c r="C448" t="s">
        <v>1356</v>
      </c>
      <c r="D448" t="s">
        <v>36</v>
      </c>
      <c r="E448" t="s">
        <v>37</v>
      </c>
      <c r="F448" t="s">
        <v>1357</v>
      </c>
      <c r="G448" t="s">
        <v>22</v>
      </c>
      <c r="H448" s="13">
        <v>45697</v>
      </c>
      <c r="I448" t="s">
        <v>23</v>
      </c>
      <c r="K448" t="s">
        <v>1514</v>
      </c>
      <c r="L448" t="s">
        <v>1514</v>
      </c>
      <c r="M448" t="s">
        <v>2209</v>
      </c>
      <c r="N448" t="s">
        <v>1514</v>
      </c>
      <c r="O448" t="s">
        <v>37</v>
      </c>
      <c r="P448" t="s">
        <v>1517</v>
      </c>
      <c r="Q448" t="s">
        <v>1514</v>
      </c>
      <c r="R448">
        <v>0</v>
      </c>
    </row>
    <row r="449" spans="1:18" x14ac:dyDescent="0.3">
      <c r="A449" t="s">
        <v>403</v>
      </c>
      <c r="B449" t="s">
        <v>2210</v>
      </c>
      <c r="C449" t="s">
        <v>1358</v>
      </c>
      <c r="D449" t="s">
        <v>27</v>
      </c>
      <c r="E449" t="s">
        <v>241</v>
      </c>
      <c r="F449" t="s">
        <v>1359</v>
      </c>
      <c r="G449" t="s">
        <v>15</v>
      </c>
      <c r="H449" s="13">
        <v>45665</v>
      </c>
      <c r="I449" t="s">
        <v>39</v>
      </c>
      <c r="K449" t="s">
        <v>1514</v>
      </c>
      <c r="L449" t="s">
        <v>1514</v>
      </c>
      <c r="M449" t="s">
        <v>27</v>
      </c>
      <c r="N449" t="s">
        <v>1514</v>
      </c>
      <c r="O449" t="s">
        <v>241</v>
      </c>
      <c r="P449" t="s">
        <v>1517</v>
      </c>
      <c r="Q449" t="s">
        <v>1514</v>
      </c>
      <c r="R449">
        <v>0</v>
      </c>
    </row>
    <row r="450" spans="1:18" x14ac:dyDescent="0.3">
      <c r="A450" t="s">
        <v>1186</v>
      </c>
      <c r="B450" t="s">
        <v>2211</v>
      </c>
      <c r="C450" t="s">
        <v>1360</v>
      </c>
      <c r="D450" t="s">
        <v>12</v>
      </c>
      <c r="E450" t="s">
        <v>13</v>
      </c>
      <c r="F450" t="s">
        <v>1361</v>
      </c>
      <c r="G450" t="s">
        <v>22</v>
      </c>
      <c r="H450" s="13">
        <v>45802</v>
      </c>
      <c r="I450" t="s">
        <v>16</v>
      </c>
      <c r="K450" t="s">
        <v>1514</v>
      </c>
      <c r="L450" t="s">
        <v>1514</v>
      </c>
      <c r="M450" t="s">
        <v>13</v>
      </c>
      <c r="N450" t="s">
        <v>1514</v>
      </c>
      <c r="O450" t="s">
        <v>13</v>
      </c>
      <c r="P450" t="s">
        <v>1517</v>
      </c>
      <c r="Q450" t="s">
        <v>1514</v>
      </c>
      <c r="R450">
        <v>0</v>
      </c>
    </row>
    <row r="451" spans="1:18" x14ac:dyDescent="0.3">
      <c r="A451" t="s">
        <v>729</v>
      </c>
      <c r="B451" t="s">
        <v>2212</v>
      </c>
      <c r="C451" t="s">
        <v>1362</v>
      </c>
      <c r="D451" t="s">
        <v>84</v>
      </c>
      <c r="E451" t="s">
        <v>201</v>
      </c>
      <c r="F451" t="s">
        <v>1363</v>
      </c>
      <c r="G451" t="s">
        <v>15</v>
      </c>
      <c r="H451" s="13">
        <v>45151</v>
      </c>
      <c r="I451" t="s">
        <v>33</v>
      </c>
      <c r="K451" t="s">
        <v>1514</v>
      </c>
      <c r="L451" t="s">
        <v>1514</v>
      </c>
      <c r="M451" t="s">
        <v>1515</v>
      </c>
      <c r="N451" t="s">
        <v>1516</v>
      </c>
      <c r="O451" t="s">
        <v>201</v>
      </c>
      <c r="P451" t="s">
        <v>1517</v>
      </c>
      <c r="Q451" t="s">
        <v>1518</v>
      </c>
      <c r="R451">
        <v>1</v>
      </c>
    </row>
    <row r="452" spans="1:18" x14ac:dyDescent="0.3">
      <c r="A452" t="s">
        <v>1364</v>
      </c>
      <c r="B452" t="s">
        <v>2213</v>
      </c>
      <c r="C452" t="s">
        <v>1365</v>
      </c>
      <c r="D452" t="s">
        <v>12</v>
      </c>
      <c r="E452" t="s">
        <v>13</v>
      </c>
      <c r="F452" t="s">
        <v>1366</v>
      </c>
      <c r="G452" t="s">
        <v>15</v>
      </c>
      <c r="H452" s="13">
        <v>45542</v>
      </c>
      <c r="I452" t="s">
        <v>16</v>
      </c>
      <c r="J452" t="s">
        <v>78</v>
      </c>
      <c r="K452" t="s">
        <v>1514</v>
      </c>
      <c r="L452" t="s">
        <v>1514</v>
      </c>
      <c r="M452" t="s">
        <v>2214</v>
      </c>
      <c r="N452" t="s">
        <v>1514</v>
      </c>
      <c r="O452" t="s">
        <v>13</v>
      </c>
      <c r="P452" t="s">
        <v>1517</v>
      </c>
      <c r="Q452" t="s">
        <v>1514</v>
      </c>
      <c r="R452">
        <v>0</v>
      </c>
    </row>
    <row r="453" spans="1:18" x14ac:dyDescent="0.3">
      <c r="A453" t="s">
        <v>1367</v>
      </c>
      <c r="B453" t="s">
        <v>2215</v>
      </c>
      <c r="C453" t="s">
        <v>1368</v>
      </c>
      <c r="D453" t="s">
        <v>71</v>
      </c>
      <c r="E453" t="s">
        <v>72</v>
      </c>
      <c r="F453" t="s">
        <v>1369</v>
      </c>
      <c r="G453" t="s">
        <v>15</v>
      </c>
      <c r="H453" s="13">
        <v>44901</v>
      </c>
      <c r="I453" t="s">
        <v>39</v>
      </c>
      <c r="K453" t="s">
        <v>1514</v>
      </c>
      <c r="L453" t="s">
        <v>1514</v>
      </c>
      <c r="M453" t="s">
        <v>2216</v>
      </c>
      <c r="N453" t="s">
        <v>1514</v>
      </c>
      <c r="O453" t="s">
        <v>72</v>
      </c>
      <c r="P453" t="s">
        <v>1517</v>
      </c>
      <c r="Q453" t="s">
        <v>1514</v>
      </c>
      <c r="R453">
        <v>0</v>
      </c>
    </row>
    <row r="454" spans="1:18" x14ac:dyDescent="0.3">
      <c r="A454" t="s">
        <v>1370</v>
      </c>
      <c r="B454" t="s">
        <v>2217</v>
      </c>
      <c r="C454" t="s">
        <v>1371</v>
      </c>
      <c r="D454" t="s">
        <v>71</v>
      </c>
      <c r="E454" t="s">
        <v>93</v>
      </c>
      <c r="F454" t="s">
        <v>1372</v>
      </c>
      <c r="G454" t="s">
        <v>22</v>
      </c>
      <c r="H454" s="13">
        <v>45920</v>
      </c>
      <c r="I454" t="s">
        <v>39</v>
      </c>
      <c r="K454" t="s">
        <v>1514</v>
      </c>
      <c r="L454" t="s">
        <v>1514</v>
      </c>
      <c r="M454" t="s">
        <v>2218</v>
      </c>
      <c r="N454" t="s">
        <v>1514</v>
      </c>
      <c r="O454" t="s">
        <v>93</v>
      </c>
      <c r="P454" t="s">
        <v>1517</v>
      </c>
      <c r="Q454" t="s">
        <v>1514</v>
      </c>
      <c r="R454">
        <v>0</v>
      </c>
    </row>
    <row r="455" spans="1:18" x14ac:dyDescent="0.3">
      <c r="A455" t="s">
        <v>1373</v>
      </c>
      <c r="B455" t="s">
        <v>2219</v>
      </c>
      <c r="C455" t="s">
        <v>1374</v>
      </c>
      <c r="D455" t="s">
        <v>47</v>
      </c>
      <c r="E455" t="s">
        <v>112</v>
      </c>
      <c r="F455" t="s">
        <v>1375</v>
      </c>
      <c r="G455" t="s">
        <v>15</v>
      </c>
      <c r="H455" s="13">
        <v>45351</v>
      </c>
      <c r="I455" t="s">
        <v>16</v>
      </c>
      <c r="J455" t="s">
        <v>78</v>
      </c>
      <c r="K455" t="s">
        <v>1514</v>
      </c>
      <c r="L455" t="s">
        <v>1514</v>
      </c>
      <c r="M455" t="s">
        <v>1373</v>
      </c>
      <c r="N455" t="s">
        <v>1514</v>
      </c>
      <c r="O455" t="s">
        <v>112</v>
      </c>
      <c r="P455" t="s">
        <v>1517</v>
      </c>
      <c r="Q455" t="s">
        <v>1514</v>
      </c>
      <c r="R455">
        <v>0</v>
      </c>
    </row>
    <row r="456" spans="1:18" x14ac:dyDescent="0.3">
      <c r="A456" t="s">
        <v>1376</v>
      </c>
      <c r="B456" t="s">
        <v>2220</v>
      </c>
      <c r="C456" t="s">
        <v>1377</v>
      </c>
      <c r="D456" t="s">
        <v>71</v>
      </c>
      <c r="E456" t="s">
        <v>536</v>
      </c>
      <c r="F456" t="s">
        <v>1378</v>
      </c>
      <c r="G456" t="s">
        <v>22</v>
      </c>
      <c r="H456" s="13">
        <v>45621</v>
      </c>
      <c r="I456" t="s">
        <v>23</v>
      </c>
      <c r="J456" t="s">
        <v>78</v>
      </c>
      <c r="K456" t="s">
        <v>1514</v>
      </c>
      <c r="L456" t="s">
        <v>1514</v>
      </c>
      <c r="M456" t="s">
        <v>2221</v>
      </c>
      <c r="N456" t="s">
        <v>1514</v>
      </c>
      <c r="O456" t="s">
        <v>536</v>
      </c>
      <c r="P456" t="s">
        <v>1517</v>
      </c>
      <c r="Q456" t="s">
        <v>1514</v>
      </c>
      <c r="R456">
        <v>0</v>
      </c>
    </row>
    <row r="457" spans="1:18" x14ac:dyDescent="0.3">
      <c r="A457" t="s">
        <v>1379</v>
      </c>
      <c r="B457" t="s">
        <v>2222</v>
      </c>
      <c r="C457" t="s">
        <v>1380</v>
      </c>
      <c r="D457" t="s">
        <v>12</v>
      </c>
      <c r="E457" t="s">
        <v>138</v>
      </c>
      <c r="F457" t="s">
        <v>1381</v>
      </c>
      <c r="G457" t="s">
        <v>15</v>
      </c>
      <c r="H457" s="13">
        <v>45503</v>
      </c>
      <c r="I457" t="s">
        <v>23</v>
      </c>
      <c r="K457" t="s">
        <v>1514</v>
      </c>
      <c r="L457" t="s">
        <v>1514</v>
      </c>
      <c r="M457" t="s">
        <v>2223</v>
      </c>
      <c r="N457" t="s">
        <v>1514</v>
      </c>
      <c r="O457" t="s">
        <v>138</v>
      </c>
      <c r="P457" t="s">
        <v>1517</v>
      </c>
      <c r="Q457" t="s">
        <v>1514</v>
      </c>
      <c r="R457">
        <v>0</v>
      </c>
    </row>
    <row r="458" spans="1:18" x14ac:dyDescent="0.3">
      <c r="A458" t="s">
        <v>439</v>
      </c>
      <c r="B458" t="s">
        <v>2224</v>
      </c>
      <c r="C458" t="s">
        <v>1382</v>
      </c>
      <c r="D458" t="s">
        <v>71</v>
      </c>
      <c r="E458" t="s">
        <v>374</v>
      </c>
      <c r="F458" t="s">
        <v>1383</v>
      </c>
      <c r="G458" t="s">
        <v>15</v>
      </c>
      <c r="H458" s="13">
        <v>45596</v>
      </c>
      <c r="I458" t="s">
        <v>16</v>
      </c>
      <c r="K458" t="s">
        <v>1514</v>
      </c>
      <c r="L458" t="s">
        <v>1514</v>
      </c>
      <c r="M458" t="s">
        <v>1515</v>
      </c>
      <c r="N458" t="s">
        <v>1516</v>
      </c>
      <c r="O458" t="s">
        <v>374</v>
      </c>
      <c r="P458" t="s">
        <v>1517</v>
      </c>
      <c r="Q458" t="s">
        <v>1518</v>
      </c>
      <c r="R458">
        <v>1</v>
      </c>
    </row>
    <row r="459" spans="1:18" x14ac:dyDescent="0.3">
      <c r="A459" t="s">
        <v>1384</v>
      </c>
      <c r="B459" t="s">
        <v>2225</v>
      </c>
      <c r="C459" t="s">
        <v>1385</v>
      </c>
      <c r="D459" t="s">
        <v>57</v>
      </c>
      <c r="E459" t="s">
        <v>312</v>
      </c>
      <c r="F459" t="s">
        <v>1386</v>
      </c>
      <c r="G459" t="s">
        <v>15</v>
      </c>
      <c r="H459" s="13">
        <v>45949</v>
      </c>
      <c r="I459" t="s">
        <v>54</v>
      </c>
      <c r="J459" t="s">
        <v>17</v>
      </c>
      <c r="K459" t="s">
        <v>1514</v>
      </c>
      <c r="L459" t="s">
        <v>1514</v>
      </c>
      <c r="M459" t="s">
        <v>2226</v>
      </c>
      <c r="N459" t="s">
        <v>1514</v>
      </c>
      <c r="O459" t="s">
        <v>312</v>
      </c>
      <c r="P459" t="s">
        <v>1517</v>
      </c>
      <c r="Q459" t="s">
        <v>1514</v>
      </c>
      <c r="R459">
        <v>0</v>
      </c>
    </row>
    <row r="460" spans="1:18" x14ac:dyDescent="0.3">
      <c r="A460" t="s">
        <v>1387</v>
      </c>
      <c r="B460" t="s">
        <v>2227</v>
      </c>
      <c r="C460" t="s">
        <v>1388</v>
      </c>
      <c r="D460" t="s">
        <v>173</v>
      </c>
      <c r="E460" t="s">
        <v>398</v>
      </c>
      <c r="F460" t="s">
        <v>1389</v>
      </c>
      <c r="G460" t="s">
        <v>22</v>
      </c>
      <c r="H460" s="13">
        <v>44943</v>
      </c>
      <c r="I460" t="s">
        <v>23</v>
      </c>
      <c r="K460" t="s">
        <v>1514</v>
      </c>
      <c r="L460" t="s">
        <v>1514</v>
      </c>
      <c r="M460" t="s">
        <v>2228</v>
      </c>
      <c r="N460" t="s">
        <v>1514</v>
      </c>
      <c r="O460" t="s">
        <v>398</v>
      </c>
      <c r="P460" t="s">
        <v>1517</v>
      </c>
      <c r="Q460" t="s">
        <v>1514</v>
      </c>
      <c r="R460">
        <v>0</v>
      </c>
    </row>
    <row r="461" spans="1:18" x14ac:dyDescent="0.3">
      <c r="A461" t="s">
        <v>1390</v>
      </c>
      <c r="B461" t="s">
        <v>2229</v>
      </c>
      <c r="C461" t="s">
        <v>1391</v>
      </c>
      <c r="D461" t="s">
        <v>47</v>
      </c>
      <c r="E461" t="s">
        <v>425</v>
      </c>
      <c r="F461" t="s">
        <v>1392</v>
      </c>
      <c r="G461" t="s">
        <v>15</v>
      </c>
      <c r="H461" s="13">
        <v>44936</v>
      </c>
      <c r="I461" t="s">
        <v>23</v>
      </c>
      <c r="K461" t="s">
        <v>1514</v>
      </c>
      <c r="L461" t="s">
        <v>1514</v>
      </c>
      <c r="M461" t="s">
        <v>2230</v>
      </c>
      <c r="N461" t="s">
        <v>1514</v>
      </c>
      <c r="O461" t="s">
        <v>425</v>
      </c>
      <c r="P461" t="s">
        <v>1517</v>
      </c>
      <c r="Q461" t="s">
        <v>1514</v>
      </c>
      <c r="R461">
        <v>0</v>
      </c>
    </row>
    <row r="462" spans="1:18" x14ac:dyDescent="0.3">
      <c r="A462" t="s">
        <v>1393</v>
      </c>
      <c r="B462" t="s">
        <v>2231</v>
      </c>
      <c r="C462" t="s">
        <v>1394</v>
      </c>
      <c r="D462" t="s">
        <v>173</v>
      </c>
      <c r="E462" t="s">
        <v>174</v>
      </c>
      <c r="F462" t="s">
        <v>1395</v>
      </c>
      <c r="G462" t="s">
        <v>22</v>
      </c>
      <c r="H462" s="13">
        <v>45573</v>
      </c>
      <c r="I462" t="s">
        <v>33</v>
      </c>
      <c r="J462" t="s">
        <v>17</v>
      </c>
      <c r="K462" t="s">
        <v>1514</v>
      </c>
      <c r="L462" t="s">
        <v>1514</v>
      </c>
      <c r="M462" t="s">
        <v>2232</v>
      </c>
      <c r="N462" t="s">
        <v>1514</v>
      </c>
      <c r="O462" t="s">
        <v>174</v>
      </c>
      <c r="P462" t="s">
        <v>1517</v>
      </c>
      <c r="Q462" t="s">
        <v>1514</v>
      </c>
      <c r="R462">
        <v>0</v>
      </c>
    </row>
    <row r="463" spans="1:18" x14ac:dyDescent="0.3">
      <c r="A463" t="s">
        <v>1396</v>
      </c>
      <c r="B463" t="s">
        <v>2233</v>
      </c>
      <c r="C463" t="s">
        <v>1397</v>
      </c>
      <c r="D463" t="s">
        <v>71</v>
      </c>
      <c r="E463" t="s">
        <v>536</v>
      </c>
      <c r="F463" t="s">
        <v>1398</v>
      </c>
      <c r="G463" t="s">
        <v>22</v>
      </c>
      <c r="H463" s="13">
        <v>45849</v>
      </c>
      <c r="I463" t="s">
        <v>39</v>
      </c>
      <c r="J463" t="s">
        <v>17</v>
      </c>
      <c r="K463" t="s">
        <v>1514</v>
      </c>
      <c r="L463" t="s">
        <v>1514</v>
      </c>
      <c r="M463" t="s">
        <v>2234</v>
      </c>
      <c r="N463" t="s">
        <v>1514</v>
      </c>
      <c r="O463" t="s">
        <v>536</v>
      </c>
      <c r="P463" t="s">
        <v>1517</v>
      </c>
      <c r="Q463" t="s">
        <v>1514</v>
      </c>
      <c r="R463">
        <v>0</v>
      </c>
    </row>
    <row r="464" spans="1:18" x14ac:dyDescent="0.3">
      <c r="A464" t="s">
        <v>1399</v>
      </c>
      <c r="B464" t="s">
        <v>2235</v>
      </c>
      <c r="C464" t="s">
        <v>1400</v>
      </c>
      <c r="D464" t="s">
        <v>12</v>
      </c>
      <c r="E464" t="s">
        <v>20</v>
      </c>
      <c r="F464" t="s">
        <v>1401</v>
      </c>
      <c r="G464" t="s">
        <v>15</v>
      </c>
      <c r="H464" s="13">
        <v>45589</v>
      </c>
      <c r="I464" t="s">
        <v>54</v>
      </c>
      <c r="J464" t="s">
        <v>78</v>
      </c>
      <c r="K464" t="s">
        <v>1514</v>
      </c>
      <c r="L464" t="s">
        <v>1514</v>
      </c>
      <c r="M464" t="s">
        <v>1399</v>
      </c>
      <c r="N464" t="s">
        <v>1514</v>
      </c>
      <c r="O464" t="s">
        <v>20</v>
      </c>
      <c r="P464" t="s">
        <v>1517</v>
      </c>
      <c r="Q464" t="s">
        <v>1514</v>
      </c>
      <c r="R464">
        <v>0</v>
      </c>
    </row>
    <row r="465" spans="1:18" x14ac:dyDescent="0.3">
      <c r="A465" t="s">
        <v>336</v>
      </c>
      <c r="B465" t="s">
        <v>2236</v>
      </c>
      <c r="C465" t="s">
        <v>1402</v>
      </c>
      <c r="D465" t="s">
        <v>173</v>
      </c>
      <c r="E465" t="s">
        <v>270</v>
      </c>
      <c r="F465" t="s">
        <v>1403</v>
      </c>
      <c r="G465" t="s">
        <v>15</v>
      </c>
      <c r="H465" s="13">
        <v>45730</v>
      </c>
      <c r="I465" t="s">
        <v>33</v>
      </c>
      <c r="K465" t="s">
        <v>1514</v>
      </c>
      <c r="L465" t="s">
        <v>1514</v>
      </c>
      <c r="M465" t="s">
        <v>270</v>
      </c>
      <c r="N465" t="s">
        <v>1514</v>
      </c>
      <c r="O465" t="s">
        <v>270</v>
      </c>
      <c r="P465" t="s">
        <v>1517</v>
      </c>
      <c r="Q465" t="s">
        <v>1514</v>
      </c>
      <c r="R465">
        <v>0</v>
      </c>
    </row>
    <row r="466" spans="1:18" x14ac:dyDescent="0.3">
      <c r="A466" t="s">
        <v>1404</v>
      </c>
      <c r="B466" t="s">
        <v>2237</v>
      </c>
      <c r="C466" t="s">
        <v>1405</v>
      </c>
      <c r="D466" t="s">
        <v>57</v>
      </c>
      <c r="E466" t="s">
        <v>223</v>
      </c>
      <c r="F466" t="s">
        <v>1406</v>
      </c>
      <c r="G466" t="s">
        <v>22</v>
      </c>
      <c r="H466" s="13">
        <v>45004</v>
      </c>
      <c r="I466" t="s">
        <v>33</v>
      </c>
      <c r="K466" t="s">
        <v>1514</v>
      </c>
      <c r="L466" t="s">
        <v>1514</v>
      </c>
      <c r="M466" t="s">
        <v>57</v>
      </c>
      <c r="N466" t="s">
        <v>1514</v>
      </c>
      <c r="O466" t="s">
        <v>223</v>
      </c>
      <c r="P466" t="s">
        <v>1517</v>
      </c>
      <c r="Q466" t="s">
        <v>1514</v>
      </c>
      <c r="R466">
        <v>0</v>
      </c>
    </row>
    <row r="467" spans="1:18" x14ac:dyDescent="0.3">
      <c r="A467" t="s">
        <v>1407</v>
      </c>
      <c r="B467" t="s">
        <v>2238</v>
      </c>
      <c r="C467" t="s">
        <v>1408</v>
      </c>
      <c r="D467" t="s">
        <v>62</v>
      </c>
      <c r="E467" t="s">
        <v>154</v>
      </c>
      <c r="F467" t="s">
        <v>1409</v>
      </c>
      <c r="G467" t="s">
        <v>15</v>
      </c>
      <c r="H467" s="13">
        <v>45500</v>
      </c>
      <c r="I467" t="s">
        <v>39</v>
      </c>
      <c r="K467" t="s">
        <v>1514</v>
      </c>
      <c r="L467" t="s">
        <v>1514</v>
      </c>
      <c r="M467" t="s">
        <v>2239</v>
      </c>
      <c r="N467" t="s">
        <v>1514</v>
      </c>
      <c r="O467" t="s">
        <v>154</v>
      </c>
      <c r="P467" t="s">
        <v>1517</v>
      </c>
      <c r="Q467" t="s">
        <v>1514</v>
      </c>
      <c r="R467">
        <v>0</v>
      </c>
    </row>
    <row r="468" spans="1:18" x14ac:dyDescent="0.3">
      <c r="A468" t="s">
        <v>1410</v>
      </c>
      <c r="B468" t="s">
        <v>2240</v>
      </c>
      <c r="C468" t="s">
        <v>1411</v>
      </c>
      <c r="D468" t="s">
        <v>47</v>
      </c>
      <c r="E468" t="s">
        <v>575</v>
      </c>
      <c r="F468" t="s">
        <v>1412</v>
      </c>
      <c r="G468" t="s">
        <v>22</v>
      </c>
      <c r="H468" s="13">
        <v>45961</v>
      </c>
      <c r="I468" t="s">
        <v>16</v>
      </c>
      <c r="J468" t="s">
        <v>95</v>
      </c>
      <c r="K468" t="s">
        <v>1514</v>
      </c>
      <c r="L468" t="s">
        <v>1514</v>
      </c>
      <c r="M468" t="s">
        <v>2241</v>
      </c>
      <c r="N468" t="s">
        <v>1514</v>
      </c>
      <c r="O468" t="s">
        <v>575</v>
      </c>
      <c r="P468" t="s">
        <v>1517</v>
      </c>
      <c r="Q468" t="s">
        <v>1514</v>
      </c>
      <c r="R468">
        <v>0</v>
      </c>
    </row>
    <row r="469" spans="1:18" x14ac:dyDescent="0.3">
      <c r="A469" t="s">
        <v>1413</v>
      </c>
      <c r="B469" t="s">
        <v>2242</v>
      </c>
      <c r="C469" t="s">
        <v>1414</v>
      </c>
      <c r="D469" t="s">
        <v>62</v>
      </c>
      <c r="E469" t="s">
        <v>510</v>
      </c>
      <c r="F469" t="s">
        <v>1415</v>
      </c>
      <c r="G469" t="s">
        <v>22</v>
      </c>
      <c r="H469" s="13">
        <v>45052</v>
      </c>
      <c r="I469" t="s">
        <v>33</v>
      </c>
      <c r="J469" t="s">
        <v>17</v>
      </c>
      <c r="K469" t="s">
        <v>1514</v>
      </c>
      <c r="L469" t="s">
        <v>1514</v>
      </c>
      <c r="M469" t="s">
        <v>2243</v>
      </c>
      <c r="N469" t="s">
        <v>1514</v>
      </c>
      <c r="O469" t="s">
        <v>510</v>
      </c>
      <c r="P469" t="s">
        <v>1517</v>
      </c>
      <c r="Q469" t="s">
        <v>1514</v>
      </c>
      <c r="R469">
        <v>0</v>
      </c>
    </row>
    <row r="470" spans="1:18" x14ac:dyDescent="0.3">
      <c r="A470" t="s">
        <v>1416</v>
      </c>
      <c r="B470" t="s">
        <v>2244</v>
      </c>
      <c r="C470" t="s">
        <v>1417</v>
      </c>
      <c r="D470" t="s">
        <v>57</v>
      </c>
      <c r="E470" t="s">
        <v>223</v>
      </c>
      <c r="F470" t="s">
        <v>1418</v>
      </c>
      <c r="G470" t="s">
        <v>22</v>
      </c>
      <c r="H470" s="13">
        <v>44925</v>
      </c>
      <c r="I470" t="s">
        <v>39</v>
      </c>
      <c r="K470" t="s">
        <v>1514</v>
      </c>
      <c r="L470" t="s">
        <v>1514</v>
      </c>
      <c r="M470" t="s">
        <v>223</v>
      </c>
      <c r="N470" t="s">
        <v>1514</v>
      </c>
      <c r="O470" t="s">
        <v>223</v>
      </c>
      <c r="P470" t="s">
        <v>1517</v>
      </c>
      <c r="Q470" t="s">
        <v>1514</v>
      </c>
      <c r="R470">
        <v>0</v>
      </c>
    </row>
    <row r="471" spans="1:18" x14ac:dyDescent="0.3">
      <c r="A471" t="s">
        <v>1419</v>
      </c>
      <c r="B471" t="s">
        <v>2245</v>
      </c>
      <c r="C471" t="s">
        <v>1420</v>
      </c>
      <c r="D471" t="s">
        <v>12</v>
      </c>
      <c r="E471" t="s">
        <v>138</v>
      </c>
      <c r="F471" t="s">
        <v>1421</v>
      </c>
      <c r="G471" t="s">
        <v>22</v>
      </c>
      <c r="H471" s="13">
        <v>45549</v>
      </c>
      <c r="I471" t="s">
        <v>33</v>
      </c>
      <c r="K471" t="s">
        <v>1514</v>
      </c>
      <c r="L471" t="s">
        <v>1514</v>
      </c>
      <c r="M471" t="s">
        <v>1515</v>
      </c>
      <c r="N471" t="s">
        <v>1516</v>
      </c>
      <c r="O471" t="s">
        <v>138</v>
      </c>
      <c r="P471" t="s">
        <v>1517</v>
      </c>
      <c r="Q471" t="s">
        <v>1518</v>
      </c>
      <c r="R471">
        <v>1</v>
      </c>
    </row>
    <row r="472" spans="1:18" x14ac:dyDescent="0.3">
      <c r="A472" t="s">
        <v>10</v>
      </c>
      <c r="B472" t="s">
        <v>2246</v>
      </c>
      <c r="C472" t="s">
        <v>1422</v>
      </c>
      <c r="D472" t="s">
        <v>12</v>
      </c>
      <c r="E472" t="s">
        <v>13</v>
      </c>
      <c r="F472" t="s">
        <v>1423</v>
      </c>
      <c r="G472" t="s">
        <v>22</v>
      </c>
      <c r="H472" s="13">
        <v>45088</v>
      </c>
      <c r="I472" t="s">
        <v>39</v>
      </c>
      <c r="K472" t="s">
        <v>1514</v>
      </c>
      <c r="L472" t="s">
        <v>1514</v>
      </c>
      <c r="M472" t="s">
        <v>1515</v>
      </c>
      <c r="N472" t="s">
        <v>1516</v>
      </c>
      <c r="O472" t="s">
        <v>13</v>
      </c>
      <c r="P472" t="s">
        <v>1517</v>
      </c>
      <c r="Q472" t="s">
        <v>1518</v>
      </c>
      <c r="R472">
        <v>1</v>
      </c>
    </row>
    <row r="473" spans="1:18" x14ac:dyDescent="0.3">
      <c r="A473" t="s">
        <v>1424</v>
      </c>
      <c r="B473" t="s">
        <v>2247</v>
      </c>
      <c r="C473" t="s">
        <v>1425</v>
      </c>
      <c r="D473" t="s">
        <v>62</v>
      </c>
      <c r="E473" t="s">
        <v>510</v>
      </c>
      <c r="F473" t="s">
        <v>1426</v>
      </c>
      <c r="G473" t="s">
        <v>22</v>
      </c>
      <c r="H473" s="13">
        <v>45208</v>
      </c>
      <c r="I473" t="s">
        <v>33</v>
      </c>
      <c r="K473" t="s">
        <v>1514</v>
      </c>
      <c r="L473" t="s">
        <v>1514</v>
      </c>
      <c r="M473" t="s">
        <v>2248</v>
      </c>
      <c r="N473" t="s">
        <v>1514</v>
      </c>
      <c r="O473" t="s">
        <v>510</v>
      </c>
      <c r="P473" t="s">
        <v>1517</v>
      </c>
      <c r="Q473" t="s">
        <v>1514</v>
      </c>
      <c r="R473">
        <v>0</v>
      </c>
    </row>
    <row r="474" spans="1:18" x14ac:dyDescent="0.3">
      <c r="A474" t="s">
        <v>1427</v>
      </c>
      <c r="B474" t="s">
        <v>2249</v>
      </c>
      <c r="C474" t="s">
        <v>1428</v>
      </c>
      <c r="D474" t="s">
        <v>173</v>
      </c>
      <c r="E474" t="s">
        <v>270</v>
      </c>
      <c r="F474" t="s">
        <v>1429</v>
      </c>
      <c r="G474" t="s">
        <v>22</v>
      </c>
      <c r="H474" s="13">
        <v>45886</v>
      </c>
      <c r="I474" t="s">
        <v>54</v>
      </c>
      <c r="K474" t="s">
        <v>1514</v>
      </c>
      <c r="L474" t="s">
        <v>1514</v>
      </c>
      <c r="M474" t="s">
        <v>2250</v>
      </c>
      <c r="N474" t="s">
        <v>1514</v>
      </c>
      <c r="O474" t="s">
        <v>270</v>
      </c>
      <c r="P474" t="s">
        <v>1517</v>
      </c>
      <c r="Q474" t="s">
        <v>1514</v>
      </c>
      <c r="R474">
        <v>0</v>
      </c>
    </row>
    <row r="475" spans="1:18" x14ac:dyDescent="0.3">
      <c r="A475" t="s">
        <v>1430</v>
      </c>
      <c r="B475" t="s">
        <v>2251</v>
      </c>
      <c r="C475" t="s">
        <v>1431</v>
      </c>
      <c r="D475" t="s">
        <v>71</v>
      </c>
      <c r="E475" t="s">
        <v>277</v>
      </c>
      <c r="F475" t="s">
        <v>1432</v>
      </c>
      <c r="G475" t="s">
        <v>22</v>
      </c>
      <c r="H475" s="13">
        <v>45040</v>
      </c>
      <c r="I475" t="s">
        <v>16</v>
      </c>
      <c r="K475" t="s">
        <v>1514</v>
      </c>
      <c r="L475" t="s">
        <v>1514</v>
      </c>
      <c r="M475" t="s">
        <v>2252</v>
      </c>
      <c r="N475" t="s">
        <v>1514</v>
      </c>
      <c r="O475" t="s">
        <v>277</v>
      </c>
      <c r="P475" t="s">
        <v>1517</v>
      </c>
      <c r="Q475" t="s">
        <v>1514</v>
      </c>
      <c r="R475">
        <v>0</v>
      </c>
    </row>
    <row r="476" spans="1:18" x14ac:dyDescent="0.3">
      <c r="A476" t="s">
        <v>1433</v>
      </c>
      <c r="B476" t="s">
        <v>2253</v>
      </c>
      <c r="C476" t="s">
        <v>1434</v>
      </c>
      <c r="D476" t="s">
        <v>57</v>
      </c>
      <c r="E476" t="s">
        <v>58</v>
      </c>
      <c r="F476" t="s">
        <v>1435</v>
      </c>
      <c r="G476" t="s">
        <v>15</v>
      </c>
      <c r="H476" s="13">
        <v>44909</v>
      </c>
      <c r="I476" t="s">
        <v>39</v>
      </c>
      <c r="J476" t="s">
        <v>24</v>
      </c>
      <c r="K476" t="s">
        <v>1514</v>
      </c>
      <c r="L476" t="s">
        <v>1514</v>
      </c>
      <c r="M476" t="s">
        <v>2254</v>
      </c>
      <c r="N476" t="s">
        <v>1514</v>
      </c>
      <c r="O476" t="s">
        <v>58</v>
      </c>
      <c r="P476" t="s">
        <v>1517</v>
      </c>
      <c r="Q476" t="s">
        <v>1514</v>
      </c>
      <c r="R476">
        <v>0</v>
      </c>
    </row>
    <row r="477" spans="1:18" x14ac:dyDescent="0.3">
      <c r="A477" t="s">
        <v>1436</v>
      </c>
      <c r="B477" t="s">
        <v>2255</v>
      </c>
      <c r="C477" t="s">
        <v>1437</v>
      </c>
      <c r="D477" t="s">
        <v>62</v>
      </c>
      <c r="E477" t="s">
        <v>316</v>
      </c>
      <c r="F477" t="s">
        <v>1438</v>
      </c>
      <c r="G477" t="s">
        <v>22</v>
      </c>
      <c r="H477" s="13">
        <v>45677</v>
      </c>
      <c r="I477" t="s">
        <v>23</v>
      </c>
      <c r="J477" t="s">
        <v>17</v>
      </c>
      <c r="K477" t="s">
        <v>1514</v>
      </c>
      <c r="L477" t="s">
        <v>1514</v>
      </c>
      <c r="M477" t="s">
        <v>2256</v>
      </c>
      <c r="N477" t="s">
        <v>1514</v>
      </c>
      <c r="O477" t="s">
        <v>316</v>
      </c>
      <c r="P477" t="s">
        <v>1517</v>
      </c>
      <c r="Q477" t="s">
        <v>1514</v>
      </c>
      <c r="R477">
        <v>0</v>
      </c>
    </row>
    <row r="478" spans="1:18" x14ac:dyDescent="0.3">
      <c r="A478" t="s">
        <v>1439</v>
      </c>
      <c r="B478" t="s">
        <v>2257</v>
      </c>
      <c r="C478" t="s">
        <v>1440</v>
      </c>
      <c r="D478" t="s">
        <v>84</v>
      </c>
      <c r="E478" t="s">
        <v>119</v>
      </c>
      <c r="F478" t="s">
        <v>1441</v>
      </c>
      <c r="G478" t="s">
        <v>22</v>
      </c>
      <c r="H478" s="13">
        <v>45646</v>
      </c>
      <c r="I478" t="s">
        <v>23</v>
      </c>
      <c r="K478" t="s">
        <v>1514</v>
      </c>
      <c r="L478" t="s">
        <v>1514</v>
      </c>
      <c r="M478" t="s">
        <v>2258</v>
      </c>
      <c r="N478" t="s">
        <v>1514</v>
      </c>
      <c r="O478" t="s">
        <v>119</v>
      </c>
      <c r="P478" t="s">
        <v>1517</v>
      </c>
      <c r="Q478" t="s">
        <v>1514</v>
      </c>
      <c r="R478">
        <v>0</v>
      </c>
    </row>
    <row r="479" spans="1:18" x14ac:dyDescent="0.3">
      <c r="A479" t="s">
        <v>1442</v>
      </c>
      <c r="B479" t="s">
        <v>2259</v>
      </c>
      <c r="C479" t="s">
        <v>1443</v>
      </c>
      <c r="D479" t="s">
        <v>47</v>
      </c>
      <c r="E479" t="s">
        <v>112</v>
      </c>
      <c r="F479" t="s">
        <v>1444</v>
      </c>
      <c r="G479" t="s">
        <v>15</v>
      </c>
      <c r="H479" s="13">
        <v>45562</v>
      </c>
      <c r="I479" t="s">
        <v>54</v>
      </c>
      <c r="J479" t="s">
        <v>17</v>
      </c>
      <c r="K479" t="s">
        <v>1514</v>
      </c>
      <c r="L479" t="s">
        <v>1514</v>
      </c>
      <c r="M479" t="s">
        <v>2260</v>
      </c>
      <c r="N479" t="s">
        <v>1514</v>
      </c>
      <c r="O479" t="s">
        <v>112</v>
      </c>
      <c r="P479" t="s">
        <v>1517</v>
      </c>
      <c r="Q479" t="s">
        <v>1514</v>
      </c>
      <c r="R479">
        <v>0</v>
      </c>
    </row>
    <row r="480" spans="1:18" x14ac:dyDescent="0.3">
      <c r="A480" t="s">
        <v>501</v>
      </c>
      <c r="B480" t="s">
        <v>2261</v>
      </c>
      <c r="C480" t="s">
        <v>1445</v>
      </c>
      <c r="D480" t="s">
        <v>42</v>
      </c>
      <c r="E480" t="s">
        <v>503</v>
      </c>
      <c r="F480" t="s">
        <v>1446</v>
      </c>
      <c r="G480" t="s">
        <v>22</v>
      </c>
      <c r="H480" s="13">
        <v>45189</v>
      </c>
      <c r="I480" t="s">
        <v>16</v>
      </c>
      <c r="K480" t="s">
        <v>1514</v>
      </c>
      <c r="L480" t="s">
        <v>1514</v>
      </c>
      <c r="M480" t="s">
        <v>42</v>
      </c>
      <c r="N480" t="s">
        <v>1514</v>
      </c>
      <c r="O480" t="s">
        <v>503</v>
      </c>
      <c r="P480" t="s">
        <v>1517</v>
      </c>
      <c r="Q480" t="s">
        <v>1514</v>
      </c>
      <c r="R480">
        <v>0</v>
      </c>
    </row>
    <row r="481" spans="1:18" x14ac:dyDescent="0.3">
      <c r="A481" t="s">
        <v>1447</v>
      </c>
      <c r="B481" t="s">
        <v>2262</v>
      </c>
      <c r="C481" t="s">
        <v>1448</v>
      </c>
      <c r="D481" t="s">
        <v>27</v>
      </c>
      <c r="E481" t="s">
        <v>241</v>
      </c>
      <c r="F481" t="s">
        <v>1449</v>
      </c>
      <c r="G481" t="s">
        <v>15</v>
      </c>
      <c r="H481" s="13">
        <v>45097</v>
      </c>
      <c r="I481" t="s">
        <v>23</v>
      </c>
      <c r="J481" t="s">
        <v>95</v>
      </c>
      <c r="K481" t="s">
        <v>1514</v>
      </c>
      <c r="L481" t="s">
        <v>1514</v>
      </c>
      <c r="M481" t="s">
        <v>2263</v>
      </c>
      <c r="N481" t="s">
        <v>1514</v>
      </c>
      <c r="O481" t="s">
        <v>241</v>
      </c>
      <c r="P481" t="s">
        <v>1517</v>
      </c>
      <c r="Q481" t="s">
        <v>1514</v>
      </c>
      <c r="R481">
        <v>0</v>
      </c>
    </row>
    <row r="482" spans="1:18" x14ac:dyDescent="0.3">
      <c r="A482" t="s">
        <v>1450</v>
      </c>
      <c r="B482" t="s">
        <v>2264</v>
      </c>
      <c r="C482" t="s">
        <v>1451</v>
      </c>
      <c r="D482" t="s">
        <v>47</v>
      </c>
      <c r="E482" t="s">
        <v>112</v>
      </c>
      <c r="F482" t="s">
        <v>1452</v>
      </c>
      <c r="G482" t="s">
        <v>22</v>
      </c>
      <c r="H482" s="13">
        <v>45963</v>
      </c>
      <c r="I482" t="s">
        <v>23</v>
      </c>
      <c r="J482" t="s">
        <v>50</v>
      </c>
      <c r="K482" t="s">
        <v>1514</v>
      </c>
      <c r="L482" t="s">
        <v>1514</v>
      </c>
      <c r="M482" t="s">
        <v>2265</v>
      </c>
      <c r="N482" t="s">
        <v>1514</v>
      </c>
      <c r="O482" t="s">
        <v>112</v>
      </c>
      <c r="P482" t="s">
        <v>1517</v>
      </c>
      <c r="Q482" t="s">
        <v>1514</v>
      </c>
      <c r="R482">
        <v>0</v>
      </c>
    </row>
    <row r="483" spans="1:18" x14ac:dyDescent="0.3">
      <c r="A483" t="s">
        <v>1453</v>
      </c>
      <c r="B483" t="s">
        <v>2266</v>
      </c>
      <c r="C483" t="s">
        <v>1454</v>
      </c>
      <c r="D483" t="s">
        <v>12</v>
      </c>
      <c r="E483" t="s">
        <v>166</v>
      </c>
      <c r="F483" t="s">
        <v>1455</v>
      </c>
      <c r="G483" t="s">
        <v>22</v>
      </c>
      <c r="H483" s="13">
        <v>45623</v>
      </c>
      <c r="I483" t="s">
        <v>54</v>
      </c>
      <c r="K483" t="s">
        <v>1514</v>
      </c>
      <c r="L483" t="s">
        <v>1514</v>
      </c>
      <c r="M483" t="s">
        <v>1453</v>
      </c>
      <c r="N483" t="s">
        <v>1514</v>
      </c>
      <c r="O483" t="s">
        <v>166</v>
      </c>
      <c r="P483" t="s">
        <v>1517</v>
      </c>
      <c r="Q483" t="s">
        <v>1514</v>
      </c>
      <c r="R483">
        <v>0</v>
      </c>
    </row>
    <row r="484" spans="1:18" x14ac:dyDescent="0.3">
      <c r="A484" t="s">
        <v>1456</v>
      </c>
      <c r="B484" t="s">
        <v>2267</v>
      </c>
      <c r="C484" t="s">
        <v>1457</v>
      </c>
      <c r="D484" t="s">
        <v>47</v>
      </c>
      <c r="E484" t="s">
        <v>181</v>
      </c>
      <c r="F484" t="s">
        <v>1458</v>
      </c>
      <c r="G484" t="s">
        <v>15</v>
      </c>
      <c r="H484" s="13">
        <v>45246</v>
      </c>
      <c r="I484" t="s">
        <v>16</v>
      </c>
      <c r="J484" t="s">
        <v>17</v>
      </c>
      <c r="K484" t="s">
        <v>1514</v>
      </c>
      <c r="L484" t="s">
        <v>1514</v>
      </c>
      <c r="M484" t="s">
        <v>2268</v>
      </c>
      <c r="N484" t="s">
        <v>1514</v>
      </c>
      <c r="O484" t="s">
        <v>181</v>
      </c>
      <c r="P484" t="s">
        <v>1517</v>
      </c>
      <c r="Q484" t="s">
        <v>1514</v>
      </c>
      <c r="R484">
        <v>0</v>
      </c>
    </row>
    <row r="485" spans="1:18" x14ac:dyDescent="0.3">
      <c r="A485" t="s">
        <v>1459</v>
      </c>
      <c r="B485" t="s">
        <v>2269</v>
      </c>
      <c r="C485" t="s">
        <v>1460</v>
      </c>
      <c r="D485" t="s">
        <v>27</v>
      </c>
      <c r="E485" t="s">
        <v>98</v>
      </c>
      <c r="F485" t="s">
        <v>1461</v>
      </c>
      <c r="G485" t="s">
        <v>15</v>
      </c>
      <c r="H485" s="13">
        <v>45179</v>
      </c>
      <c r="I485" t="s">
        <v>33</v>
      </c>
      <c r="J485" t="s">
        <v>50</v>
      </c>
      <c r="K485" t="s">
        <v>1514</v>
      </c>
      <c r="L485" t="s">
        <v>1514</v>
      </c>
      <c r="M485" t="s">
        <v>1459</v>
      </c>
      <c r="N485" t="s">
        <v>1514</v>
      </c>
      <c r="O485" t="s">
        <v>98</v>
      </c>
      <c r="P485" t="s">
        <v>1517</v>
      </c>
      <c r="Q485" t="s">
        <v>1514</v>
      </c>
      <c r="R485">
        <v>0</v>
      </c>
    </row>
    <row r="486" spans="1:18" x14ac:dyDescent="0.3">
      <c r="A486" t="s">
        <v>1462</v>
      </c>
      <c r="B486" t="s">
        <v>2270</v>
      </c>
      <c r="C486" t="s">
        <v>1463</v>
      </c>
      <c r="D486" t="s">
        <v>27</v>
      </c>
      <c r="E486" t="s">
        <v>28</v>
      </c>
      <c r="F486" t="s">
        <v>1464</v>
      </c>
      <c r="G486" t="s">
        <v>22</v>
      </c>
      <c r="H486" s="13">
        <v>45250</v>
      </c>
      <c r="I486" t="s">
        <v>33</v>
      </c>
      <c r="J486" t="s">
        <v>78</v>
      </c>
      <c r="K486" t="s">
        <v>1514</v>
      </c>
      <c r="L486" t="s">
        <v>1514</v>
      </c>
      <c r="M486" t="s">
        <v>2271</v>
      </c>
      <c r="N486" t="s">
        <v>1514</v>
      </c>
      <c r="O486" t="s">
        <v>28</v>
      </c>
      <c r="P486" t="s">
        <v>1517</v>
      </c>
      <c r="Q486" t="s">
        <v>1514</v>
      </c>
      <c r="R486">
        <v>0</v>
      </c>
    </row>
    <row r="487" spans="1:18" x14ac:dyDescent="0.3">
      <c r="A487" t="s">
        <v>1465</v>
      </c>
      <c r="B487" t="s">
        <v>2272</v>
      </c>
      <c r="C487" t="s">
        <v>1466</v>
      </c>
      <c r="D487" t="s">
        <v>62</v>
      </c>
      <c r="E487" t="s">
        <v>154</v>
      </c>
      <c r="F487" t="s">
        <v>1467</v>
      </c>
      <c r="G487" t="s">
        <v>15</v>
      </c>
      <c r="H487" s="13">
        <v>45546</v>
      </c>
      <c r="I487" t="s">
        <v>54</v>
      </c>
      <c r="J487" t="s">
        <v>95</v>
      </c>
      <c r="K487" t="s">
        <v>1514</v>
      </c>
      <c r="L487" t="s">
        <v>1514</v>
      </c>
      <c r="M487" t="s">
        <v>1465</v>
      </c>
      <c r="N487" t="s">
        <v>1514</v>
      </c>
      <c r="O487" t="s">
        <v>154</v>
      </c>
      <c r="P487" t="s">
        <v>1517</v>
      </c>
      <c r="Q487" t="s">
        <v>1514</v>
      </c>
      <c r="R487">
        <v>0</v>
      </c>
    </row>
    <row r="488" spans="1:18" x14ac:dyDescent="0.3">
      <c r="A488" t="s">
        <v>69</v>
      </c>
      <c r="B488" t="s">
        <v>2273</v>
      </c>
      <c r="C488" t="s">
        <v>1468</v>
      </c>
      <c r="D488" t="s">
        <v>71</v>
      </c>
      <c r="E488" t="s">
        <v>72</v>
      </c>
      <c r="F488" t="s">
        <v>1469</v>
      </c>
      <c r="G488" t="s">
        <v>15</v>
      </c>
      <c r="H488" s="13">
        <v>45210</v>
      </c>
      <c r="I488" t="s">
        <v>16</v>
      </c>
      <c r="K488" t="s">
        <v>1514</v>
      </c>
      <c r="L488" t="s">
        <v>1514</v>
      </c>
      <c r="M488" t="s">
        <v>1515</v>
      </c>
      <c r="N488" t="s">
        <v>1516</v>
      </c>
      <c r="O488" t="s">
        <v>72</v>
      </c>
      <c r="P488" t="s">
        <v>1517</v>
      </c>
      <c r="Q488" t="s">
        <v>1518</v>
      </c>
      <c r="R488">
        <v>1</v>
      </c>
    </row>
    <row r="489" spans="1:18" x14ac:dyDescent="0.3">
      <c r="A489" t="s">
        <v>272</v>
      </c>
      <c r="B489" t="s">
        <v>2274</v>
      </c>
      <c r="C489" t="s">
        <v>1470</v>
      </c>
      <c r="D489" t="s">
        <v>173</v>
      </c>
      <c r="E489" t="s">
        <v>270</v>
      </c>
      <c r="F489" t="s">
        <v>1471</v>
      </c>
      <c r="G489" t="s">
        <v>15</v>
      </c>
      <c r="H489" s="13">
        <v>45943</v>
      </c>
      <c r="I489" t="s">
        <v>33</v>
      </c>
      <c r="J489" t="s">
        <v>24</v>
      </c>
      <c r="K489" t="s">
        <v>1514</v>
      </c>
      <c r="L489" t="s">
        <v>1514</v>
      </c>
      <c r="M489" t="s">
        <v>1515</v>
      </c>
      <c r="N489" t="s">
        <v>1516</v>
      </c>
      <c r="O489" t="s">
        <v>270</v>
      </c>
      <c r="P489" t="s">
        <v>1517</v>
      </c>
      <c r="Q489" t="s">
        <v>1518</v>
      </c>
      <c r="R489">
        <v>1</v>
      </c>
    </row>
    <row r="490" spans="1:18" x14ac:dyDescent="0.3">
      <c r="A490" t="s">
        <v>1472</v>
      </c>
      <c r="B490" t="s">
        <v>2275</v>
      </c>
      <c r="C490" t="s">
        <v>1473</v>
      </c>
      <c r="D490" t="s">
        <v>57</v>
      </c>
      <c r="E490" t="s">
        <v>252</v>
      </c>
      <c r="F490" t="s">
        <v>1474</v>
      </c>
      <c r="G490" t="s">
        <v>22</v>
      </c>
      <c r="H490" s="13">
        <v>45177</v>
      </c>
      <c r="I490" t="s">
        <v>54</v>
      </c>
      <c r="J490" t="s">
        <v>78</v>
      </c>
      <c r="K490" t="s">
        <v>1514</v>
      </c>
      <c r="L490" t="s">
        <v>1514</v>
      </c>
      <c r="M490" t="s">
        <v>2276</v>
      </c>
      <c r="N490" t="s">
        <v>1514</v>
      </c>
      <c r="O490" t="s">
        <v>252</v>
      </c>
      <c r="P490" t="s">
        <v>1517</v>
      </c>
      <c r="Q490" t="s">
        <v>1514</v>
      </c>
      <c r="R490">
        <v>0</v>
      </c>
    </row>
    <row r="491" spans="1:18" x14ac:dyDescent="0.3">
      <c r="A491" t="s">
        <v>1475</v>
      </c>
      <c r="B491" t="s">
        <v>2277</v>
      </c>
      <c r="C491" t="s">
        <v>1476</v>
      </c>
      <c r="D491" t="s">
        <v>84</v>
      </c>
      <c r="E491" t="s">
        <v>119</v>
      </c>
      <c r="F491" t="s">
        <v>1477</v>
      </c>
      <c r="G491" t="s">
        <v>15</v>
      </c>
      <c r="H491" s="13">
        <v>44895</v>
      </c>
      <c r="I491" t="s">
        <v>16</v>
      </c>
      <c r="K491" t="s">
        <v>1514</v>
      </c>
      <c r="L491" t="s">
        <v>1514</v>
      </c>
      <c r="M491" t="s">
        <v>2278</v>
      </c>
      <c r="N491" t="s">
        <v>1514</v>
      </c>
      <c r="O491" t="s">
        <v>119</v>
      </c>
      <c r="P491" t="s">
        <v>1517</v>
      </c>
      <c r="Q491" t="s">
        <v>1514</v>
      </c>
      <c r="R491">
        <v>0</v>
      </c>
    </row>
    <row r="492" spans="1:18" x14ac:dyDescent="0.3">
      <c r="A492" t="s">
        <v>1478</v>
      </c>
      <c r="B492" t="s">
        <v>2279</v>
      </c>
      <c r="C492" t="s">
        <v>1479</v>
      </c>
      <c r="D492" t="s">
        <v>42</v>
      </c>
      <c r="E492" t="s">
        <v>108</v>
      </c>
      <c r="F492" t="s">
        <v>1480</v>
      </c>
      <c r="G492" t="s">
        <v>22</v>
      </c>
      <c r="H492" s="13">
        <v>45954</v>
      </c>
      <c r="I492" t="s">
        <v>16</v>
      </c>
      <c r="K492" t="s">
        <v>1514</v>
      </c>
      <c r="L492" t="s">
        <v>1514</v>
      </c>
      <c r="M492" t="s">
        <v>2280</v>
      </c>
      <c r="N492" t="s">
        <v>1514</v>
      </c>
      <c r="O492" t="s">
        <v>108</v>
      </c>
      <c r="P492" t="s">
        <v>1517</v>
      </c>
      <c r="Q492" t="s">
        <v>1514</v>
      </c>
      <c r="R492">
        <v>0</v>
      </c>
    </row>
    <row r="493" spans="1:18" x14ac:dyDescent="0.3">
      <c r="A493" t="s">
        <v>1481</v>
      </c>
      <c r="B493" t="s">
        <v>2281</v>
      </c>
      <c r="C493" t="s">
        <v>1482</v>
      </c>
      <c r="D493" t="s">
        <v>47</v>
      </c>
      <c r="E493" t="s">
        <v>112</v>
      </c>
      <c r="F493" t="s">
        <v>1483</v>
      </c>
      <c r="G493" t="s">
        <v>22</v>
      </c>
      <c r="H493" s="13">
        <v>45087</v>
      </c>
      <c r="I493" t="s">
        <v>23</v>
      </c>
      <c r="J493" t="s">
        <v>50</v>
      </c>
      <c r="K493" t="s">
        <v>1514</v>
      </c>
      <c r="L493" t="s">
        <v>1514</v>
      </c>
      <c r="M493" t="s">
        <v>2282</v>
      </c>
      <c r="N493" t="s">
        <v>1514</v>
      </c>
      <c r="O493" t="s">
        <v>112</v>
      </c>
      <c r="P493" t="s">
        <v>1517</v>
      </c>
      <c r="Q493" t="s">
        <v>1514</v>
      </c>
      <c r="R493">
        <v>0</v>
      </c>
    </row>
    <row r="494" spans="1:18" x14ac:dyDescent="0.3">
      <c r="A494" t="s">
        <v>1484</v>
      </c>
      <c r="B494" t="s">
        <v>2283</v>
      </c>
      <c r="C494" t="s">
        <v>1485</v>
      </c>
      <c r="D494" t="s">
        <v>173</v>
      </c>
      <c r="E494" t="s">
        <v>174</v>
      </c>
      <c r="F494" t="s">
        <v>1486</v>
      </c>
      <c r="G494" t="s">
        <v>22</v>
      </c>
      <c r="H494" s="13">
        <v>45587</v>
      </c>
      <c r="I494" t="s">
        <v>16</v>
      </c>
      <c r="J494" t="s">
        <v>24</v>
      </c>
      <c r="K494" t="s">
        <v>1514</v>
      </c>
      <c r="L494" t="s">
        <v>1514</v>
      </c>
      <c r="M494" t="s">
        <v>2284</v>
      </c>
      <c r="N494" t="s">
        <v>1514</v>
      </c>
      <c r="O494" t="s">
        <v>174</v>
      </c>
      <c r="P494" t="s">
        <v>1517</v>
      </c>
      <c r="Q494" t="s">
        <v>1514</v>
      </c>
      <c r="R494">
        <v>0</v>
      </c>
    </row>
    <row r="495" spans="1:18" x14ac:dyDescent="0.3">
      <c r="A495" t="s">
        <v>602</v>
      </c>
      <c r="B495" t="s">
        <v>2285</v>
      </c>
      <c r="C495" t="s">
        <v>1487</v>
      </c>
      <c r="D495" t="s">
        <v>47</v>
      </c>
      <c r="E495" t="s">
        <v>181</v>
      </c>
      <c r="F495" t="s">
        <v>1488</v>
      </c>
      <c r="G495" t="s">
        <v>22</v>
      </c>
      <c r="H495" s="13">
        <v>45044</v>
      </c>
      <c r="I495" t="s">
        <v>16</v>
      </c>
      <c r="J495" t="s">
        <v>24</v>
      </c>
      <c r="K495" t="s">
        <v>1514</v>
      </c>
      <c r="L495" t="s">
        <v>1514</v>
      </c>
      <c r="M495" t="s">
        <v>1515</v>
      </c>
      <c r="N495" t="s">
        <v>1516</v>
      </c>
      <c r="O495" t="s">
        <v>181</v>
      </c>
      <c r="P495" t="s">
        <v>1517</v>
      </c>
      <c r="Q495" t="s">
        <v>1518</v>
      </c>
      <c r="R495">
        <v>1</v>
      </c>
    </row>
    <row r="496" spans="1:18" x14ac:dyDescent="0.3">
      <c r="A496" t="s">
        <v>760</v>
      </c>
      <c r="B496" t="s">
        <v>2286</v>
      </c>
      <c r="C496" t="s">
        <v>1489</v>
      </c>
      <c r="D496" t="s">
        <v>47</v>
      </c>
      <c r="E496" t="s">
        <v>112</v>
      </c>
      <c r="F496" t="s">
        <v>1490</v>
      </c>
      <c r="G496" t="s">
        <v>15</v>
      </c>
      <c r="H496" s="13">
        <v>45124</v>
      </c>
      <c r="I496" t="s">
        <v>16</v>
      </c>
      <c r="K496" t="s">
        <v>1514</v>
      </c>
      <c r="L496" t="s">
        <v>1514</v>
      </c>
      <c r="M496" t="s">
        <v>1515</v>
      </c>
      <c r="N496" t="s">
        <v>1516</v>
      </c>
      <c r="O496" t="s">
        <v>112</v>
      </c>
      <c r="P496" t="s">
        <v>1517</v>
      </c>
      <c r="Q496" t="s">
        <v>1518</v>
      </c>
      <c r="R496">
        <v>1</v>
      </c>
    </row>
    <row r="497" spans="1:18" x14ac:dyDescent="0.3">
      <c r="A497" t="s">
        <v>1491</v>
      </c>
      <c r="B497" t="s">
        <v>2287</v>
      </c>
      <c r="C497" t="s">
        <v>1492</v>
      </c>
      <c r="D497" t="s">
        <v>84</v>
      </c>
      <c r="E497" t="s">
        <v>119</v>
      </c>
      <c r="F497" t="s">
        <v>1493</v>
      </c>
      <c r="G497" t="s">
        <v>15</v>
      </c>
      <c r="H497" s="13">
        <v>45811</v>
      </c>
      <c r="I497" t="s">
        <v>16</v>
      </c>
      <c r="J497" t="s">
        <v>78</v>
      </c>
      <c r="K497" t="s">
        <v>1514</v>
      </c>
      <c r="L497" t="s">
        <v>1514</v>
      </c>
      <c r="M497" t="s">
        <v>84</v>
      </c>
      <c r="N497" t="s">
        <v>1514</v>
      </c>
      <c r="O497" t="s">
        <v>119</v>
      </c>
      <c r="P497" t="s">
        <v>1517</v>
      </c>
      <c r="Q497" t="s">
        <v>1514</v>
      </c>
      <c r="R497">
        <v>0</v>
      </c>
    </row>
    <row r="498" spans="1:18" x14ac:dyDescent="0.3">
      <c r="A498" t="s">
        <v>1494</v>
      </c>
      <c r="B498" t="s">
        <v>2288</v>
      </c>
      <c r="C498" t="s">
        <v>1495</v>
      </c>
      <c r="D498" t="s">
        <v>71</v>
      </c>
      <c r="E498" t="s">
        <v>374</v>
      </c>
      <c r="F498" t="s">
        <v>1496</v>
      </c>
      <c r="G498" t="s">
        <v>22</v>
      </c>
      <c r="H498" s="13">
        <v>45422</v>
      </c>
      <c r="I498" t="s">
        <v>54</v>
      </c>
      <c r="K498" t="s">
        <v>1514</v>
      </c>
      <c r="L498" t="s">
        <v>1514</v>
      </c>
      <c r="M498" t="s">
        <v>2289</v>
      </c>
      <c r="N498" t="s">
        <v>1514</v>
      </c>
      <c r="O498" t="s">
        <v>374</v>
      </c>
      <c r="P498" t="s">
        <v>1517</v>
      </c>
      <c r="Q498" t="s">
        <v>1514</v>
      </c>
      <c r="R498">
        <v>0</v>
      </c>
    </row>
    <row r="499" spans="1:18" x14ac:dyDescent="0.3">
      <c r="A499" t="s">
        <v>146</v>
      </c>
      <c r="B499" t="s">
        <v>2290</v>
      </c>
      <c r="C499" t="s">
        <v>1497</v>
      </c>
      <c r="D499" t="s">
        <v>27</v>
      </c>
      <c r="E499" t="s">
        <v>98</v>
      </c>
      <c r="F499" t="s">
        <v>1498</v>
      </c>
      <c r="G499" t="s">
        <v>15</v>
      </c>
      <c r="H499" s="13">
        <v>45220</v>
      </c>
      <c r="I499" t="s">
        <v>54</v>
      </c>
      <c r="J499" t="s">
        <v>95</v>
      </c>
      <c r="K499" t="s">
        <v>1514</v>
      </c>
      <c r="L499" t="s">
        <v>1514</v>
      </c>
      <c r="M499" t="s">
        <v>27</v>
      </c>
      <c r="N499" t="s">
        <v>1514</v>
      </c>
      <c r="O499" t="s">
        <v>98</v>
      </c>
      <c r="P499" t="s">
        <v>1517</v>
      </c>
      <c r="Q499" t="s">
        <v>1514</v>
      </c>
      <c r="R499">
        <v>0</v>
      </c>
    </row>
    <row r="500" spans="1:18" x14ac:dyDescent="0.3">
      <c r="A500" t="s">
        <v>1499</v>
      </c>
      <c r="B500" t="s">
        <v>2291</v>
      </c>
      <c r="C500" t="s">
        <v>1500</v>
      </c>
      <c r="D500" t="s">
        <v>42</v>
      </c>
      <c r="E500" t="s">
        <v>43</v>
      </c>
      <c r="F500" t="s">
        <v>1501</v>
      </c>
      <c r="G500" t="s">
        <v>15</v>
      </c>
      <c r="H500" s="13">
        <v>45839</v>
      </c>
      <c r="I500" t="s">
        <v>33</v>
      </c>
      <c r="J500" t="s">
        <v>78</v>
      </c>
      <c r="K500" t="s">
        <v>1514</v>
      </c>
      <c r="L500" t="s">
        <v>1514</v>
      </c>
      <c r="M500" t="s">
        <v>2292</v>
      </c>
      <c r="N500" t="s">
        <v>1514</v>
      </c>
      <c r="O500" t="s">
        <v>43</v>
      </c>
      <c r="P500" t="s">
        <v>1517</v>
      </c>
      <c r="Q500" t="s">
        <v>1514</v>
      </c>
      <c r="R500">
        <v>0</v>
      </c>
    </row>
    <row r="501" spans="1:18" x14ac:dyDescent="0.3">
      <c r="A501" t="s">
        <v>1502</v>
      </c>
      <c r="B501" t="s">
        <v>2293</v>
      </c>
      <c r="C501" t="s">
        <v>1503</v>
      </c>
      <c r="D501" t="s">
        <v>36</v>
      </c>
      <c r="E501" t="s">
        <v>37</v>
      </c>
      <c r="F501" t="s">
        <v>1504</v>
      </c>
      <c r="G501" t="s">
        <v>22</v>
      </c>
      <c r="H501" s="13">
        <v>45625</v>
      </c>
      <c r="I501" t="s">
        <v>23</v>
      </c>
      <c r="K501" t="s">
        <v>1514</v>
      </c>
      <c r="L501" t="s">
        <v>1514</v>
      </c>
      <c r="M501" t="s">
        <v>2294</v>
      </c>
      <c r="N501" t="s">
        <v>1514</v>
      </c>
      <c r="O501" t="s">
        <v>37</v>
      </c>
      <c r="P501" t="s">
        <v>1517</v>
      </c>
      <c r="Q501" t="s">
        <v>1514</v>
      </c>
      <c r="R5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6E13-E2E5-4DF3-9C99-9F500FEC9F54}">
  <dimension ref="A1:U501"/>
  <sheetViews>
    <sheetView topLeftCell="C1" zoomScale="70" zoomScaleNormal="70" workbookViewId="0">
      <selection activeCell="X11" sqref="X11"/>
    </sheetView>
  </sheetViews>
  <sheetFormatPr defaultRowHeight="14.4" x14ac:dyDescent="0.3"/>
  <cols>
    <col min="1" max="1" width="12.109375" bestFit="1" customWidth="1"/>
    <col min="2" max="2" width="36.5546875" bestFit="1" customWidth="1"/>
    <col min="3" max="3" width="9.6640625" bestFit="1" customWidth="1"/>
    <col min="4" max="4" width="12" bestFit="1" customWidth="1"/>
    <col min="5" max="5" width="15.44140625" bestFit="1" customWidth="1"/>
    <col min="6" max="6" width="33.21875" bestFit="1" customWidth="1"/>
    <col min="7" max="7" width="12.77734375" bestFit="1" customWidth="1"/>
    <col min="8" max="8" width="15.21875" bestFit="1" customWidth="1"/>
    <col min="9" max="9" width="8.5546875" bestFit="1" customWidth="1"/>
    <col min="10" max="10" width="14.33203125" bestFit="1" customWidth="1"/>
    <col min="11" max="11" width="14.5546875" bestFit="1" customWidth="1"/>
    <col min="12" max="12" width="16.109375" bestFit="1" customWidth="1"/>
    <col min="13" max="13" width="11.5546875" bestFit="1" customWidth="1"/>
    <col min="14" max="14" width="12.44140625" bestFit="1" customWidth="1"/>
    <col min="15" max="15" width="10.21875" bestFit="1" customWidth="1"/>
    <col min="16" max="16" width="12.109375" bestFit="1" customWidth="1"/>
    <col min="17" max="17" width="12" bestFit="1" customWidth="1"/>
    <col min="18" max="18" width="15.33203125" bestFit="1" customWidth="1"/>
    <col min="19" max="19" width="9.33203125" bestFit="1" customWidth="1"/>
    <col min="20" max="20" width="16.109375" bestFit="1" customWidth="1"/>
    <col min="21" max="21" width="12.44140625" bestFit="1" customWidth="1"/>
  </cols>
  <sheetData>
    <row r="1" spans="1:21" x14ac:dyDescent="0.3">
      <c r="A1" s="17" t="s">
        <v>5</v>
      </c>
      <c r="B1" s="18" t="s">
        <v>0</v>
      </c>
      <c r="C1" s="18" t="s">
        <v>3</v>
      </c>
      <c r="D1" s="18" t="s">
        <v>4</v>
      </c>
      <c r="E1" s="18" t="s">
        <v>1509</v>
      </c>
      <c r="F1" s="18" t="s">
        <v>1507</v>
      </c>
      <c r="G1" s="18" t="s">
        <v>1</v>
      </c>
      <c r="H1" s="18" t="s">
        <v>2</v>
      </c>
      <c r="I1" s="18" t="s">
        <v>6</v>
      </c>
      <c r="J1" s="18" t="s">
        <v>7</v>
      </c>
      <c r="K1" s="18" t="s">
        <v>1508</v>
      </c>
      <c r="L1" s="18" t="s">
        <v>1505</v>
      </c>
      <c r="M1" s="18" t="s">
        <v>1506</v>
      </c>
      <c r="N1" s="18" t="s">
        <v>1510</v>
      </c>
      <c r="O1" s="18" t="s">
        <v>1511</v>
      </c>
      <c r="P1" s="18" t="s">
        <v>1512</v>
      </c>
      <c r="Q1" s="18" t="s">
        <v>2298</v>
      </c>
      <c r="R1" s="19" t="s">
        <v>8</v>
      </c>
      <c r="S1" s="19" t="s">
        <v>2336</v>
      </c>
      <c r="T1" s="18" t="s">
        <v>2337</v>
      </c>
      <c r="U1" s="18" t="s">
        <v>2338</v>
      </c>
    </row>
    <row r="2" spans="1:21" x14ac:dyDescent="0.3">
      <c r="A2" s="1" t="str">
        <f>CleanedData!F2</f>
        <v>PROP00001</v>
      </c>
      <c r="B2" s="2" t="str">
        <f>CleanedData!A2</f>
        <v>FranceToulouse</v>
      </c>
      <c r="C2" s="2" t="str">
        <f>CleanedData!D2</f>
        <v>France</v>
      </c>
      <c r="D2" s="2" t="str">
        <f>CleanedData!E2</f>
        <v>Toulouse</v>
      </c>
      <c r="E2" s="2" t="str">
        <f>CleanedData!O2</f>
        <v>Toulouse</v>
      </c>
      <c r="F2" s="2" t="str">
        <f>CleanedData!M2</f>
        <v/>
      </c>
      <c r="G2" s="2" t="str">
        <f>CleanedData!B2</f>
        <v>32599</v>
      </c>
      <c r="H2" s="2" t="str">
        <f>CleanedData!C2</f>
        <v>+17-315833500</v>
      </c>
      <c r="I2" s="2" t="str">
        <f>CleanedData!G2</f>
        <v>Active</v>
      </c>
      <c r="J2" s="14">
        <f>CleanedData!H2</f>
        <v>45482</v>
      </c>
      <c r="K2" s="2" t="str">
        <f>IF(TRIM(F2)="","MISSING","OK")</f>
        <v>MISSING</v>
      </c>
      <c r="L2" s="2" t="str">
        <f>IF(LEN(TRIM(G2))&lt;3,"INVALID","OK")</f>
        <v>OK</v>
      </c>
      <c r="M2" s="2" t="str">
        <f>IF(LEN(SUBSTITUTE(SUBSTITUTE(H2," ",""),"-",""))&gt;=7,"OK","INVALID")</f>
        <v>OK</v>
      </c>
      <c r="N2" s="2" t="str">
        <f>IF(E2="","NO_EXTRACT",
 IF(LOWER(TRIM(E2))=LOWER(TRIM(D2)),"MATCH","CHECK"))</f>
        <v>MATCH</v>
      </c>
      <c r="O2" s="2" t="str">
        <f>IF(OR(K2="MISSING",L2="INVALID",M2="INVALID"),"ERROR","OK")</f>
        <v>ERROR</v>
      </c>
      <c r="P2" s="2">
        <f>(K2="MISSING")*1 + (L2="INVALID")*1 + (M2="INVALID")*1</f>
        <v>1</v>
      </c>
      <c r="Q2" s="2" t="str">
        <f>YEAR(J2) &amp; "-" &amp; TEXT(MONTH(J2),"00")</f>
        <v>2024-07</v>
      </c>
      <c r="R2" s="3" t="s">
        <v>16</v>
      </c>
      <c r="S2" s="18">
        <f>IF(tblChecks[[#This Row],[AnyError]]="ERROR",1,0)</f>
        <v>1</v>
      </c>
      <c r="T2" s="18">
        <f>IF(tblChecks[[#This Row],[MissingStreet]]="MISSING",1,0)</f>
        <v>1</v>
      </c>
      <c r="U2" t="str">
        <f t="shared" ref="U2:U65" si="0">IF(K2="MISSING","MissingStreet",
IF(L2="INVALID","PostalCode_INVALID",
IF(M2="INVALID","Phone_INVALID","OK")))</f>
        <v>MissingStreet</v>
      </c>
    </row>
    <row r="3" spans="1:21" x14ac:dyDescent="0.3">
      <c r="A3" s="1" t="str">
        <f>CleanedData!F3</f>
        <v>PROP00002</v>
      </c>
      <c r="B3" s="2" t="str">
        <f>CleanedData!A3</f>
        <v>Lyon, Donald Cove 35, France</v>
      </c>
      <c r="C3" s="2" t="str">
        <f>CleanedData!D3</f>
        <v>France</v>
      </c>
      <c r="D3" s="2" t="str">
        <f>CleanedData!E3</f>
        <v>Lyon</v>
      </c>
      <c r="E3" s="2" t="str">
        <f>CleanedData!O3</f>
        <v>Lyon</v>
      </c>
      <c r="F3" s="2" t="str">
        <f>CleanedData!M3</f>
        <v>Donald Cove 35</v>
      </c>
      <c r="G3" s="2" t="str">
        <f>CleanedData!B3</f>
        <v>89197</v>
      </c>
      <c r="H3" s="2" t="str">
        <f>CleanedData!C3</f>
        <v>+80-319837636</v>
      </c>
      <c r="I3" s="2" t="str">
        <f>CleanedData!G3</f>
        <v>Inactive</v>
      </c>
      <c r="J3" s="14">
        <f>CleanedData!H3</f>
        <v>45242</v>
      </c>
      <c r="K3" s="2" t="str">
        <f t="shared" ref="K3:K66" si="1">IF(TRIM(F3)="","MISSING","OK")</f>
        <v>OK</v>
      </c>
      <c r="L3" s="2" t="str">
        <f t="shared" ref="L3:L66" si="2">IF(LEN(TRIM(G3))&lt;3,"INVALID","OK")</f>
        <v>OK</v>
      </c>
      <c r="M3" s="2" t="str">
        <f t="shared" ref="M3:M66" si="3">IF(LEN(SUBSTITUTE(SUBSTITUTE(H3," ",""),"-",""))&gt;=7,"OK","INVALID")</f>
        <v>OK</v>
      </c>
      <c r="N3" s="2" t="str">
        <f t="shared" ref="N3:N66" si="4">IF(E3="","NO_EXTRACT",
 IF(LOWER(TRIM(E3))=LOWER(TRIM(D3)),"MATCH","CHECK"))</f>
        <v>MATCH</v>
      </c>
      <c r="O3" s="2" t="str">
        <f t="shared" ref="O3:O66" si="5">IF(OR(K3="MISSING",L3="INVALID",M3="INVALID"),"ERROR","OK")</f>
        <v>OK</v>
      </c>
      <c r="P3" s="2">
        <f t="shared" ref="P3:P66" si="6">(K3="MISSING")*1 + (L3="INVALID")*1 + (M3="INVALID")*1</f>
        <v>0</v>
      </c>
      <c r="Q3" s="2" t="str">
        <f t="shared" ref="Q3:Q66" si="7">YEAR(J3) &amp; "-" &amp; TEXT(MONTH(J3),"00")</f>
        <v>2023-11</v>
      </c>
      <c r="R3" s="3" t="s">
        <v>23</v>
      </c>
      <c r="S3" s="2">
        <f>IF(tblChecks[[#This Row],[AnyError]]="ERROR",1,0)</f>
        <v>0</v>
      </c>
      <c r="T3" s="2">
        <f>IF(tblChecks[[#This Row],[MissingStreet]]="MISSING",1,0)</f>
        <v>0</v>
      </c>
      <c r="U3" t="str">
        <f t="shared" si="0"/>
        <v>OK</v>
      </c>
    </row>
    <row r="4" spans="1:21" x14ac:dyDescent="0.3">
      <c r="A4" s="1" t="str">
        <f>CleanedData!F4</f>
        <v>PROP00003</v>
      </c>
      <c r="B4" s="2" t="str">
        <f>CleanedData!A4</f>
        <v>UKLeeds, UK</v>
      </c>
      <c r="C4" s="2" t="str">
        <f>CleanedData!D4</f>
        <v>UK</v>
      </c>
      <c r="D4" s="2" t="str">
        <f>CleanedData!E4</f>
        <v>Leeds</v>
      </c>
      <c r="E4" s="2" t="str">
        <f>CleanedData!O4</f>
        <v>Leeds</v>
      </c>
      <c r="F4" s="2" t="str">
        <f>CleanedData!M4</f>
        <v>UK</v>
      </c>
      <c r="G4" s="2" t="str">
        <f>CleanedData!B4</f>
        <v>4406</v>
      </c>
      <c r="H4" s="2" t="str">
        <f>CleanedData!C4</f>
        <v>+9-597990383</v>
      </c>
      <c r="I4" s="2" t="str">
        <f>CleanedData!G4</f>
        <v>Inactive</v>
      </c>
      <c r="J4" s="14">
        <f>CleanedData!H4</f>
        <v>45259</v>
      </c>
      <c r="K4" s="2" t="str">
        <f t="shared" si="1"/>
        <v>OK</v>
      </c>
      <c r="L4" s="2" t="str">
        <f t="shared" si="2"/>
        <v>OK</v>
      </c>
      <c r="M4" s="2" t="str">
        <f t="shared" si="3"/>
        <v>OK</v>
      </c>
      <c r="N4" s="2" t="str">
        <f t="shared" si="4"/>
        <v>MATCH</v>
      </c>
      <c r="O4" s="2" t="str">
        <f t="shared" si="5"/>
        <v>OK</v>
      </c>
      <c r="P4" s="2">
        <f t="shared" si="6"/>
        <v>0</v>
      </c>
      <c r="Q4" s="2" t="str">
        <f t="shared" si="7"/>
        <v>2023-11</v>
      </c>
      <c r="R4" s="3" t="s">
        <v>23</v>
      </c>
      <c r="S4" s="2">
        <f>IF(tblChecks[[#This Row],[AnyError]]="ERROR",1,0)</f>
        <v>0</v>
      </c>
      <c r="T4" s="2">
        <f>IF(tblChecks[[#This Row],[MissingStreet]]="MISSING",1,0)</f>
        <v>0</v>
      </c>
      <c r="U4" t="str">
        <f t="shared" si="0"/>
        <v>OK</v>
      </c>
    </row>
    <row r="5" spans="1:21" x14ac:dyDescent="0.3">
      <c r="A5" s="1" t="str">
        <f>CleanedData!F5</f>
        <v>PROP00004</v>
      </c>
      <c r="B5" s="2" t="str">
        <f>CleanedData!A5</f>
        <v>ToulouseJeffery Parkways231, France</v>
      </c>
      <c r="C5" s="2" t="str">
        <f>CleanedData!D5</f>
        <v>France</v>
      </c>
      <c r="D5" s="2" t="str">
        <f>CleanedData!E5</f>
        <v>Toulouse</v>
      </c>
      <c r="E5" s="2" t="str">
        <f>CleanedData!O5</f>
        <v>Toulouse</v>
      </c>
      <c r="F5" s="2" t="str">
        <f>CleanedData!M5</f>
        <v>ToulouseJeffery Parkways231</v>
      </c>
      <c r="G5" s="2" t="str">
        <f>CleanedData!B5</f>
        <v>79408</v>
      </c>
      <c r="H5" s="2" t="str">
        <f>CleanedData!C5</f>
        <v>+41-562032557</v>
      </c>
      <c r="I5" s="2" t="str">
        <f>CleanedData!G5</f>
        <v>Inactive</v>
      </c>
      <c r="J5" s="14">
        <f>CleanedData!H5</f>
        <v>45406</v>
      </c>
      <c r="K5" s="2" t="str">
        <f t="shared" si="1"/>
        <v>OK</v>
      </c>
      <c r="L5" s="2" t="str">
        <f t="shared" si="2"/>
        <v>OK</v>
      </c>
      <c r="M5" s="2" t="str">
        <f t="shared" si="3"/>
        <v>OK</v>
      </c>
      <c r="N5" s="2" t="str">
        <f t="shared" si="4"/>
        <v>MATCH</v>
      </c>
      <c r="O5" s="2" t="str">
        <f t="shared" si="5"/>
        <v>OK</v>
      </c>
      <c r="P5" s="2">
        <f t="shared" si="6"/>
        <v>0</v>
      </c>
      <c r="Q5" s="2" t="str">
        <f t="shared" si="7"/>
        <v>2024-04</v>
      </c>
      <c r="R5" s="3" t="s">
        <v>33</v>
      </c>
      <c r="S5" s="2">
        <f>IF(tblChecks[[#This Row],[AnyError]]="ERROR",1,0)</f>
        <v>0</v>
      </c>
      <c r="T5" s="2">
        <f>IF(tblChecks[[#This Row],[MissingStreet]]="MISSING",1,0)</f>
        <v>0</v>
      </c>
      <c r="U5" t="str">
        <f t="shared" si="0"/>
        <v>OK</v>
      </c>
    </row>
    <row r="6" spans="1:21" x14ac:dyDescent="0.3">
      <c r="A6" s="1" t="str">
        <f>CleanedData!F6</f>
        <v>PROP00005</v>
      </c>
      <c r="B6" s="2" t="str">
        <f>CleanedData!A6</f>
        <v>AdelaideAnna Stravenue73, Australia</v>
      </c>
      <c r="C6" s="2" t="str">
        <f>CleanedData!D6</f>
        <v>Australia</v>
      </c>
      <c r="D6" s="2" t="str">
        <f>CleanedData!E6</f>
        <v>Adelaide</v>
      </c>
      <c r="E6" s="2" t="str">
        <f>CleanedData!O6</f>
        <v>Adelaide</v>
      </c>
      <c r="F6" s="2" t="str">
        <f>CleanedData!M6</f>
        <v>AdelaideAnna Stravenue73</v>
      </c>
      <c r="G6" s="2" t="str">
        <f>CleanedData!B6</f>
        <v>85682</v>
      </c>
      <c r="H6" s="2" t="str">
        <f>CleanedData!C6</f>
        <v>+58-662081724</v>
      </c>
      <c r="I6" s="2" t="str">
        <f>CleanedData!G6</f>
        <v>Active</v>
      </c>
      <c r="J6" s="14">
        <f>CleanedData!H6</f>
        <v>44973</v>
      </c>
      <c r="K6" s="2" t="str">
        <f t="shared" si="1"/>
        <v>OK</v>
      </c>
      <c r="L6" s="2" t="str">
        <f t="shared" si="2"/>
        <v>OK</v>
      </c>
      <c r="M6" s="2" t="str">
        <f t="shared" si="3"/>
        <v>OK</v>
      </c>
      <c r="N6" s="2" t="str">
        <f t="shared" si="4"/>
        <v>MATCH</v>
      </c>
      <c r="O6" s="2" t="str">
        <f t="shared" si="5"/>
        <v>OK</v>
      </c>
      <c r="P6" s="2">
        <f t="shared" si="6"/>
        <v>0</v>
      </c>
      <c r="Q6" s="2" t="str">
        <f t="shared" si="7"/>
        <v>2023-02</v>
      </c>
      <c r="R6" s="3" t="s">
        <v>39</v>
      </c>
      <c r="S6" s="2">
        <f>IF(tblChecks[[#This Row],[AnyError]]="ERROR",1,0)</f>
        <v>0</v>
      </c>
      <c r="T6" s="2">
        <f>IF(tblChecks[[#This Row],[MissingStreet]]="MISSING",1,0)</f>
        <v>0</v>
      </c>
      <c r="U6" t="str">
        <f t="shared" si="0"/>
        <v>OK</v>
      </c>
    </row>
    <row r="7" spans="1:21" x14ac:dyDescent="0.3">
      <c r="A7" s="1" t="str">
        <f>CleanedData!F7</f>
        <v>PROP00006</v>
      </c>
      <c r="B7" s="2" t="str">
        <f>CleanedData!A7</f>
        <v>USA, Phoenix</v>
      </c>
      <c r="C7" s="2" t="str">
        <f>CleanedData!D7</f>
        <v>USA</v>
      </c>
      <c r="D7" s="2" t="str">
        <f>CleanedData!E7</f>
        <v>Phoenix</v>
      </c>
      <c r="E7" s="2" t="str">
        <f>CleanedData!O7</f>
        <v>Phoenix</v>
      </c>
      <c r="F7" s="2" t="str">
        <f>CleanedData!M7</f>
        <v>Phoenix</v>
      </c>
      <c r="G7" s="2" t="str">
        <f>CleanedData!B7</f>
        <v>36964</v>
      </c>
      <c r="H7" s="2" t="str">
        <f>CleanedData!C7</f>
        <v>+75-783458296</v>
      </c>
      <c r="I7" s="2" t="str">
        <f>CleanedData!G7</f>
        <v>Inactive</v>
      </c>
      <c r="J7" s="14">
        <f>CleanedData!H7</f>
        <v>45086</v>
      </c>
      <c r="K7" s="2" t="str">
        <f t="shared" si="1"/>
        <v>OK</v>
      </c>
      <c r="L7" s="2" t="str">
        <f t="shared" si="2"/>
        <v>OK</v>
      </c>
      <c r="M7" s="2" t="str">
        <f t="shared" si="3"/>
        <v>OK</v>
      </c>
      <c r="N7" s="2" t="str">
        <f t="shared" si="4"/>
        <v>MATCH</v>
      </c>
      <c r="O7" s="2" t="str">
        <f t="shared" si="5"/>
        <v>OK</v>
      </c>
      <c r="P7" s="2">
        <f t="shared" si="6"/>
        <v>0</v>
      </c>
      <c r="Q7" s="2" t="str">
        <f t="shared" si="7"/>
        <v>2023-06</v>
      </c>
      <c r="R7" s="3" t="s">
        <v>23</v>
      </c>
      <c r="S7" s="2">
        <f>IF(tblChecks[[#This Row],[AnyError]]="ERROR",1,0)</f>
        <v>0</v>
      </c>
      <c r="T7" s="2">
        <f>IF(tblChecks[[#This Row],[MissingStreet]]="MISSING",1,0)</f>
        <v>0</v>
      </c>
      <c r="U7" t="str">
        <f t="shared" si="0"/>
        <v>OK</v>
      </c>
    </row>
    <row r="8" spans="1:21" x14ac:dyDescent="0.3">
      <c r="A8" s="1" t="str">
        <f>CleanedData!F8</f>
        <v>PROP00007</v>
      </c>
      <c r="B8" s="2" t="str">
        <f>CleanedData!A8</f>
        <v>Katherine Estate 93, Germany, Cologne</v>
      </c>
      <c r="C8" s="2" t="str">
        <f>CleanedData!D8</f>
        <v>Germany</v>
      </c>
      <c r="D8" s="2" t="str">
        <f>CleanedData!E8</f>
        <v>Cologne</v>
      </c>
      <c r="E8" s="2" t="str">
        <f>CleanedData!O8</f>
        <v>Cologne</v>
      </c>
      <c r="F8" s="2" t="str">
        <f>CleanedData!M8</f>
        <v>Katherine Estate 93</v>
      </c>
      <c r="G8" s="2" t="str">
        <f>CleanedData!B8</f>
        <v>92007</v>
      </c>
      <c r="H8" s="2" t="str">
        <f>CleanedData!C8</f>
        <v>+24-457327975</v>
      </c>
      <c r="I8" s="2" t="str">
        <f>CleanedData!G8</f>
        <v>Active</v>
      </c>
      <c r="J8" s="14">
        <f>CleanedData!H8</f>
        <v>45240</v>
      </c>
      <c r="K8" s="2" t="str">
        <f t="shared" si="1"/>
        <v>OK</v>
      </c>
      <c r="L8" s="2" t="str">
        <f t="shared" si="2"/>
        <v>OK</v>
      </c>
      <c r="M8" s="2" t="str">
        <f t="shared" si="3"/>
        <v>OK</v>
      </c>
      <c r="N8" s="2" t="str">
        <f t="shared" si="4"/>
        <v>MATCH</v>
      </c>
      <c r="O8" s="2" t="str">
        <f t="shared" si="5"/>
        <v>OK</v>
      </c>
      <c r="P8" s="2">
        <f t="shared" si="6"/>
        <v>0</v>
      </c>
      <c r="Q8" s="2" t="str">
        <f t="shared" si="7"/>
        <v>2023-11</v>
      </c>
      <c r="R8" s="3" t="s">
        <v>16</v>
      </c>
      <c r="S8" s="2">
        <f>IF(tblChecks[[#This Row],[AnyError]]="ERROR",1,0)</f>
        <v>0</v>
      </c>
      <c r="T8" s="2">
        <f>IF(tblChecks[[#This Row],[MissingStreet]]="MISSING",1,0)</f>
        <v>0</v>
      </c>
      <c r="U8" t="str">
        <f t="shared" si="0"/>
        <v>OK</v>
      </c>
    </row>
    <row r="9" spans="1:21" x14ac:dyDescent="0.3">
      <c r="A9" s="1" t="str">
        <f>CleanedData!F9</f>
        <v>PROP00008</v>
      </c>
      <c r="B9" s="2" t="str">
        <f>CleanedData!A9</f>
        <v>Peterson Drives 204, Germany, Cologne</v>
      </c>
      <c r="C9" s="2" t="str">
        <f>CleanedData!D9</f>
        <v>Germany</v>
      </c>
      <c r="D9" s="2" t="str">
        <f>CleanedData!E9</f>
        <v>Cologne</v>
      </c>
      <c r="E9" s="2" t="str">
        <f>CleanedData!O9</f>
        <v>Cologne</v>
      </c>
      <c r="F9" s="2" t="str">
        <f>CleanedData!M9</f>
        <v>Peterson Drives 204</v>
      </c>
      <c r="G9" s="2" t="str">
        <f>CleanedData!B9</f>
        <v>28722</v>
      </c>
      <c r="H9" s="2" t="str">
        <f>CleanedData!C9</f>
        <v>+49-576610421</v>
      </c>
      <c r="I9" s="2" t="str">
        <f>CleanedData!G9</f>
        <v>Active</v>
      </c>
      <c r="J9" s="14">
        <f>CleanedData!H9</f>
        <v>44972</v>
      </c>
      <c r="K9" s="2" t="str">
        <f t="shared" si="1"/>
        <v>OK</v>
      </c>
      <c r="L9" s="2" t="str">
        <f t="shared" si="2"/>
        <v>OK</v>
      </c>
      <c r="M9" s="2" t="str">
        <f t="shared" si="3"/>
        <v>OK</v>
      </c>
      <c r="N9" s="2" t="str">
        <f t="shared" si="4"/>
        <v>MATCH</v>
      </c>
      <c r="O9" s="2" t="str">
        <f t="shared" si="5"/>
        <v>OK</v>
      </c>
      <c r="P9" s="2">
        <f t="shared" si="6"/>
        <v>0</v>
      </c>
      <c r="Q9" s="2" t="str">
        <f t="shared" si="7"/>
        <v>2023-02</v>
      </c>
      <c r="R9" s="3" t="s">
        <v>54</v>
      </c>
      <c r="S9" s="2">
        <f>IF(tblChecks[[#This Row],[AnyError]]="ERROR",1,0)</f>
        <v>0</v>
      </c>
      <c r="T9" s="2">
        <f>IF(tblChecks[[#This Row],[MissingStreet]]="MISSING",1,0)</f>
        <v>0</v>
      </c>
      <c r="U9" t="str">
        <f t="shared" si="0"/>
        <v>OK</v>
      </c>
    </row>
    <row r="10" spans="1:21" x14ac:dyDescent="0.3">
      <c r="A10" s="1" t="str">
        <f>CleanedData!F10</f>
        <v>PROP00009</v>
      </c>
      <c r="B10" s="2" t="str">
        <f>CleanedData!A10</f>
        <v>SpainBarcelona, Spain</v>
      </c>
      <c r="C10" s="2" t="str">
        <f>CleanedData!D10</f>
        <v>Spain</v>
      </c>
      <c r="D10" s="2" t="str">
        <f>CleanedData!E10</f>
        <v>Barcelona</v>
      </c>
      <c r="E10" s="2" t="str">
        <f>CleanedData!O10</f>
        <v>Barcelona</v>
      </c>
      <c r="F10" s="2" t="str">
        <f>CleanedData!M10</f>
        <v>Spain</v>
      </c>
      <c r="G10" s="2" t="str">
        <f>CleanedData!B10</f>
        <v>13177</v>
      </c>
      <c r="H10" s="2" t="str">
        <f>CleanedData!C10</f>
        <v>+34-805788258</v>
      </c>
      <c r="I10" s="2" t="str">
        <f>CleanedData!G10</f>
        <v>Inactive</v>
      </c>
      <c r="J10" s="14">
        <f>CleanedData!H10</f>
        <v>45573</v>
      </c>
      <c r="K10" s="2" t="str">
        <f t="shared" si="1"/>
        <v>OK</v>
      </c>
      <c r="L10" s="2" t="str">
        <f t="shared" si="2"/>
        <v>OK</v>
      </c>
      <c r="M10" s="2" t="str">
        <f t="shared" si="3"/>
        <v>OK</v>
      </c>
      <c r="N10" s="2" t="str">
        <f t="shared" si="4"/>
        <v>MATCH</v>
      </c>
      <c r="O10" s="2" t="str">
        <f t="shared" si="5"/>
        <v>OK</v>
      </c>
      <c r="P10" s="2">
        <f t="shared" si="6"/>
        <v>0</v>
      </c>
      <c r="Q10" s="2" t="str">
        <f t="shared" si="7"/>
        <v>2024-10</v>
      </c>
      <c r="R10" s="3" t="s">
        <v>54</v>
      </c>
      <c r="S10" s="2">
        <f>IF(tblChecks[[#This Row],[AnyError]]="ERROR",1,0)</f>
        <v>0</v>
      </c>
      <c r="T10" s="2">
        <f>IF(tblChecks[[#This Row],[MissingStreet]]="MISSING",1,0)</f>
        <v>0</v>
      </c>
      <c r="U10" t="str">
        <f t="shared" si="0"/>
        <v>OK</v>
      </c>
    </row>
    <row r="11" spans="1:21" x14ac:dyDescent="0.3">
      <c r="A11" s="1" t="str">
        <f>CleanedData!F11</f>
        <v>PROP00010</v>
      </c>
      <c r="B11" s="2" t="str">
        <f>CleanedData!A11</f>
        <v>Abbott Rapids 298, Brazil, Brasília</v>
      </c>
      <c r="C11" s="2" t="str">
        <f>CleanedData!D11</f>
        <v>Brazil</v>
      </c>
      <c r="D11" s="2" t="str">
        <f>CleanedData!E11</f>
        <v>Brasília</v>
      </c>
      <c r="E11" s="2" t="str">
        <f>CleanedData!O11</f>
        <v>Brasília</v>
      </c>
      <c r="F11" s="2" t="str">
        <f>CleanedData!M11</f>
        <v>Abbott Rapids 298</v>
      </c>
      <c r="G11" s="2" t="str">
        <f>CleanedData!B11</f>
        <v>35172</v>
      </c>
      <c r="H11" s="2" t="str">
        <f>CleanedData!C11</f>
        <v>+74-707015923</v>
      </c>
      <c r="I11" s="2" t="str">
        <f>CleanedData!G11</f>
        <v>Active</v>
      </c>
      <c r="J11" s="14">
        <f>CleanedData!H11</f>
        <v>45768</v>
      </c>
      <c r="K11" s="2" t="str">
        <f t="shared" si="1"/>
        <v>OK</v>
      </c>
      <c r="L11" s="2" t="str">
        <f t="shared" si="2"/>
        <v>OK</v>
      </c>
      <c r="M11" s="2" t="str">
        <f t="shared" si="3"/>
        <v>OK</v>
      </c>
      <c r="N11" s="2" t="str">
        <f t="shared" si="4"/>
        <v>MATCH</v>
      </c>
      <c r="O11" s="2" t="str">
        <f t="shared" si="5"/>
        <v>OK</v>
      </c>
      <c r="P11" s="2">
        <f t="shared" si="6"/>
        <v>0</v>
      </c>
      <c r="Q11" s="2" t="str">
        <f t="shared" si="7"/>
        <v>2025-04</v>
      </c>
      <c r="R11" s="3" t="s">
        <v>33</v>
      </c>
      <c r="S11" s="2">
        <f>IF(tblChecks[[#This Row],[AnyError]]="ERROR",1,0)</f>
        <v>0</v>
      </c>
      <c r="T11" s="2">
        <f>IF(tblChecks[[#This Row],[MissingStreet]]="MISSING",1,0)</f>
        <v>0</v>
      </c>
      <c r="U11" t="str">
        <f t="shared" si="0"/>
        <v>OK</v>
      </c>
    </row>
    <row r="12" spans="1:21" x14ac:dyDescent="0.3">
      <c r="A12" s="1" t="str">
        <f>CleanedData!F12</f>
        <v>PROP00011</v>
      </c>
      <c r="B12" s="2" t="str">
        <f>CleanedData!A12</f>
        <v>Australia, Perth</v>
      </c>
      <c r="C12" s="2" t="str">
        <f>CleanedData!D12</f>
        <v>Australia</v>
      </c>
      <c r="D12" s="2" t="str">
        <f>CleanedData!E12</f>
        <v>Perth</v>
      </c>
      <c r="E12" s="2" t="str">
        <f>CleanedData!O12</f>
        <v>Perth</v>
      </c>
      <c r="F12" s="2" t="str">
        <f>CleanedData!M12</f>
        <v>Perth</v>
      </c>
      <c r="G12" s="2" t="str">
        <f>CleanedData!B12</f>
        <v>16862</v>
      </c>
      <c r="H12" s="2" t="str">
        <f>CleanedData!C12</f>
        <v>+19-563762604</v>
      </c>
      <c r="I12" s="2" t="str">
        <f>CleanedData!G12</f>
        <v>Active</v>
      </c>
      <c r="J12" s="14">
        <f>CleanedData!H12</f>
        <v>44924</v>
      </c>
      <c r="K12" s="2" t="str">
        <f t="shared" si="1"/>
        <v>OK</v>
      </c>
      <c r="L12" s="2" t="str">
        <f t="shared" si="2"/>
        <v>OK</v>
      </c>
      <c r="M12" s="2" t="str">
        <f t="shared" si="3"/>
        <v>OK</v>
      </c>
      <c r="N12" s="2" t="str">
        <f t="shared" si="4"/>
        <v>MATCH</v>
      </c>
      <c r="O12" s="2" t="str">
        <f t="shared" si="5"/>
        <v>OK</v>
      </c>
      <c r="P12" s="2">
        <f t="shared" si="6"/>
        <v>0</v>
      </c>
      <c r="Q12" s="2" t="str">
        <f t="shared" si="7"/>
        <v>2022-12</v>
      </c>
      <c r="R12" s="3" t="s">
        <v>54</v>
      </c>
      <c r="S12" s="2">
        <f>IF(tblChecks[[#This Row],[AnyError]]="ERROR",1,0)</f>
        <v>0</v>
      </c>
      <c r="T12" s="2">
        <f>IF(tblChecks[[#This Row],[MissingStreet]]="MISSING",1,0)</f>
        <v>0</v>
      </c>
      <c r="U12" t="str">
        <f t="shared" si="0"/>
        <v>OK</v>
      </c>
    </row>
    <row r="13" spans="1:21" x14ac:dyDescent="0.3">
      <c r="A13" s="1" t="str">
        <f>CleanedData!F13</f>
        <v>PROP00012</v>
      </c>
      <c r="B13" s="2" t="str">
        <f>CleanedData!A13</f>
        <v>CanadaOttawa</v>
      </c>
      <c r="C13" s="2" t="str">
        <f>CleanedData!D13</f>
        <v>Canada</v>
      </c>
      <c r="D13" s="2" t="str">
        <f>CleanedData!E13</f>
        <v>Ottawa</v>
      </c>
      <c r="E13" s="2" t="str">
        <f>CleanedData!O13</f>
        <v>Ottawa</v>
      </c>
      <c r="F13" s="2" t="str">
        <f>CleanedData!M13</f>
        <v/>
      </c>
      <c r="G13" s="2" t="str">
        <f>CleanedData!B13</f>
        <v>82898</v>
      </c>
      <c r="H13" s="2" t="str">
        <f>CleanedData!C13</f>
        <v>+76-641811982</v>
      </c>
      <c r="I13" s="2" t="str">
        <f>CleanedData!G13</f>
        <v>Active</v>
      </c>
      <c r="J13" s="14">
        <f>CleanedData!H13</f>
        <v>45943</v>
      </c>
      <c r="K13" s="2" t="str">
        <f t="shared" si="1"/>
        <v>MISSING</v>
      </c>
      <c r="L13" s="2" t="str">
        <f t="shared" si="2"/>
        <v>OK</v>
      </c>
      <c r="M13" s="2" t="str">
        <f t="shared" si="3"/>
        <v>OK</v>
      </c>
      <c r="N13" s="2" t="str">
        <f t="shared" si="4"/>
        <v>MATCH</v>
      </c>
      <c r="O13" s="2" t="str">
        <f t="shared" si="5"/>
        <v>ERROR</v>
      </c>
      <c r="P13" s="2">
        <f t="shared" si="6"/>
        <v>1</v>
      </c>
      <c r="Q13" s="2" t="str">
        <f t="shared" si="7"/>
        <v>2025-10</v>
      </c>
      <c r="R13" s="3" t="s">
        <v>39</v>
      </c>
      <c r="S13" s="2">
        <f>IF(tblChecks[[#This Row],[AnyError]]="ERROR",1,0)</f>
        <v>1</v>
      </c>
      <c r="T13" s="2">
        <f>IF(tblChecks[[#This Row],[MissingStreet]]="MISSING",1,0)</f>
        <v>1</v>
      </c>
      <c r="U13" t="str">
        <f t="shared" si="0"/>
        <v>MissingStreet</v>
      </c>
    </row>
    <row r="14" spans="1:21" x14ac:dyDescent="0.3">
      <c r="A14" s="1" t="str">
        <f>CleanedData!F14</f>
        <v>PROP00013</v>
      </c>
      <c r="B14" s="2" t="str">
        <f>CleanedData!A14</f>
        <v>USALos AngelesRay Squares47</v>
      </c>
      <c r="C14" s="2" t="str">
        <f>CleanedData!D14</f>
        <v>USA</v>
      </c>
      <c r="D14" s="2" t="str">
        <f>CleanedData!E14</f>
        <v>Los Angeles</v>
      </c>
      <c r="E14" s="2" t="str">
        <f>CleanedData!O14</f>
        <v>Los Angeles</v>
      </c>
      <c r="F14" s="2" t="str">
        <f>CleanedData!M14</f>
        <v>USALos AngelesRay Squares47</v>
      </c>
      <c r="G14" s="2" t="str">
        <f>CleanedData!B14</f>
        <v>9617</v>
      </c>
      <c r="H14" s="2" t="str">
        <f>CleanedData!C14</f>
        <v>+28-603554893</v>
      </c>
      <c r="I14" s="2" t="str">
        <f>CleanedData!G14</f>
        <v>Active</v>
      </c>
      <c r="J14" s="14">
        <f>CleanedData!H14</f>
        <v>45465</v>
      </c>
      <c r="K14" s="2" t="str">
        <f t="shared" si="1"/>
        <v>OK</v>
      </c>
      <c r="L14" s="2" t="str">
        <f t="shared" si="2"/>
        <v>OK</v>
      </c>
      <c r="M14" s="2" t="str">
        <f t="shared" si="3"/>
        <v>OK</v>
      </c>
      <c r="N14" s="2" t="str">
        <f t="shared" si="4"/>
        <v>MATCH</v>
      </c>
      <c r="O14" s="2" t="str">
        <f t="shared" si="5"/>
        <v>OK</v>
      </c>
      <c r="P14" s="2">
        <f t="shared" si="6"/>
        <v>0</v>
      </c>
      <c r="Q14" s="2" t="str">
        <f t="shared" si="7"/>
        <v>2024-06</v>
      </c>
      <c r="R14" s="3" t="s">
        <v>54</v>
      </c>
      <c r="S14" s="2">
        <f>IF(tblChecks[[#This Row],[AnyError]]="ERROR",1,0)</f>
        <v>0</v>
      </c>
      <c r="T14" s="2">
        <f>IF(tblChecks[[#This Row],[MissingStreet]]="MISSING",1,0)</f>
        <v>0</v>
      </c>
      <c r="U14" t="str">
        <f t="shared" si="0"/>
        <v>OK</v>
      </c>
    </row>
    <row r="15" spans="1:21" x14ac:dyDescent="0.3">
      <c r="A15" s="1" t="str">
        <f>CleanedData!F15</f>
        <v>PROP00014</v>
      </c>
      <c r="B15" s="2" t="str">
        <f>CleanedData!A15</f>
        <v>Donna Trail 183, UK, Leeds</v>
      </c>
      <c r="C15" s="2" t="str">
        <f>CleanedData!D15</f>
        <v>UK</v>
      </c>
      <c r="D15" s="2" t="str">
        <f>CleanedData!E15</f>
        <v>Leeds</v>
      </c>
      <c r="E15" s="2" t="str">
        <f>CleanedData!O15</f>
        <v>Leeds</v>
      </c>
      <c r="F15" s="2" t="str">
        <f>CleanedData!M15</f>
        <v>Donna Trail 183</v>
      </c>
      <c r="G15" s="2" t="str">
        <f>CleanedData!B15</f>
        <v>38431</v>
      </c>
      <c r="H15" s="2" t="str">
        <f>CleanedData!C15</f>
        <v>+43-971324654</v>
      </c>
      <c r="I15" s="2" t="str">
        <f>CleanedData!G15</f>
        <v>Inactive</v>
      </c>
      <c r="J15" s="14">
        <f>CleanedData!H15</f>
        <v>45344</v>
      </c>
      <c r="K15" s="2" t="str">
        <f t="shared" si="1"/>
        <v>OK</v>
      </c>
      <c r="L15" s="2" t="str">
        <f t="shared" si="2"/>
        <v>OK</v>
      </c>
      <c r="M15" s="2" t="str">
        <f t="shared" si="3"/>
        <v>OK</v>
      </c>
      <c r="N15" s="2" t="str">
        <f t="shared" si="4"/>
        <v>MATCH</v>
      </c>
      <c r="O15" s="2" t="str">
        <f t="shared" si="5"/>
        <v>OK</v>
      </c>
      <c r="P15" s="2">
        <f t="shared" si="6"/>
        <v>0</v>
      </c>
      <c r="Q15" s="2" t="str">
        <f t="shared" si="7"/>
        <v>2024-02</v>
      </c>
      <c r="R15" s="3" t="s">
        <v>33</v>
      </c>
      <c r="S15" s="2">
        <f>IF(tblChecks[[#This Row],[AnyError]]="ERROR",1,0)</f>
        <v>0</v>
      </c>
      <c r="T15" s="2">
        <f>IF(tblChecks[[#This Row],[MissingStreet]]="MISSING",1,0)</f>
        <v>0</v>
      </c>
      <c r="U15" t="str">
        <f t="shared" si="0"/>
        <v>OK</v>
      </c>
    </row>
    <row r="16" spans="1:21" x14ac:dyDescent="0.3">
      <c r="A16" s="1" t="str">
        <f>CleanedData!F16</f>
        <v>PROP00015</v>
      </c>
      <c r="B16" s="2" t="str">
        <f>CleanedData!A16</f>
        <v>ItalyRome</v>
      </c>
      <c r="C16" s="2" t="str">
        <f>CleanedData!D16</f>
        <v>Italy</v>
      </c>
      <c r="D16" s="2" t="str">
        <f>CleanedData!E16</f>
        <v>Rome</v>
      </c>
      <c r="E16" s="2" t="str">
        <f>CleanedData!O16</f>
        <v>Rome</v>
      </c>
      <c r="F16" s="2" t="str">
        <f>CleanedData!M16</f>
        <v/>
      </c>
      <c r="G16" s="2" t="str">
        <f>CleanedData!B16</f>
        <v>13739</v>
      </c>
      <c r="H16" s="2" t="str">
        <f>CleanedData!C16</f>
        <v>+85-846405798</v>
      </c>
      <c r="I16" s="2" t="str">
        <f>CleanedData!G16</f>
        <v>Inactive</v>
      </c>
      <c r="J16" s="14">
        <f>CleanedData!H16</f>
        <v>45347</v>
      </c>
      <c r="K16" s="2" t="str">
        <f t="shared" si="1"/>
        <v>MISSING</v>
      </c>
      <c r="L16" s="2" t="str">
        <f t="shared" si="2"/>
        <v>OK</v>
      </c>
      <c r="M16" s="2" t="str">
        <f t="shared" si="3"/>
        <v>OK</v>
      </c>
      <c r="N16" s="2" t="str">
        <f t="shared" si="4"/>
        <v>MATCH</v>
      </c>
      <c r="O16" s="2" t="str">
        <f t="shared" si="5"/>
        <v>ERROR</v>
      </c>
      <c r="P16" s="2">
        <f t="shared" si="6"/>
        <v>1</v>
      </c>
      <c r="Q16" s="2" t="str">
        <f t="shared" si="7"/>
        <v>2024-02</v>
      </c>
      <c r="R16" s="3" t="s">
        <v>23</v>
      </c>
      <c r="S16" s="2">
        <f>IF(tblChecks[[#This Row],[AnyError]]="ERROR",1,0)</f>
        <v>1</v>
      </c>
      <c r="T16" s="2">
        <f>IF(tblChecks[[#This Row],[MissingStreet]]="MISSING",1,0)</f>
        <v>1</v>
      </c>
      <c r="U16" t="str">
        <f t="shared" si="0"/>
        <v>MissingStreet</v>
      </c>
    </row>
    <row r="17" spans="1:21" x14ac:dyDescent="0.3">
      <c r="A17" s="1" t="str">
        <f>CleanedData!F17</f>
        <v>PROP00016</v>
      </c>
      <c r="B17" s="2" t="str">
        <f>CleanedData!A17</f>
        <v>BrazilSalvador, Brazil</v>
      </c>
      <c r="C17" s="2" t="str">
        <f>CleanedData!D17</f>
        <v>Brazil</v>
      </c>
      <c r="D17" s="2" t="str">
        <f>CleanedData!E17</f>
        <v>Salvador</v>
      </c>
      <c r="E17" s="2" t="str">
        <f>CleanedData!O17</f>
        <v>Salvador</v>
      </c>
      <c r="F17" s="2" t="str">
        <f>CleanedData!M17</f>
        <v>Brazil</v>
      </c>
      <c r="G17" s="2" t="str">
        <f>CleanedData!B17</f>
        <v>48320</v>
      </c>
      <c r="H17" s="2" t="str">
        <f>CleanedData!C17</f>
        <v>+27-184834988</v>
      </c>
      <c r="I17" s="2" t="str">
        <f>CleanedData!G17</f>
        <v>Inactive</v>
      </c>
      <c r="J17" s="14">
        <f>CleanedData!H17</f>
        <v>45771</v>
      </c>
      <c r="K17" s="2" t="str">
        <f t="shared" si="1"/>
        <v>OK</v>
      </c>
      <c r="L17" s="2" t="str">
        <f t="shared" si="2"/>
        <v>OK</v>
      </c>
      <c r="M17" s="2" t="str">
        <f t="shared" si="3"/>
        <v>OK</v>
      </c>
      <c r="N17" s="2" t="str">
        <f t="shared" si="4"/>
        <v>MATCH</v>
      </c>
      <c r="O17" s="2" t="str">
        <f t="shared" si="5"/>
        <v>OK</v>
      </c>
      <c r="P17" s="2">
        <f t="shared" si="6"/>
        <v>0</v>
      </c>
      <c r="Q17" s="2" t="str">
        <f t="shared" si="7"/>
        <v>2025-04</v>
      </c>
      <c r="R17" s="3" t="s">
        <v>33</v>
      </c>
      <c r="S17" s="2">
        <f>IF(tblChecks[[#This Row],[AnyError]]="ERROR",1,0)</f>
        <v>0</v>
      </c>
      <c r="T17" s="2">
        <f>IF(tblChecks[[#This Row],[MissingStreet]]="MISSING",1,0)</f>
        <v>0</v>
      </c>
      <c r="U17" t="str">
        <f t="shared" si="0"/>
        <v>OK</v>
      </c>
    </row>
    <row r="18" spans="1:21" x14ac:dyDescent="0.3">
      <c r="A18" s="1" t="str">
        <f>CleanedData!F18</f>
        <v>PROP00017</v>
      </c>
      <c r="B18" s="2" t="str">
        <f>CleanedData!A18</f>
        <v>CanadaCalgary, Canada</v>
      </c>
      <c r="C18" s="2" t="str">
        <f>CleanedData!D18</f>
        <v>Canada</v>
      </c>
      <c r="D18" s="2" t="str">
        <f>CleanedData!E18</f>
        <v>Calgary</v>
      </c>
      <c r="E18" s="2" t="str">
        <f>CleanedData!O18</f>
        <v>Calgary</v>
      </c>
      <c r="F18" s="2" t="str">
        <f>CleanedData!M18</f>
        <v>Canada</v>
      </c>
      <c r="G18" s="2" t="str">
        <f>CleanedData!B18</f>
        <v>88342</v>
      </c>
      <c r="H18" s="2" t="str">
        <f>CleanedData!C18</f>
        <v>+28-803880368</v>
      </c>
      <c r="I18" s="2" t="str">
        <f>CleanedData!G18</f>
        <v>Active</v>
      </c>
      <c r="J18" s="14">
        <f>CleanedData!H18</f>
        <v>45494</v>
      </c>
      <c r="K18" s="2" t="str">
        <f t="shared" si="1"/>
        <v>OK</v>
      </c>
      <c r="L18" s="2" t="str">
        <f t="shared" si="2"/>
        <v>OK</v>
      </c>
      <c r="M18" s="2" t="str">
        <f t="shared" si="3"/>
        <v>OK</v>
      </c>
      <c r="N18" s="2" t="str">
        <f t="shared" si="4"/>
        <v>MATCH</v>
      </c>
      <c r="O18" s="2" t="str">
        <f t="shared" si="5"/>
        <v>OK</v>
      </c>
      <c r="P18" s="2">
        <f t="shared" si="6"/>
        <v>0</v>
      </c>
      <c r="Q18" s="2" t="str">
        <f t="shared" si="7"/>
        <v>2024-07</v>
      </c>
      <c r="R18" s="3" t="s">
        <v>39</v>
      </c>
      <c r="S18" s="2">
        <f>IF(tblChecks[[#This Row],[AnyError]]="ERROR",1,0)</f>
        <v>0</v>
      </c>
      <c r="T18" s="2">
        <f>IF(tblChecks[[#This Row],[MissingStreet]]="MISSING",1,0)</f>
        <v>0</v>
      </c>
      <c r="U18" t="str">
        <f t="shared" si="0"/>
        <v>OK</v>
      </c>
    </row>
    <row r="19" spans="1:21" x14ac:dyDescent="0.3">
      <c r="A19" s="1" t="str">
        <f>CleanedData!F19</f>
        <v>PROP00018</v>
      </c>
      <c r="B19" s="2" t="str">
        <f>CleanedData!A19</f>
        <v>UK, Birmingham</v>
      </c>
      <c r="C19" s="2" t="str">
        <f>CleanedData!D19</f>
        <v>UK</v>
      </c>
      <c r="D19" s="2" t="str">
        <f>CleanedData!E19</f>
        <v>Birmingham</v>
      </c>
      <c r="E19" s="2" t="str">
        <f>CleanedData!O19</f>
        <v>Birmingham</v>
      </c>
      <c r="F19" s="2" t="str">
        <f>CleanedData!M19</f>
        <v>Birmingham</v>
      </c>
      <c r="G19" s="2" t="str">
        <f>CleanedData!B19</f>
        <v>85440</v>
      </c>
      <c r="H19" s="2" t="str">
        <f>CleanedData!C19</f>
        <v>+41-132506172</v>
      </c>
      <c r="I19" s="2" t="str">
        <f>CleanedData!G19</f>
        <v>Inactive</v>
      </c>
      <c r="J19" s="14">
        <f>CleanedData!H19</f>
        <v>45832</v>
      </c>
      <c r="K19" s="2" t="str">
        <f t="shared" si="1"/>
        <v>OK</v>
      </c>
      <c r="L19" s="2" t="str">
        <f t="shared" si="2"/>
        <v>OK</v>
      </c>
      <c r="M19" s="2" t="str">
        <f t="shared" si="3"/>
        <v>OK</v>
      </c>
      <c r="N19" s="2" t="str">
        <f t="shared" si="4"/>
        <v>MATCH</v>
      </c>
      <c r="O19" s="2" t="str">
        <f t="shared" si="5"/>
        <v>OK</v>
      </c>
      <c r="P19" s="2">
        <f t="shared" si="6"/>
        <v>0</v>
      </c>
      <c r="Q19" s="2" t="str">
        <f t="shared" si="7"/>
        <v>2025-06</v>
      </c>
      <c r="R19" s="3" t="s">
        <v>54</v>
      </c>
      <c r="S19" s="2">
        <f>IF(tblChecks[[#This Row],[AnyError]]="ERROR",1,0)</f>
        <v>0</v>
      </c>
      <c r="T19" s="2">
        <f>IF(tblChecks[[#This Row],[MissingStreet]]="MISSING",1,0)</f>
        <v>0</v>
      </c>
      <c r="U19" t="str">
        <f t="shared" si="0"/>
        <v>OK</v>
      </c>
    </row>
    <row r="20" spans="1:21" x14ac:dyDescent="0.3">
      <c r="A20" s="1" t="str">
        <f>CleanedData!F20</f>
        <v>PROP00019</v>
      </c>
      <c r="B20" s="2" t="str">
        <f>CleanedData!A20</f>
        <v>BrasíliaChelsea Extension100, Brazil</v>
      </c>
      <c r="C20" s="2" t="str">
        <f>CleanedData!D20</f>
        <v>Brazil</v>
      </c>
      <c r="D20" s="2" t="str">
        <f>CleanedData!E20</f>
        <v>Brasília</v>
      </c>
      <c r="E20" s="2" t="str">
        <f>CleanedData!O20</f>
        <v>Brasília</v>
      </c>
      <c r="F20" s="2" t="str">
        <f>CleanedData!M20</f>
        <v>BrasíliaChelsea Extension100</v>
      </c>
      <c r="G20" s="2" t="str">
        <f>CleanedData!B20</f>
        <v>70511</v>
      </c>
      <c r="H20" s="2" t="str">
        <f>CleanedData!C20</f>
        <v>+67-358446679</v>
      </c>
      <c r="I20" s="2" t="str">
        <f>CleanedData!G20</f>
        <v>Active</v>
      </c>
      <c r="J20" s="14">
        <f>CleanedData!H20</f>
        <v>45430</v>
      </c>
      <c r="K20" s="2" t="str">
        <f t="shared" si="1"/>
        <v>OK</v>
      </c>
      <c r="L20" s="2" t="str">
        <f t="shared" si="2"/>
        <v>OK</v>
      </c>
      <c r="M20" s="2" t="str">
        <f t="shared" si="3"/>
        <v>OK</v>
      </c>
      <c r="N20" s="2" t="str">
        <f t="shared" si="4"/>
        <v>MATCH</v>
      </c>
      <c r="O20" s="2" t="str">
        <f t="shared" si="5"/>
        <v>OK</v>
      </c>
      <c r="P20" s="2">
        <f t="shared" si="6"/>
        <v>0</v>
      </c>
      <c r="Q20" s="2" t="str">
        <f t="shared" si="7"/>
        <v>2024-05</v>
      </c>
      <c r="R20" s="3" t="s">
        <v>39</v>
      </c>
      <c r="S20" s="2">
        <f>IF(tblChecks[[#This Row],[AnyError]]="ERROR",1,0)</f>
        <v>0</v>
      </c>
      <c r="T20" s="2">
        <f>IF(tblChecks[[#This Row],[MissingStreet]]="MISSING",1,0)</f>
        <v>0</v>
      </c>
      <c r="U20" t="str">
        <f t="shared" si="0"/>
        <v>OK</v>
      </c>
    </row>
    <row r="21" spans="1:21" x14ac:dyDescent="0.3">
      <c r="A21" s="1" t="str">
        <f>CleanedData!F21</f>
        <v>PROP00020</v>
      </c>
      <c r="B21" s="2" t="str">
        <f>CleanedData!A21</f>
        <v>Canada, Calgary, Frank Light 65</v>
      </c>
      <c r="C21" s="2" t="str">
        <f>CleanedData!D21</f>
        <v>Canada</v>
      </c>
      <c r="D21" s="2" t="str">
        <f>CleanedData!E21</f>
        <v>Calgary</v>
      </c>
      <c r="E21" s="2" t="str">
        <f>CleanedData!O21</f>
        <v>Calgary</v>
      </c>
      <c r="F21" s="2" t="str">
        <f>CleanedData!M21</f>
        <v>Frank Light 65</v>
      </c>
      <c r="G21" s="2" t="str">
        <f>CleanedData!B21</f>
        <v>35883</v>
      </c>
      <c r="H21" s="2" t="str">
        <f>CleanedData!C21</f>
        <v>+42-523118317</v>
      </c>
      <c r="I21" s="2" t="str">
        <f>CleanedData!G21</f>
        <v>Active</v>
      </c>
      <c r="J21" s="14">
        <f>CleanedData!H21</f>
        <v>45200</v>
      </c>
      <c r="K21" s="2" t="str">
        <f t="shared" si="1"/>
        <v>OK</v>
      </c>
      <c r="L21" s="2" t="str">
        <f t="shared" si="2"/>
        <v>OK</v>
      </c>
      <c r="M21" s="2" t="str">
        <f t="shared" si="3"/>
        <v>OK</v>
      </c>
      <c r="N21" s="2" t="str">
        <f t="shared" si="4"/>
        <v>MATCH</v>
      </c>
      <c r="O21" s="2" t="str">
        <f t="shared" si="5"/>
        <v>OK</v>
      </c>
      <c r="P21" s="2">
        <f t="shared" si="6"/>
        <v>0</v>
      </c>
      <c r="Q21" s="2" t="str">
        <f t="shared" si="7"/>
        <v>2023-10</v>
      </c>
      <c r="R21" s="3" t="s">
        <v>39</v>
      </c>
      <c r="S21" s="2">
        <f>IF(tblChecks[[#This Row],[AnyError]]="ERROR",1,0)</f>
        <v>0</v>
      </c>
      <c r="T21" s="2">
        <f>IF(tblChecks[[#This Row],[MissingStreet]]="MISSING",1,0)</f>
        <v>0</v>
      </c>
      <c r="U21" t="str">
        <f t="shared" si="0"/>
        <v>OK</v>
      </c>
    </row>
    <row r="22" spans="1:21" x14ac:dyDescent="0.3">
      <c r="A22" s="1" t="str">
        <f>CleanedData!F22</f>
        <v>PROP00021</v>
      </c>
      <c r="B22" s="2" t="str">
        <f>CleanedData!A22</f>
        <v>Chicago, Gabrielle Ville 211, USA</v>
      </c>
      <c r="C22" s="2" t="str">
        <f>CleanedData!D22</f>
        <v>USA</v>
      </c>
      <c r="D22" s="2" t="str">
        <f>CleanedData!E22</f>
        <v>Chicago</v>
      </c>
      <c r="E22" s="2" t="str">
        <f>CleanedData!O22</f>
        <v>Chicago</v>
      </c>
      <c r="F22" s="2" t="str">
        <f>CleanedData!M22</f>
        <v>Gabrielle Ville 211</v>
      </c>
      <c r="G22" s="2" t="str">
        <f>CleanedData!B22</f>
        <v>7832</v>
      </c>
      <c r="H22" s="2" t="str">
        <f>CleanedData!C22</f>
        <v>+92-984554908</v>
      </c>
      <c r="I22" s="2" t="str">
        <f>CleanedData!G22</f>
        <v>Active</v>
      </c>
      <c r="J22" s="14">
        <f>CleanedData!H22</f>
        <v>45595</v>
      </c>
      <c r="K22" s="2" t="str">
        <f t="shared" si="1"/>
        <v>OK</v>
      </c>
      <c r="L22" s="2" t="str">
        <f t="shared" si="2"/>
        <v>OK</v>
      </c>
      <c r="M22" s="2" t="str">
        <f t="shared" si="3"/>
        <v>OK</v>
      </c>
      <c r="N22" s="2" t="str">
        <f t="shared" si="4"/>
        <v>MATCH</v>
      </c>
      <c r="O22" s="2" t="str">
        <f t="shared" si="5"/>
        <v>OK</v>
      </c>
      <c r="P22" s="2">
        <f t="shared" si="6"/>
        <v>0</v>
      </c>
      <c r="Q22" s="2" t="str">
        <f t="shared" si="7"/>
        <v>2024-10</v>
      </c>
      <c r="R22" s="3" t="s">
        <v>33</v>
      </c>
      <c r="S22" s="2">
        <f>IF(tblChecks[[#This Row],[AnyError]]="ERROR",1,0)</f>
        <v>0</v>
      </c>
      <c r="T22" s="2">
        <f>IF(tblChecks[[#This Row],[MissingStreet]]="MISSING",1,0)</f>
        <v>0</v>
      </c>
      <c r="U22" t="str">
        <f t="shared" si="0"/>
        <v>OK</v>
      </c>
    </row>
    <row r="23" spans="1:21" x14ac:dyDescent="0.3">
      <c r="A23" s="1" t="str">
        <f>CleanedData!F23</f>
        <v>PROP00022</v>
      </c>
      <c r="B23" s="2" t="str">
        <f>CleanedData!A23</f>
        <v>GermanyMunichLydia Valley281</v>
      </c>
      <c r="C23" s="2" t="str">
        <f>CleanedData!D23</f>
        <v>Germany</v>
      </c>
      <c r="D23" s="2" t="str">
        <f>CleanedData!E23</f>
        <v>Munich</v>
      </c>
      <c r="E23" s="2" t="str">
        <f>CleanedData!O23</f>
        <v>Munich</v>
      </c>
      <c r="F23" s="2" t="str">
        <f>CleanedData!M23</f>
        <v>GermanyMunichLydia Valley281</v>
      </c>
      <c r="G23" s="2" t="str">
        <f>CleanedData!B23</f>
        <v>41848</v>
      </c>
      <c r="H23" s="2" t="str">
        <f>CleanedData!C23</f>
        <v>+48-719462908</v>
      </c>
      <c r="I23" s="2" t="str">
        <f>CleanedData!G23</f>
        <v>Active</v>
      </c>
      <c r="J23" s="14">
        <f>CleanedData!H23</f>
        <v>45965</v>
      </c>
      <c r="K23" s="2" t="str">
        <f t="shared" si="1"/>
        <v>OK</v>
      </c>
      <c r="L23" s="2" t="str">
        <f t="shared" si="2"/>
        <v>OK</v>
      </c>
      <c r="M23" s="2" t="str">
        <f t="shared" si="3"/>
        <v>OK</v>
      </c>
      <c r="N23" s="2" t="str">
        <f t="shared" si="4"/>
        <v>MATCH</v>
      </c>
      <c r="O23" s="2" t="str">
        <f t="shared" si="5"/>
        <v>OK</v>
      </c>
      <c r="P23" s="2">
        <f t="shared" si="6"/>
        <v>0</v>
      </c>
      <c r="Q23" s="2" t="str">
        <f t="shared" si="7"/>
        <v>2025-11</v>
      </c>
      <c r="R23" s="3" t="s">
        <v>33</v>
      </c>
      <c r="S23" s="2">
        <f>IF(tblChecks[[#This Row],[AnyError]]="ERROR",1,0)</f>
        <v>0</v>
      </c>
      <c r="T23" s="2">
        <f>IF(tblChecks[[#This Row],[MissingStreet]]="MISSING",1,0)</f>
        <v>0</v>
      </c>
      <c r="U23" t="str">
        <f t="shared" si="0"/>
        <v>OK</v>
      </c>
    </row>
    <row r="24" spans="1:21" x14ac:dyDescent="0.3">
      <c r="A24" s="1" t="str">
        <f>CleanedData!F24</f>
        <v>PROP00023</v>
      </c>
      <c r="B24" s="2" t="str">
        <f>CleanedData!A24</f>
        <v>GermanyCologne</v>
      </c>
      <c r="C24" s="2" t="str">
        <f>CleanedData!D24</f>
        <v>Germany</v>
      </c>
      <c r="D24" s="2" t="str">
        <f>CleanedData!E24</f>
        <v>Cologne</v>
      </c>
      <c r="E24" s="2" t="str">
        <f>CleanedData!O24</f>
        <v>Cologne</v>
      </c>
      <c r="F24" s="2" t="str">
        <f>CleanedData!M24</f>
        <v/>
      </c>
      <c r="G24" s="2" t="str">
        <f>CleanedData!B24</f>
        <v>74842</v>
      </c>
      <c r="H24" s="2" t="str">
        <f>CleanedData!C24</f>
        <v>+65-946225910</v>
      </c>
      <c r="I24" s="2" t="str">
        <f>CleanedData!G24</f>
        <v>Active</v>
      </c>
      <c r="J24" s="14">
        <f>CleanedData!H24</f>
        <v>45742</v>
      </c>
      <c r="K24" s="2" t="str">
        <f t="shared" si="1"/>
        <v>MISSING</v>
      </c>
      <c r="L24" s="2" t="str">
        <f t="shared" si="2"/>
        <v>OK</v>
      </c>
      <c r="M24" s="2" t="str">
        <f t="shared" si="3"/>
        <v>OK</v>
      </c>
      <c r="N24" s="2" t="str">
        <f t="shared" si="4"/>
        <v>MATCH</v>
      </c>
      <c r="O24" s="2" t="str">
        <f t="shared" si="5"/>
        <v>ERROR</v>
      </c>
      <c r="P24" s="2">
        <f t="shared" si="6"/>
        <v>1</v>
      </c>
      <c r="Q24" s="2" t="str">
        <f t="shared" si="7"/>
        <v>2025-03</v>
      </c>
      <c r="R24" s="3" t="s">
        <v>16</v>
      </c>
      <c r="S24" s="2">
        <f>IF(tblChecks[[#This Row],[AnyError]]="ERROR",1,0)</f>
        <v>1</v>
      </c>
      <c r="T24" s="2">
        <f>IF(tblChecks[[#This Row],[MissingStreet]]="MISSING",1,0)</f>
        <v>1</v>
      </c>
      <c r="U24" t="str">
        <f t="shared" si="0"/>
        <v>MissingStreet</v>
      </c>
    </row>
    <row r="25" spans="1:21" x14ac:dyDescent="0.3">
      <c r="A25" s="1" t="str">
        <f>CleanedData!F25</f>
        <v>PROP00024</v>
      </c>
      <c r="B25" s="2" t="str">
        <f>CleanedData!A25</f>
        <v>ItalyFlorenceLewis Parks198</v>
      </c>
      <c r="C25" s="2" t="str">
        <f>CleanedData!D25</f>
        <v>Italy</v>
      </c>
      <c r="D25" s="2" t="str">
        <f>CleanedData!E25</f>
        <v>Florence</v>
      </c>
      <c r="E25" s="2" t="str">
        <f>CleanedData!O25</f>
        <v>Florence</v>
      </c>
      <c r="F25" s="2" t="str">
        <f>CleanedData!M25</f>
        <v>ItalyFlorenceLewis Parks198</v>
      </c>
      <c r="G25" s="2" t="str">
        <f>CleanedData!B25</f>
        <v>52357</v>
      </c>
      <c r="H25" s="2" t="str">
        <f>CleanedData!C25</f>
        <v>+69-262946533</v>
      </c>
      <c r="I25" s="2" t="str">
        <f>CleanedData!G25</f>
        <v>Inactive</v>
      </c>
      <c r="J25" s="14">
        <f>CleanedData!H25</f>
        <v>44943</v>
      </c>
      <c r="K25" s="2" t="str">
        <f t="shared" si="1"/>
        <v>OK</v>
      </c>
      <c r="L25" s="2" t="str">
        <f t="shared" si="2"/>
        <v>OK</v>
      </c>
      <c r="M25" s="2" t="str">
        <f t="shared" si="3"/>
        <v>OK</v>
      </c>
      <c r="N25" s="2" t="str">
        <f t="shared" si="4"/>
        <v>MATCH</v>
      </c>
      <c r="O25" s="2" t="str">
        <f t="shared" si="5"/>
        <v>OK</v>
      </c>
      <c r="P25" s="2">
        <f t="shared" si="6"/>
        <v>0</v>
      </c>
      <c r="Q25" s="2" t="str">
        <f t="shared" si="7"/>
        <v>2023-01</v>
      </c>
      <c r="R25" s="3" t="s">
        <v>23</v>
      </c>
      <c r="S25" s="2">
        <f>IF(tblChecks[[#This Row],[AnyError]]="ERROR",1,0)</f>
        <v>0</v>
      </c>
      <c r="T25" s="2">
        <f>IF(tblChecks[[#This Row],[MissingStreet]]="MISSING",1,0)</f>
        <v>0</v>
      </c>
      <c r="U25" t="str">
        <f t="shared" si="0"/>
        <v>OK</v>
      </c>
    </row>
    <row r="26" spans="1:21" x14ac:dyDescent="0.3">
      <c r="A26" s="1" t="str">
        <f>CleanedData!F26</f>
        <v>PROP00025</v>
      </c>
      <c r="B26" s="2" t="str">
        <f>CleanedData!A26</f>
        <v>Thomas Dam 63, France, Marseille</v>
      </c>
      <c r="C26" s="2" t="str">
        <f>CleanedData!D26</f>
        <v>France</v>
      </c>
      <c r="D26" s="2" t="str">
        <f>CleanedData!E26</f>
        <v>Marseille</v>
      </c>
      <c r="E26" s="2" t="str">
        <f>CleanedData!O26</f>
        <v>Marseille</v>
      </c>
      <c r="F26" s="2" t="str">
        <f>CleanedData!M26</f>
        <v>Thomas Dam 63</v>
      </c>
      <c r="G26" s="2" t="str">
        <f>CleanedData!B26</f>
        <v>32826</v>
      </c>
      <c r="H26" s="2" t="str">
        <f>CleanedData!C26</f>
        <v>+87-969160078</v>
      </c>
      <c r="I26" s="2" t="str">
        <f>CleanedData!G26</f>
        <v>Active</v>
      </c>
      <c r="J26" s="14">
        <f>CleanedData!H26</f>
        <v>45674</v>
      </c>
      <c r="K26" s="2" t="str">
        <f t="shared" si="1"/>
        <v>OK</v>
      </c>
      <c r="L26" s="2" t="str">
        <f t="shared" si="2"/>
        <v>OK</v>
      </c>
      <c r="M26" s="2" t="str">
        <f t="shared" si="3"/>
        <v>OK</v>
      </c>
      <c r="N26" s="2" t="str">
        <f t="shared" si="4"/>
        <v>MATCH</v>
      </c>
      <c r="O26" s="2" t="str">
        <f t="shared" si="5"/>
        <v>OK</v>
      </c>
      <c r="P26" s="2">
        <f t="shared" si="6"/>
        <v>0</v>
      </c>
      <c r="Q26" s="2" t="str">
        <f t="shared" si="7"/>
        <v>2025-01</v>
      </c>
      <c r="R26" s="3" t="s">
        <v>33</v>
      </c>
      <c r="S26" s="2">
        <f>IF(tblChecks[[#This Row],[AnyError]]="ERROR",1,0)</f>
        <v>0</v>
      </c>
      <c r="T26" s="2">
        <f>IF(tblChecks[[#This Row],[MissingStreet]]="MISSING",1,0)</f>
        <v>0</v>
      </c>
      <c r="U26" t="str">
        <f t="shared" si="0"/>
        <v>OK</v>
      </c>
    </row>
    <row r="27" spans="1:21" x14ac:dyDescent="0.3">
      <c r="A27" s="1" t="str">
        <f>CleanedData!F27</f>
        <v>PROP00026</v>
      </c>
      <c r="B27" s="2" t="str">
        <f>CleanedData!A27</f>
        <v>Burgess Meadow 171, Australia, Melbourne</v>
      </c>
      <c r="C27" s="2" t="str">
        <f>CleanedData!D27</f>
        <v>Australia</v>
      </c>
      <c r="D27" s="2" t="str">
        <f>CleanedData!E27</f>
        <v>Melbourne</v>
      </c>
      <c r="E27" s="2" t="str">
        <f>CleanedData!O27</f>
        <v>Melbourne</v>
      </c>
      <c r="F27" s="2" t="str">
        <f>CleanedData!M27</f>
        <v>Burgess Meadow 171</v>
      </c>
      <c r="G27" s="2" t="str">
        <f>CleanedData!B27</f>
        <v>76985</v>
      </c>
      <c r="H27" s="2" t="str">
        <f>CleanedData!C27</f>
        <v>+91-598066265</v>
      </c>
      <c r="I27" s="2" t="str">
        <f>CleanedData!G27</f>
        <v>Inactive</v>
      </c>
      <c r="J27" s="14">
        <f>CleanedData!H27</f>
        <v>45468</v>
      </c>
      <c r="K27" s="2" t="str">
        <f t="shared" si="1"/>
        <v>OK</v>
      </c>
      <c r="L27" s="2" t="str">
        <f t="shared" si="2"/>
        <v>OK</v>
      </c>
      <c r="M27" s="2" t="str">
        <f t="shared" si="3"/>
        <v>OK</v>
      </c>
      <c r="N27" s="2" t="str">
        <f t="shared" si="4"/>
        <v>MATCH</v>
      </c>
      <c r="O27" s="2" t="str">
        <f t="shared" si="5"/>
        <v>OK</v>
      </c>
      <c r="P27" s="2">
        <f t="shared" si="6"/>
        <v>0</v>
      </c>
      <c r="Q27" s="2" t="str">
        <f t="shared" si="7"/>
        <v>2024-06</v>
      </c>
      <c r="R27" s="3" t="s">
        <v>16</v>
      </c>
      <c r="S27" s="2">
        <f>IF(tblChecks[[#This Row],[AnyError]]="ERROR",1,0)</f>
        <v>0</v>
      </c>
      <c r="T27" s="2">
        <f>IF(tblChecks[[#This Row],[MissingStreet]]="MISSING",1,0)</f>
        <v>0</v>
      </c>
      <c r="U27" t="str">
        <f t="shared" si="0"/>
        <v>OK</v>
      </c>
    </row>
    <row r="28" spans="1:21" x14ac:dyDescent="0.3">
      <c r="A28" s="1" t="str">
        <f>CleanedData!F28</f>
        <v>PROP00027</v>
      </c>
      <c r="B28" s="2" t="str">
        <f>CleanedData!A28</f>
        <v>SydneyCox Dam230, Australia</v>
      </c>
      <c r="C28" s="2" t="str">
        <f>CleanedData!D28</f>
        <v>Australia</v>
      </c>
      <c r="D28" s="2" t="str">
        <f>CleanedData!E28</f>
        <v>Sydney</v>
      </c>
      <c r="E28" s="2" t="str">
        <f>CleanedData!O28</f>
        <v>Sydney</v>
      </c>
      <c r="F28" s="2" t="str">
        <f>CleanedData!M28</f>
        <v>SydneyCox Dam230</v>
      </c>
      <c r="G28" s="2" t="str">
        <f>CleanedData!B28</f>
        <v>67285</v>
      </c>
      <c r="H28" s="2" t="str">
        <f>CleanedData!C28</f>
        <v>+26-438045007</v>
      </c>
      <c r="I28" s="2" t="str">
        <f>CleanedData!G28</f>
        <v>Active</v>
      </c>
      <c r="J28" s="14">
        <f>CleanedData!H28</f>
        <v>45326</v>
      </c>
      <c r="K28" s="2" t="str">
        <f t="shared" si="1"/>
        <v>OK</v>
      </c>
      <c r="L28" s="2" t="str">
        <f t="shared" si="2"/>
        <v>OK</v>
      </c>
      <c r="M28" s="2" t="str">
        <f t="shared" si="3"/>
        <v>OK</v>
      </c>
      <c r="N28" s="2" t="str">
        <f t="shared" si="4"/>
        <v>MATCH</v>
      </c>
      <c r="O28" s="2" t="str">
        <f t="shared" si="5"/>
        <v>OK</v>
      </c>
      <c r="P28" s="2">
        <f t="shared" si="6"/>
        <v>0</v>
      </c>
      <c r="Q28" s="2" t="str">
        <f t="shared" si="7"/>
        <v>2024-02</v>
      </c>
      <c r="R28" s="3" t="s">
        <v>54</v>
      </c>
      <c r="S28" s="2">
        <f>IF(tblChecks[[#This Row],[AnyError]]="ERROR",1,0)</f>
        <v>0</v>
      </c>
      <c r="T28" s="2">
        <f>IF(tblChecks[[#This Row],[MissingStreet]]="MISSING",1,0)</f>
        <v>0</v>
      </c>
      <c r="U28" t="str">
        <f t="shared" si="0"/>
        <v>OK</v>
      </c>
    </row>
    <row r="29" spans="1:21" x14ac:dyDescent="0.3">
      <c r="A29" s="1" t="str">
        <f>CleanedData!F29</f>
        <v>PROP00028</v>
      </c>
      <c r="B29" s="2" t="str">
        <f>CleanedData!A29</f>
        <v>LeedsDavis Causeway293, UK</v>
      </c>
      <c r="C29" s="2" t="str">
        <f>CleanedData!D29</f>
        <v>UK</v>
      </c>
      <c r="D29" s="2" t="str">
        <f>CleanedData!E29</f>
        <v>Leeds</v>
      </c>
      <c r="E29" s="2" t="str">
        <f>CleanedData!O29</f>
        <v>Leeds</v>
      </c>
      <c r="F29" s="2" t="str">
        <f>CleanedData!M29</f>
        <v>LeedsDavis Causeway293</v>
      </c>
      <c r="G29" s="2" t="str">
        <f>CleanedData!B29</f>
        <v>14872</v>
      </c>
      <c r="H29" s="2" t="str">
        <f>CleanedData!C29</f>
        <v>+52-806505381</v>
      </c>
      <c r="I29" s="2" t="str">
        <f>CleanedData!G29</f>
        <v>Inactive</v>
      </c>
      <c r="J29" s="14">
        <f>CleanedData!H29</f>
        <v>45864</v>
      </c>
      <c r="K29" s="2" t="str">
        <f t="shared" si="1"/>
        <v>OK</v>
      </c>
      <c r="L29" s="2" t="str">
        <f t="shared" si="2"/>
        <v>OK</v>
      </c>
      <c r="M29" s="2" t="str">
        <f t="shared" si="3"/>
        <v>OK</v>
      </c>
      <c r="N29" s="2" t="str">
        <f t="shared" si="4"/>
        <v>MATCH</v>
      </c>
      <c r="O29" s="2" t="str">
        <f t="shared" si="5"/>
        <v>OK</v>
      </c>
      <c r="P29" s="2">
        <f t="shared" si="6"/>
        <v>0</v>
      </c>
      <c r="Q29" s="2" t="str">
        <f t="shared" si="7"/>
        <v>2025-07</v>
      </c>
      <c r="R29" s="3" t="s">
        <v>54</v>
      </c>
      <c r="S29" s="2">
        <f>IF(tblChecks[[#This Row],[AnyError]]="ERROR",1,0)</f>
        <v>0</v>
      </c>
      <c r="T29" s="2">
        <f>IF(tblChecks[[#This Row],[MissingStreet]]="MISSING",1,0)</f>
        <v>0</v>
      </c>
      <c r="U29" t="str">
        <f t="shared" si="0"/>
        <v>OK</v>
      </c>
    </row>
    <row r="30" spans="1:21" x14ac:dyDescent="0.3">
      <c r="A30" s="1" t="str">
        <f>CleanedData!F30</f>
        <v>PROP00029</v>
      </c>
      <c r="B30" s="2" t="str">
        <f>CleanedData!A30</f>
        <v>Courtney Turnpike165, Bordeaux, France</v>
      </c>
      <c r="C30" s="2" t="str">
        <f>CleanedData!D30</f>
        <v>France</v>
      </c>
      <c r="D30" s="2" t="str">
        <f>CleanedData!E30</f>
        <v>Bordeaux</v>
      </c>
      <c r="E30" s="2" t="str">
        <f>CleanedData!O30</f>
        <v>Bordeaux</v>
      </c>
      <c r="F30" s="2" t="str">
        <f>CleanedData!M30</f>
        <v>Courtney Turnpike165</v>
      </c>
      <c r="G30" s="2" t="str">
        <f>CleanedData!B30</f>
        <v>89693</v>
      </c>
      <c r="H30" s="2" t="str">
        <f>CleanedData!C30</f>
        <v>+61-184724290</v>
      </c>
      <c r="I30" s="2" t="str">
        <f>CleanedData!G30</f>
        <v>Active</v>
      </c>
      <c r="J30" s="14">
        <f>CleanedData!H30</f>
        <v>45767</v>
      </c>
      <c r="K30" s="2" t="str">
        <f t="shared" si="1"/>
        <v>OK</v>
      </c>
      <c r="L30" s="2" t="str">
        <f t="shared" si="2"/>
        <v>OK</v>
      </c>
      <c r="M30" s="2" t="str">
        <f t="shared" si="3"/>
        <v>OK</v>
      </c>
      <c r="N30" s="2" t="str">
        <f t="shared" si="4"/>
        <v>MATCH</v>
      </c>
      <c r="O30" s="2" t="str">
        <f t="shared" si="5"/>
        <v>OK</v>
      </c>
      <c r="P30" s="2">
        <f t="shared" si="6"/>
        <v>0</v>
      </c>
      <c r="Q30" s="2" t="str">
        <f t="shared" si="7"/>
        <v>2025-04</v>
      </c>
      <c r="R30" s="3" t="s">
        <v>39</v>
      </c>
      <c r="S30" s="2">
        <f>IF(tblChecks[[#This Row],[AnyError]]="ERROR",1,0)</f>
        <v>0</v>
      </c>
      <c r="T30" s="2">
        <f>IF(tblChecks[[#This Row],[MissingStreet]]="MISSING",1,0)</f>
        <v>0</v>
      </c>
      <c r="U30" t="str">
        <f t="shared" si="0"/>
        <v>OK</v>
      </c>
    </row>
    <row r="31" spans="1:21" x14ac:dyDescent="0.3">
      <c r="A31" s="1" t="str">
        <f>CleanedData!F31</f>
        <v>PROP00030</v>
      </c>
      <c r="B31" s="2" t="str">
        <f>CleanedData!A31</f>
        <v>Germany, Cologne</v>
      </c>
      <c r="C31" s="2" t="str">
        <f>CleanedData!D31</f>
        <v>Germany</v>
      </c>
      <c r="D31" s="2" t="str">
        <f>CleanedData!E31</f>
        <v>Cologne</v>
      </c>
      <c r="E31" s="2" t="str">
        <f>CleanedData!O31</f>
        <v>Cologne</v>
      </c>
      <c r="F31" s="2" t="str">
        <f>CleanedData!M31</f>
        <v>Cologne</v>
      </c>
      <c r="G31" s="2" t="str">
        <f>CleanedData!B31</f>
        <v>50520</v>
      </c>
      <c r="H31" s="2" t="str">
        <f>CleanedData!C31</f>
        <v>+84-507576334</v>
      </c>
      <c r="I31" s="2" t="str">
        <f>CleanedData!G31</f>
        <v>Inactive</v>
      </c>
      <c r="J31" s="14">
        <f>CleanedData!H31</f>
        <v>45909</v>
      </c>
      <c r="K31" s="2" t="str">
        <f t="shared" si="1"/>
        <v>OK</v>
      </c>
      <c r="L31" s="2" t="str">
        <f t="shared" si="2"/>
        <v>OK</v>
      </c>
      <c r="M31" s="2" t="str">
        <f t="shared" si="3"/>
        <v>OK</v>
      </c>
      <c r="N31" s="2" t="str">
        <f t="shared" si="4"/>
        <v>MATCH</v>
      </c>
      <c r="O31" s="2" t="str">
        <f t="shared" si="5"/>
        <v>OK</v>
      </c>
      <c r="P31" s="2">
        <f t="shared" si="6"/>
        <v>0</v>
      </c>
      <c r="Q31" s="2" t="str">
        <f t="shared" si="7"/>
        <v>2025-09</v>
      </c>
      <c r="R31" s="3" t="s">
        <v>33</v>
      </c>
      <c r="S31" s="2">
        <f>IF(tblChecks[[#This Row],[AnyError]]="ERROR",1,0)</f>
        <v>0</v>
      </c>
      <c r="T31" s="2">
        <f>IF(tblChecks[[#This Row],[MissingStreet]]="MISSING",1,0)</f>
        <v>0</v>
      </c>
      <c r="U31" t="str">
        <f t="shared" si="0"/>
        <v>OK</v>
      </c>
    </row>
    <row r="32" spans="1:21" x14ac:dyDescent="0.3">
      <c r="A32" s="1" t="str">
        <f>CleanedData!F32</f>
        <v>PROP00031</v>
      </c>
      <c r="B32" s="2" t="str">
        <f>CleanedData!A32</f>
        <v>Canada, Ottawa</v>
      </c>
      <c r="C32" s="2" t="str">
        <f>CleanedData!D32</f>
        <v>Canada</v>
      </c>
      <c r="D32" s="2" t="str">
        <f>CleanedData!E32</f>
        <v>Ottawa</v>
      </c>
      <c r="E32" s="2" t="str">
        <f>CleanedData!O32</f>
        <v>Ottawa</v>
      </c>
      <c r="F32" s="2" t="str">
        <f>CleanedData!M32</f>
        <v>Ottawa</v>
      </c>
      <c r="G32" s="2" t="str">
        <f>CleanedData!B32</f>
        <v>2005</v>
      </c>
      <c r="H32" s="2" t="str">
        <f>CleanedData!C32</f>
        <v>+13-132980297</v>
      </c>
      <c r="I32" s="2" t="str">
        <f>CleanedData!G32</f>
        <v>Inactive</v>
      </c>
      <c r="J32" s="14">
        <f>CleanedData!H32</f>
        <v>45201</v>
      </c>
      <c r="K32" s="2" t="str">
        <f t="shared" si="1"/>
        <v>OK</v>
      </c>
      <c r="L32" s="2" t="str">
        <f t="shared" si="2"/>
        <v>OK</v>
      </c>
      <c r="M32" s="2" t="str">
        <f t="shared" si="3"/>
        <v>OK</v>
      </c>
      <c r="N32" s="2" t="str">
        <f t="shared" si="4"/>
        <v>MATCH</v>
      </c>
      <c r="O32" s="2" t="str">
        <f t="shared" si="5"/>
        <v>OK</v>
      </c>
      <c r="P32" s="2">
        <f t="shared" si="6"/>
        <v>0</v>
      </c>
      <c r="Q32" s="2" t="str">
        <f t="shared" si="7"/>
        <v>2023-10</v>
      </c>
      <c r="R32" s="3" t="s">
        <v>39</v>
      </c>
      <c r="S32" s="2">
        <f>IF(tblChecks[[#This Row],[AnyError]]="ERROR",1,0)</f>
        <v>0</v>
      </c>
      <c r="T32" s="2">
        <f>IF(tblChecks[[#This Row],[MissingStreet]]="MISSING",1,0)</f>
        <v>0</v>
      </c>
      <c r="U32" t="str">
        <f t="shared" si="0"/>
        <v>OK</v>
      </c>
    </row>
    <row r="33" spans="1:21" x14ac:dyDescent="0.3">
      <c r="A33" s="1" t="str">
        <f>CleanedData!F33</f>
        <v>PROP00032</v>
      </c>
      <c r="B33" s="2" t="str">
        <f>CleanedData!A33</f>
        <v>UKBirmingham, UK</v>
      </c>
      <c r="C33" s="2" t="str">
        <f>CleanedData!D33</f>
        <v>UK</v>
      </c>
      <c r="D33" s="2" t="str">
        <f>CleanedData!E33</f>
        <v>Birmingham</v>
      </c>
      <c r="E33" s="2" t="str">
        <f>CleanedData!O33</f>
        <v>Birmingham</v>
      </c>
      <c r="F33" s="2" t="str">
        <f>CleanedData!M33</f>
        <v>UK</v>
      </c>
      <c r="G33" s="2" t="str">
        <f>CleanedData!B33</f>
        <v>98920</v>
      </c>
      <c r="H33" s="2" t="str">
        <f>CleanedData!C33</f>
        <v>+36-618266385</v>
      </c>
      <c r="I33" s="2" t="str">
        <f>CleanedData!G33</f>
        <v>Active</v>
      </c>
      <c r="J33" s="14">
        <f>CleanedData!H33</f>
        <v>45225</v>
      </c>
      <c r="K33" s="2" t="str">
        <f t="shared" si="1"/>
        <v>OK</v>
      </c>
      <c r="L33" s="2" t="str">
        <f t="shared" si="2"/>
        <v>OK</v>
      </c>
      <c r="M33" s="2" t="str">
        <f t="shared" si="3"/>
        <v>OK</v>
      </c>
      <c r="N33" s="2" t="str">
        <f t="shared" si="4"/>
        <v>MATCH</v>
      </c>
      <c r="O33" s="2" t="str">
        <f t="shared" si="5"/>
        <v>OK</v>
      </c>
      <c r="P33" s="2">
        <f t="shared" si="6"/>
        <v>0</v>
      </c>
      <c r="Q33" s="2" t="str">
        <f t="shared" si="7"/>
        <v>2023-10</v>
      </c>
      <c r="R33" s="3" t="s">
        <v>16</v>
      </c>
      <c r="S33" s="2">
        <f>IF(tblChecks[[#This Row],[AnyError]]="ERROR",1,0)</f>
        <v>0</v>
      </c>
      <c r="T33" s="2">
        <f>IF(tblChecks[[#This Row],[MissingStreet]]="MISSING",1,0)</f>
        <v>0</v>
      </c>
      <c r="U33" t="str">
        <f t="shared" si="0"/>
        <v>OK</v>
      </c>
    </row>
    <row r="34" spans="1:21" x14ac:dyDescent="0.3">
      <c r="A34" s="1" t="str">
        <f>CleanedData!F34</f>
        <v>PROP00033</v>
      </c>
      <c r="B34" s="2" t="str">
        <f>CleanedData!A34</f>
        <v>MunichMack Junctions229, Germany</v>
      </c>
      <c r="C34" s="2" t="str">
        <f>CleanedData!D34</f>
        <v>Germany</v>
      </c>
      <c r="D34" s="2" t="str">
        <f>CleanedData!E34</f>
        <v>Munich</v>
      </c>
      <c r="E34" s="2" t="str">
        <f>CleanedData!O34</f>
        <v>Munich</v>
      </c>
      <c r="F34" s="2" t="str">
        <f>CleanedData!M34</f>
        <v>MunichMack Junctions229</v>
      </c>
      <c r="G34" s="2" t="str">
        <f>CleanedData!B34</f>
        <v>15122</v>
      </c>
      <c r="H34" s="2" t="str">
        <f>CleanedData!C34</f>
        <v>+35-763070022</v>
      </c>
      <c r="I34" s="2" t="str">
        <f>CleanedData!G34</f>
        <v>Active</v>
      </c>
      <c r="J34" s="14">
        <f>CleanedData!H34</f>
        <v>45132</v>
      </c>
      <c r="K34" s="2" t="str">
        <f t="shared" si="1"/>
        <v>OK</v>
      </c>
      <c r="L34" s="2" t="str">
        <f t="shared" si="2"/>
        <v>OK</v>
      </c>
      <c r="M34" s="2" t="str">
        <f t="shared" si="3"/>
        <v>OK</v>
      </c>
      <c r="N34" s="2" t="str">
        <f t="shared" si="4"/>
        <v>MATCH</v>
      </c>
      <c r="O34" s="2" t="str">
        <f t="shared" si="5"/>
        <v>OK</v>
      </c>
      <c r="P34" s="2">
        <f t="shared" si="6"/>
        <v>0</v>
      </c>
      <c r="Q34" s="2" t="str">
        <f t="shared" si="7"/>
        <v>2023-07</v>
      </c>
      <c r="R34" s="3" t="s">
        <v>39</v>
      </c>
      <c r="S34" s="2">
        <f>IF(tblChecks[[#This Row],[AnyError]]="ERROR",1,0)</f>
        <v>0</v>
      </c>
      <c r="T34" s="2">
        <f>IF(tblChecks[[#This Row],[MissingStreet]]="MISSING",1,0)</f>
        <v>0</v>
      </c>
      <c r="U34" t="str">
        <f t="shared" si="0"/>
        <v>OK</v>
      </c>
    </row>
    <row r="35" spans="1:21" x14ac:dyDescent="0.3">
      <c r="A35" s="1" t="str">
        <f>CleanedData!F35</f>
        <v>PROP00034</v>
      </c>
      <c r="B35" s="2" t="str">
        <f>CleanedData!A35</f>
        <v>Graham Motorway 9, Rio de Janeiro</v>
      </c>
      <c r="C35" s="2" t="str">
        <f>CleanedData!D35</f>
        <v>Brazil</v>
      </c>
      <c r="D35" s="2" t="str">
        <f>CleanedData!E35</f>
        <v>Rio de Janeiro</v>
      </c>
      <c r="E35" s="2" t="str">
        <f>CleanedData!O35</f>
        <v>Rio de Janeiro</v>
      </c>
      <c r="F35" s="2" t="str">
        <f>CleanedData!M35</f>
        <v>Graham Motorway 9</v>
      </c>
      <c r="G35" s="2" t="str">
        <f>CleanedData!B35</f>
        <v>926</v>
      </c>
      <c r="H35" s="2" t="str">
        <f>CleanedData!C35</f>
        <v>+5-377335239</v>
      </c>
      <c r="I35" s="2" t="str">
        <f>CleanedData!G35</f>
        <v>Active</v>
      </c>
      <c r="J35" s="14">
        <f>CleanedData!H35</f>
        <v>45662</v>
      </c>
      <c r="K35" s="2" t="str">
        <f t="shared" si="1"/>
        <v>OK</v>
      </c>
      <c r="L35" s="2" t="str">
        <f t="shared" si="2"/>
        <v>OK</v>
      </c>
      <c r="M35" s="2" t="str">
        <f t="shared" si="3"/>
        <v>OK</v>
      </c>
      <c r="N35" s="2" t="str">
        <f t="shared" si="4"/>
        <v>MATCH</v>
      </c>
      <c r="O35" s="2" t="str">
        <f t="shared" si="5"/>
        <v>OK</v>
      </c>
      <c r="P35" s="2">
        <f t="shared" si="6"/>
        <v>0</v>
      </c>
      <c r="Q35" s="2" t="str">
        <f t="shared" si="7"/>
        <v>2025-01</v>
      </c>
      <c r="R35" s="3" t="s">
        <v>54</v>
      </c>
      <c r="S35" s="2">
        <f>IF(tblChecks[[#This Row],[AnyError]]="ERROR",1,0)</f>
        <v>0</v>
      </c>
      <c r="T35" s="2">
        <f>IF(tblChecks[[#This Row],[MissingStreet]]="MISSING",1,0)</f>
        <v>0</v>
      </c>
      <c r="U35" t="str">
        <f t="shared" si="0"/>
        <v>OK</v>
      </c>
    </row>
    <row r="36" spans="1:21" x14ac:dyDescent="0.3">
      <c r="A36" s="1" t="str">
        <f>CleanedData!F36</f>
        <v>PROP00035</v>
      </c>
      <c r="B36" s="2" t="str">
        <f>CleanedData!A36</f>
        <v>UK, Manchester, Stanton Track 112</v>
      </c>
      <c r="C36" s="2" t="str">
        <f>CleanedData!D36</f>
        <v>UK</v>
      </c>
      <c r="D36" s="2" t="str">
        <f>CleanedData!E36</f>
        <v>Manchester</v>
      </c>
      <c r="E36" s="2" t="str">
        <f>CleanedData!O36</f>
        <v>Manchester</v>
      </c>
      <c r="F36" s="2" t="str">
        <f>CleanedData!M36</f>
        <v>Stanton Track 112</v>
      </c>
      <c r="G36" s="2" t="str">
        <f>CleanedData!B36</f>
        <v>23917</v>
      </c>
      <c r="H36" s="2" t="str">
        <f>CleanedData!C36</f>
        <v>+82-366448994</v>
      </c>
      <c r="I36" s="2" t="str">
        <f>CleanedData!G36</f>
        <v>Active</v>
      </c>
      <c r="J36" s="14">
        <f>CleanedData!H36</f>
        <v>45181</v>
      </c>
      <c r="K36" s="2" t="str">
        <f t="shared" si="1"/>
        <v>OK</v>
      </c>
      <c r="L36" s="2" t="str">
        <f t="shared" si="2"/>
        <v>OK</v>
      </c>
      <c r="M36" s="2" t="str">
        <f t="shared" si="3"/>
        <v>OK</v>
      </c>
      <c r="N36" s="2" t="str">
        <f t="shared" si="4"/>
        <v>MATCH</v>
      </c>
      <c r="O36" s="2" t="str">
        <f t="shared" si="5"/>
        <v>OK</v>
      </c>
      <c r="P36" s="2">
        <f t="shared" si="6"/>
        <v>0</v>
      </c>
      <c r="Q36" s="2" t="str">
        <f t="shared" si="7"/>
        <v>2023-09</v>
      </c>
      <c r="R36" s="3" t="s">
        <v>54</v>
      </c>
      <c r="S36" s="2">
        <f>IF(tblChecks[[#This Row],[AnyError]]="ERROR",1,0)</f>
        <v>0</v>
      </c>
      <c r="T36" s="2">
        <f>IF(tblChecks[[#This Row],[MissingStreet]]="MISSING",1,0)</f>
        <v>0</v>
      </c>
      <c r="U36" t="str">
        <f t="shared" si="0"/>
        <v>OK</v>
      </c>
    </row>
    <row r="37" spans="1:21" x14ac:dyDescent="0.3">
      <c r="A37" s="1" t="str">
        <f>CleanedData!F37</f>
        <v>PROP00036</v>
      </c>
      <c r="B37" s="2" t="str">
        <f>CleanedData!A37</f>
        <v>Australia, Brisbane, Monica Hills 117</v>
      </c>
      <c r="C37" s="2" t="str">
        <f>CleanedData!D37</f>
        <v>Australia</v>
      </c>
      <c r="D37" s="2" t="str">
        <f>CleanedData!E37</f>
        <v>Brisbane</v>
      </c>
      <c r="E37" s="2" t="str">
        <f>CleanedData!O37</f>
        <v>Brisbane</v>
      </c>
      <c r="F37" s="2" t="str">
        <f>CleanedData!M37</f>
        <v>Monica Hills 117</v>
      </c>
      <c r="G37" s="2" t="str">
        <f>CleanedData!B37</f>
        <v>84249</v>
      </c>
      <c r="H37" s="2" t="str">
        <f>CleanedData!C37</f>
        <v>+8-137243090</v>
      </c>
      <c r="I37" s="2" t="str">
        <f>CleanedData!G37</f>
        <v>Active</v>
      </c>
      <c r="J37" s="14">
        <f>CleanedData!H37</f>
        <v>45219</v>
      </c>
      <c r="K37" s="2" t="str">
        <f t="shared" si="1"/>
        <v>OK</v>
      </c>
      <c r="L37" s="2" t="str">
        <f t="shared" si="2"/>
        <v>OK</v>
      </c>
      <c r="M37" s="2" t="str">
        <f t="shared" si="3"/>
        <v>OK</v>
      </c>
      <c r="N37" s="2" t="str">
        <f t="shared" si="4"/>
        <v>MATCH</v>
      </c>
      <c r="O37" s="2" t="str">
        <f t="shared" si="5"/>
        <v>OK</v>
      </c>
      <c r="P37" s="2">
        <f t="shared" si="6"/>
        <v>0</v>
      </c>
      <c r="Q37" s="2" t="str">
        <f t="shared" si="7"/>
        <v>2023-10</v>
      </c>
      <c r="R37" s="3" t="s">
        <v>39</v>
      </c>
      <c r="S37" s="2">
        <f>IF(tblChecks[[#This Row],[AnyError]]="ERROR",1,0)</f>
        <v>0</v>
      </c>
      <c r="T37" s="2">
        <f>IF(tblChecks[[#This Row],[MissingStreet]]="MISSING",1,0)</f>
        <v>0</v>
      </c>
      <c r="U37" t="str">
        <f t="shared" si="0"/>
        <v>OK</v>
      </c>
    </row>
    <row r="38" spans="1:21" x14ac:dyDescent="0.3">
      <c r="A38" s="1" t="str">
        <f>CleanedData!F38</f>
        <v>PROP00037</v>
      </c>
      <c r="B38" s="2" t="str">
        <f>CleanedData!A38</f>
        <v>France, Paris, Eric Track 273</v>
      </c>
      <c r="C38" s="2" t="str">
        <f>CleanedData!D38</f>
        <v>France</v>
      </c>
      <c r="D38" s="2" t="str">
        <f>CleanedData!E38</f>
        <v>Paris</v>
      </c>
      <c r="E38" s="2" t="str">
        <f>CleanedData!O38</f>
        <v>Paris</v>
      </c>
      <c r="F38" s="2" t="str">
        <f>CleanedData!M38</f>
        <v>Eric Track 273</v>
      </c>
      <c r="G38" s="2" t="str">
        <f>CleanedData!B38</f>
        <v>21675</v>
      </c>
      <c r="H38" s="2" t="str">
        <f>CleanedData!C38</f>
        <v>+7-834425624</v>
      </c>
      <c r="I38" s="2" t="str">
        <f>CleanedData!G38</f>
        <v>Inactive</v>
      </c>
      <c r="J38" s="14">
        <f>CleanedData!H38</f>
        <v>45643</v>
      </c>
      <c r="K38" s="2" t="str">
        <f t="shared" si="1"/>
        <v>OK</v>
      </c>
      <c r="L38" s="2" t="str">
        <f t="shared" si="2"/>
        <v>OK</v>
      </c>
      <c r="M38" s="2" t="str">
        <f t="shared" si="3"/>
        <v>OK</v>
      </c>
      <c r="N38" s="2" t="str">
        <f t="shared" si="4"/>
        <v>MATCH</v>
      </c>
      <c r="O38" s="2" t="str">
        <f t="shared" si="5"/>
        <v>OK</v>
      </c>
      <c r="P38" s="2">
        <f t="shared" si="6"/>
        <v>0</v>
      </c>
      <c r="Q38" s="2" t="str">
        <f t="shared" si="7"/>
        <v>2024-12</v>
      </c>
      <c r="R38" s="3" t="s">
        <v>23</v>
      </c>
      <c r="S38" s="2">
        <f>IF(tblChecks[[#This Row],[AnyError]]="ERROR",1,0)</f>
        <v>0</v>
      </c>
      <c r="T38" s="2">
        <f>IF(tblChecks[[#This Row],[MissingStreet]]="MISSING",1,0)</f>
        <v>0</v>
      </c>
      <c r="U38" t="str">
        <f t="shared" si="0"/>
        <v>OK</v>
      </c>
    </row>
    <row r="39" spans="1:21" x14ac:dyDescent="0.3">
      <c r="A39" s="1" t="str">
        <f>CleanedData!F39</f>
        <v>PROP00038</v>
      </c>
      <c r="B39" s="2" t="str">
        <f>CleanedData!A39</f>
        <v>SydneyCarol Overpass103, Australia</v>
      </c>
      <c r="C39" s="2" t="str">
        <f>CleanedData!D39</f>
        <v>Australia</v>
      </c>
      <c r="D39" s="2" t="str">
        <f>CleanedData!E39</f>
        <v>Sydney</v>
      </c>
      <c r="E39" s="2" t="str">
        <f>CleanedData!O39</f>
        <v>Sydney</v>
      </c>
      <c r="F39" s="2" t="str">
        <f>CleanedData!M39</f>
        <v>SydneyCarol Overpass103</v>
      </c>
      <c r="G39" s="2" t="str">
        <f>CleanedData!B39</f>
        <v>3053</v>
      </c>
      <c r="H39" s="2" t="str">
        <f>CleanedData!C39</f>
        <v>+54-303640140</v>
      </c>
      <c r="I39" s="2" t="str">
        <f>CleanedData!G39</f>
        <v>Inactive</v>
      </c>
      <c r="J39" s="14">
        <f>CleanedData!H39</f>
        <v>45939</v>
      </c>
      <c r="K39" s="2" t="str">
        <f t="shared" si="1"/>
        <v>OK</v>
      </c>
      <c r="L39" s="2" t="str">
        <f t="shared" si="2"/>
        <v>OK</v>
      </c>
      <c r="M39" s="2" t="str">
        <f t="shared" si="3"/>
        <v>OK</v>
      </c>
      <c r="N39" s="2" t="str">
        <f t="shared" si="4"/>
        <v>MATCH</v>
      </c>
      <c r="O39" s="2" t="str">
        <f t="shared" si="5"/>
        <v>OK</v>
      </c>
      <c r="P39" s="2">
        <f t="shared" si="6"/>
        <v>0</v>
      </c>
      <c r="Q39" s="2" t="str">
        <f t="shared" si="7"/>
        <v>2025-10</v>
      </c>
      <c r="R39" s="3" t="s">
        <v>54</v>
      </c>
      <c r="S39" s="2">
        <f>IF(tblChecks[[#This Row],[AnyError]]="ERROR",1,0)</f>
        <v>0</v>
      </c>
      <c r="T39" s="2">
        <f>IF(tblChecks[[#This Row],[MissingStreet]]="MISSING",1,0)</f>
        <v>0</v>
      </c>
      <c r="U39" t="str">
        <f t="shared" si="0"/>
        <v>OK</v>
      </c>
    </row>
    <row r="40" spans="1:21" x14ac:dyDescent="0.3">
      <c r="A40" s="1" t="str">
        <f>CleanedData!F40</f>
        <v>PROP00039</v>
      </c>
      <c r="B40" s="2" t="str">
        <f>CleanedData!A40</f>
        <v>SapporoSarah Wells54, Japan</v>
      </c>
      <c r="C40" s="2" t="str">
        <f>CleanedData!D40</f>
        <v>Japan</v>
      </c>
      <c r="D40" s="2" t="str">
        <f>CleanedData!E40</f>
        <v>Sapporo</v>
      </c>
      <c r="E40" s="2" t="str">
        <f>CleanedData!O40</f>
        <v>Sapporo</v>
      </c>
      <c r="F40" s="2" t="str">
        <f>CleanedData!M40</f>
        <v>SapporoSarah Wells54</v>
      </c>
      <c r="G40" s="2" t="str">
        <f>CleanedData!B40</f>
        <v>40807</v>
      </c>
      <c r="H40" s="2" t="str">
        <f>CleanedData!C40</f>
        <v>+15-618313077</v>
      </c>
      <c r="I40" s="2" t="str">
        <f>CleanedData!G40</f>
        <v>Inactive</v>
      </c>
      <c r="J40" s="14">
        <f>CleanedData!H40</f>
        <v>45339</v>
      </c>
      <c r="K40" s="2" t="str">
        <f t="shared" si="1"/>
        <v>OK</v>
      </c>
      <c r="L40" s="2" t="str">
        <f t="shared" si="2"/>
        <v>OK</v>
      </c>
      <c r="M40" s="2" t="str">
        <f t="shared" si="3"/>
        <v>OK</v>
      </c>
      <c r="N40" s="2" t="str">
        <f t="shared" si="4"/>
        <v>MATCH</v>
      </c>
      <c r="O40" s="2" t="str">
        <f t="shared" si="5"/>
        <v>OK</v>
      </c>
      <c r="P40" s="2">
        <f t="shared" si="6"/>
        <v>0</v>
      </c>
      <c r="Q40" s="2" t="str">
        <f t="shared" si="7"/>
        <v>2024-02</v>
      </c>
      <c r="R40" s="3" t="s">
        <v>16</v>
      </c>
      <c r="S40" s="2">
        <f>IF(tblChecks[[#This Row],[AnyError]]="ERROR",1,0)</f>
        <v>0</v>
      </c>
      <c r="T40" s="2">
        <f>IF(tblChecks[[#This Row],[MissingStreet]]="MISSING",1,0)</f>
        <v>0</v>
      </c>
      <c r="U40" t="str">
        <f t="shared" si="0"/>
        <v>OK</v>
      </c>
    </row>
    <row r="41" spans="1:21" x14ac:dyDescent="0.3">
      <c r="A41" s="1" t="str">
        <f>CleanedData!F41</f>
        <v>PROP00040</v>
      </c>
      <c r="B41" s="2" t="str">
        <f>CleanedData!A41</f>
        <v>Brian Wells1, Cologne, Germany</v>
      </c>
      <c r="C41" s="2" t="str">
        <f>CleanedData!D41</f>
        <v>Germany</v>
      </c>
      <c r="D41" s="2" t="str">
        <f>CleanedData!E41</f>
        <v>Cologne</v>
      </c>
      <c r="E41" s="2" t="str">
        <f>CleanedData!O41</f>
        <v>Cologne</v>
      </c>
      <c r="F41" s="2" t="str">
        <f>CleanedData!M41</f>
        <v>Brian Wells1</v>
      </c>
      <c r="G41" s="2" t="str">
        <f>CleanedData!B41</f>
        <v>74865</v>
      </c>
      <c r="H41" s="2" t="str">
        <f>CleanedData!C41</f>
        <v>+88-717877765</v>
      </c>
      <c r="I41" s="2" t="str">
        <f>CleanedData!G41</f>
        <v>Active</v>
      </c>
      <c r="J41" s="14">
        <f>CleanedData!H41</f>
        <v>45503</v>
      </c>
      <c r="K41" s="2" t="str">
        <f t="shared" si="1"/>
        <v>OK</v>
      </c>
      <c r="L41" s="2" t="str">
        <f t="shared" si="2"/>
        <v>OK</v>
      </c>
      <c r="M41" s="2" t="str">
        <f t="shared" si="3"/>
        <v>OK</v>
      </c>
      <c r="N41" s="2" t="str">
        <f t="shared" si="4"/>
        <v>MATCH</v>
      </c>
      <c r="O41" s="2" t="str">
        <f t="shared" si="5"/>
        <v>OK</v>
      </c>
      <c r="P41" s="2">
        <f t="shared" si="6"/>
        <v>0</v>
      </c>
      <c r="Q41" s="2" t="str">
        <f t="shared" si="7"/>
        <v>2024-07</v>
      </c>
      <c r="R41" s="3" t="s">
        <v>39</v>
      </c>
      <c r="S41" s="2">
        <f>IF(tblChecks[[#This Row],[AnyError]]="ERROR",1,0)</f>
        <v>0</v>
      </c>
      <c r="T41" s="2">
        <f>IF(tblChecks[[#This Row],[MissingStreet]]="MISSING",1,0)</f>
        <v>0</v>
      </c>
      <c r="U41" t="str">
        <f t="shared" si="0"/>
        <v>OK</v>
      </c>
    </row>
    <row r="42" spans="1:21" x14ac:dyDescent="0.3">
      <c r="A42" s="1" t="str">
        <f>CleanedData!F42</f>
        <v>PROP00041</v>
      </c>
      <c r="B42" s="2" t="str">
        <f>CleanedData!A42</f>
        <v>Christopher Oval 268, Germany, Hamburg</v>
      </c>
      <c r="C42" s="2" t="str">
        <f>CleanedData!D42</f>
        <v>Germany</v>
      </c>
      <c r="D42" s="2" t="str">
        <f>CleanedData!E42</f>
        <v>Hamburg</v>
      </c>
      <c r="E42" s="2" t="str">
        <f>CleanedData!O42</f>
        <v>Hamburg</v>
      </c>
      <c r="F42" s="2" t="str">
        <f>CleanedData!M42</f>
        <v>Christopher Oval 268</v>
      </c>
      <c r="G42" s="2" t="str">
        <f>CleanedData!B42</f>
        <v>9572</v>
      </c>
      <c r="H42" s="2" t="str">
        <f>CleanedData!C42</f>
        <v>+41-674271263</v>
      </c>
      <c r="I42" s="2" t="str">
        <f>CleanedData!G42</f>
        <v>Inactive</v>
      </c>
      <c r="J42" s="14">
        <f>CleanedData!H42</f>
        <v>45028</v>
      </c>
      <c r="K42" s="2" t="str">
        <f t="shared" si="1"/>
        <v>OK</v>
      </c>
      <c r="L42" s="2" t="str">
        <f t="shared" si="2"/>
        <v>OK</v>
      </c>
      <c r="M42" s="2" t="str">
        <f t="shared" si="3"/>
        <v>OK</v>
      </c>
      <c r="N42" s="2" t="str">
        <f t="shared" si="4"/>
        <v>MATCH</v>
      </c>
      <c r="O42" s="2" t="str">
        <f t="shared" si="5"/>
        <v>OK</v>
      </c>
      <c r="P42" s="2">
        <f t="shared" si="6"/>
        <v>0</v>
      </c>
      <c r="Q42" s="2" t="str">
        <f t="shared" si="7"/>
        <v>2023-04</v>
      </c>
      <c r="R42" s="3" t="s">
        <v>33</v>
      </c>
      <c r="S42" s="2">
        <f>IF(tblChecks[[#This Row],[AnyError]]="ERROR",1,0)</f>
        <v>0</v>
      </c>
      <c r="T42" s="2">
        <f>IF(tblChecks[[#This Row],[MissingStreet]]="MISSING",1,0)</f>
        <v>0</v>
      </c>
      <c r="U42" t="str">
        <f t="shared" si="0"/>
        <v>OK</v>
      </c>
    </row>
    <row r="43" spans="1:21" x14ac:dyDescent="0.3">
      <c r="A43" s="1" t="str">
        <f>CleanedData!F43</f>
        <v>PROP00042</v>
      </c>
      <c r="B43" s="2" t="str">
        <f>CleanedData!A43</f>
        <v>FranceToulouse, France</v>
      </c>
      <c r="C43" s="2" t="str">
        <f>CleanedData!D43</f>
        <v>France</v>
      </c>
      <c r="D43" s="2" t="str">
        <f>CleanedData!E43</f>
        <v>Toulouse</v>
      </c>
      <c r="E43" s="2" t="str">
        <f>CleanedData!O43</f>
        <v>Toulouse</v>
      </c>
      <c r="F43" s="2" t="str">
        <f>CleanedData!M43</f>
        <v>France</v>
      </c>
      <c r="G43" s="2" t="str">
        <f>CleanedData!B43</f>
        <v>72564</v>
      </c>
      <c r="H43" s="2" t="str">
        <f>CleanedData!C43</f>
        <v>+11-495234164</v>
      </c>
      <c r="I43" s="2" t="str">
        <f>CleanedData!G43</f>
        <v>Inactive</v>
      </c>
      <c r="J43" s="14">
        <f>CleanedData!H43</f>
        <v>45067</v>
      </c>
      <c r="K43" s="2" t="str">
        <f t="shared" si="1"/>
        <v>OK</v>
      </c>
      <c r="L43" s="2" t="str">
        <f t="shared" si="2"/>
        <v>OK</v>
      </c>
      <c r="M43" s="2" t="str">
        <f t="shared" si="3"/>
        <v>OK</v>
      </c>
      <c r="N43" s="2" t="str">
        <f t="shared" si="4"/>
        <v>MATCH</v>
      </c>
      <c r="O43" s="2" t="str">
        <f t="shared" si="5"/>
        <v>OK</v>
      </c>
      <c r="P43" s="2">
        <f t="shared" si="6"/>
        <v>0</v>
      </c>
      <c r="Q43" s="2" t="str">
        <f t="shared" si="7"/>
        <v>2023-05</v>
      </c>
      <c r="R43" s="3" t="s">
        <v>33</v>
      </c>
      <c r="S43" s="2">
        <f>IF(tblChecks[[#This Row],[AnyError]]="ERROR",1,0)</f>
        <v>0</v>
      </c>
      <c r="T43" s="2">
        <f>IF(tblChecks[[#This Row],[MissingStreet]]="MISSING",1,0)</f>
        <v>0</v>
      </c>
      <c r="U43" t="str">
        <f t="shared" si="0"/>
        <v>OK</v>
      </c>
    </row>
    <row r="44" spans="1:21" x14ac:dyDescent="0.3">
      <c r="A44" s="1" t="str">
        <f>CleanedData!F44</f>
        <v>PROP00043</v>
      </c>
      <c r="B44" s="2" t="str">
        <f>CleanedData!A44</f>
        <v>Joseph Well 117, Salvador</v>
      </c>
      <c r="C44" s="2" t="str">
        <f>CleanedData!D44</f>
        <v>Brazil</v>
      </c>
      <c r="D44" s="2" t="str">
        <f>CleanedData!E44</f>
        <v>Salvador</v>
      </c>
      <c r="E44" s="2" t="str">
        <f>CleanedData!O44</f>
        <v>Salvador</v>
      </c>
      <c r="F44" s="2" t="str">
        <f>CleanedData!M44</f>
        <v>Joseph Well 117</v>
      </c>
      <c r="G44" s="2" t="str">
        <f>CleanedData!B44</f>
        <v>80008</v>
      </c>
      <c r="H44" s="2" t="str">
        <f>CleanedData!C44</f>
        <v>+97-188042154</v>
      </c>
      <c r="I44" s="2" t="str">
        <f>CleanedData!G44</f>
        <v>Inactive</v>
      </c>
      <c r="J44" s="14">
        <f>CleanedData!H44</f>
        <v>45464</v>
      </c>
      <c r="K44" s="2" t="str">
        <f t="shared" si="1"/>
        <v>OK</v>
      </c>
      <c r="L44" s="2" t="str">
        <f t="shared" si="2"/>
        <v>OK</v>
      </c>
      <c r="M44" s="2" t="str">
        <f t="shared" si="3"/>
        <v>OK</v>
      </c>
      <c r="N44" s="2" t="str">
        <f t="shared" si="4"/>
        <v>MATCH</v>
      </c>
      <c r="O44" s="2" t="str">
        <f t="shared" si="5"/>
        <v>OK</v>
      </c>
      <c r="P44" s="2">
        <f t="shared" si="6"/>
        <v>0</v>
      </c>
      <c r="Q44" s="2" t="str">
        <f t="shared" si="7"/>
        <v>2024-06</v>
      </c>
      <c r="R44" s="3" t="s">
        <v>33</v>
      </c>
      <c r="S44" s="2">
        <f>IF(tblChecks[[#This Row],[AnyError]]="ERROR",1,0)</f>
        <v>0</v>
      </c>
      <c r="T44" s="2">
        <f>IF(tblChecks[[#This Row],[MissingStreet]]="MISSING",1,0)</f>
        <v>0</v>
      </c>
      <c r="U44" t="str">
        <f t="shared" si="0"/>
        <v>OK</v>
      </c>
    </row>
    <row r="45" spans="1:21" x14ac:dyDescent="0.3">
      <c r="A45" s="1" t="str">
        <f>CleanedData!F45</f>
        <v>PROP00044</v>
      </c>
      <c r="B45" s="2" t="str">
        <f>CleanedData!A45</f>
        <v>Brandt Plains 73, Japan, Osaka</v>
      </c>
      <c r="C45" s="2" t="str">
        <f>CleanedData!D45</f>
        <v>Japan</v>
      </c>
      <c r="D45" s="2" t="str">
        <f>CleanedData!E45</f>
        <v>Osaka</v>
      </c>
      <c r="E45" s="2" t="str">
        <f>CleanedData!O45</f>
        <v>Osaka</v>
      </c>
      <c r="F45" s="2" t="str">
        <f>CleanedData!M45</f>
        <v>Brandt Plains 73</v>
      </c>
      <c r="G45" s="2" t="str">
        <f>CleanedData!B45</f>
        <v>99495</v>
      </c>
      <c r="H45" s="2" t="str">
        <f>CleanedData!C45</f>
        <v>+56-127164941</v>
      </c>
      <c r="I45" s="2" t="str">
        <f>CleanedData!G45</f>
        <v>Active</v>
      </c>
      <c r="J45" s="14">
        <f>CleanedData!H45</f>
        <v>45741</v>
      </c>
      <c r="K45" s="2" t="str">
        <f t="shared" si="1"/>
        <v>OK</v>
      </c>
      <c r="L45" s="2" t="str">
        <f t="shared" si="2"/>
        <v>OK</v>
      </c>
      <c r="M45" s="2" t="str">
        <f t="shared" si="3"/>
        <v>OK</v>
      </c>
      <c r="N45" s="2" t="str">
        <f t="shared" si="4"/>
        <v>MATCH</v>
      </c>
      <c r="O45" s="2" t="str">
        <f t="shared" si="5"/>
        <v>OK</v>
      </c>
      <c r="P45" s="2">
        <f t="shared" si="6"/>
        <v>0</v>
      </c>
      <c r="Q45" s="2" t="str">
        <f t="shared" si="7"/>
        <v>2025-03</v>
      </c>
      <c r="R45" s="3" t="s">
        <v>23</v>
      </c>
      <c r="S45" s="2">
        <f>IF(tblChecks[[#This Row],[AnyError]]="ERROR",1,0)</f>
        <v>0</v>
      </c>
      <c r="T45" s="2">
        <f>IF(tblChecks[[#This Row],[MissingStreet]]="MISSING",1,0)</f>
        <v>0</v>
      </c>
      <c r="U45" t="str">
        <f t="shared" si="0"/>
        <v>OK</v>
      </c>
    </row>
    <row r="46" spans="1:21" x14ac:dyDescent="0.3">
      <c r="A46" s="1" t="str">
        <f>CleanedData!F46</f>
        <v>PROP00045</v>
      </c>
      <c r="B46" s="2" t="str">
        <f>CleanedData!A46</f>
        <v>JapanOsaka</v>
      </c>
      <c r="C46" s="2" t="str">
        <f>CleanedData!D46</f>
        <v>Japan</v>
      </c>
      <c r="D46" s="2" t="str">
        <f>CleanedData!E46</f>
        <v>Osaka</v>
      </c>
      <c r="E46" s="2" t="str">
        <f>CleanedData!O46</f>
        <v>Osaka</v>
      </c>
      <c r="F46" s="2" t="str">
        <f>CleanedData!M46</f>
        <v/>
      </c>
      <c r="G46" s="2" t="str">
        <f>CleanedData!B46</f>
        <v>88540</v>
      </c>
      <c r="H46" s="2" t="str">
        <f>CleanedData!C46</f>
        <v>+56-410716797</v>
      </c>
      <c r="I46" s="2" t="str">
        <f>CleanedData!G46</f>
        <v>Inactive</v>
      </c>
      <c r="J46" s="14">
        <f>CleanedData!H46</f>
        <v>45257</v>
      </c>
      <c r="K46" s="2" t="str">
        <f t="shared" si="1"/>
        <v>MISSING</v>
      </c>
      <c r="L46" s="2" t="str">
        <f t="shared" si="2"/>
        <v>OK</v>
      </c>
      <c r="M46" s="2" t="str">
        <f t="shared" si="3"/>
        <v>OK</v>
      </c>
      <c r="N46" s="2" t="str">
        <f t="shared" si="4"/>
        <v>MATCH</v>
      </c>
      <c r="O46" s="2" t="str">
        <f t="shared" si="5"/>
        <v>ERROR</v>
      </c>
      <c r="P46" s="2">
        <f t="shared" si="6"/>
        <v>1</v>
      </c>
      <c r="Q46" s="2" t="str">
        <f t="shared" si="7"/>
        <v>2023-11</v>
      </c>
      <c r="R46" s="3" t="s">
        <v>39</v>
      </c>
      <c r="S46" s="2">
        <f>IF(tblChecks[[#This Row],[AnyError]]="ERROR",1,0)</f>
        <v>1</v>
      </c>
      <c r="T46" s="2">
        <f>IF(tblChecks[[#This Row],[MissingStreet]]="MISSING",1,0)</f>
        <v>1</v>
      </c>
      <c r="U46" t="str">
        <f t="shared" si="0"/>
        <v>MissingStreet</v>
      </c>
    </row>
    <row r="47" spans="1:21" x14ac:dyDescent="0.3">
      <c r="A47" s="1" t="str">
        <f>CleanedData!F47</f>
        <v>PROP00046</v>
      </c>
      <c r="B47" s="2" t="str">
        <f>CleanedData!A47</f>
        <v>AustraliaAdelaideKim Path237</v>
      </c>
      <c r="C47" s="2" t="str">
        <f>CleanedData!D47</f>
        <v>Australia</v>
      </c>
      <c r="D47" s="2" t="str">
        <f>CleanedData!E47</f>
        <v>Adelaide</v>
      </c>
      <c r="E47" s="2" t="str">
        <f>CleanedData!O47</f>
        <v>Adelaide</v>
      </c>
      <c r="F47" s="2" t="str">
        <f>CleanedData!M47</f>
        <v>AustraliaAdelaideKim Path237</v>
      </c>
      <c r="G47" s="2" t="str">
        <f>CleanedData!B47</f>
        <v>59678</v>
      </c>
      <c r="H47" s="2" t="str">
        <f>CleanedData!C47</f>
        <v>+95-122092046</v>
      </c>
      <c r="I47" s="2" t="str">
        <f>CleanedData!G47</f>
        <v>Active</v>
      </c>
      <c r="J47" s="14">
        <f>CleanedData!H47</f>
        <v>45751</v>
      </c>
      <c r="K47" s="2" t="str">
        <f t="shared" si="1"/>
        <v>OK</v>
      </c>
      <c r="L47" s="2" t="str">
        <f t="shared" si="2"/>
        <v>OK</v>
      </c>
      <c r="M47" s="2" t="str">
        <f t="shared" si="3"/>
        <v>OK</v>
      </c>
      <c r="N47" s="2" t="str">
        <f t="shared" si="4"/>
        <v>MATCH</v>
      </c>
      <c r="O47" s="2" t="str">
        <f t="shared" si="5"/>
        <v>OK</v>
      </c>
      <c r="P47" s="2">
        <f t="shared" si="6"/>
        <v>0</v>
      </c>
      <c r="Q47" s="2" t="str">
        <f t="shared" si="7"/>
        <v>2025-04</v>
      </c>
      <c r="R47" s="3" t="s">
        <v>54</v>
      </c>
      <c r="S47" s="2">
        <f>IF(tblChecks[[#This Row],[AnyError]]="ERROR",1,0)</f>
        <v>0</v>
      </c>
      <c r="T47" s="2">
        <f>IF(tblChecks[[#This Row],[MissingStreet]]="MISSING",1,0)</f>
        <v>0</v>
      </c>
      <c r="U47" t="str">
        <f t="shared" si="0"/>
        <v>OK</v>
      </c>
    </row>
    <row r="48" spans="1:21" x14ac:dyDescent="0.3">
      <c r="A48" s="1" t="str">
        <f>CleanedData!F48</f>
        <v>PROP00047</v>
      </c>
      <c r="B48" s="2" t="str">
        <f>CleanedData!A48</f>
        <v>John Circles101, Turin, Italy</v>
      </c>
      <c r="C48" s="2" t="str">
        <f>CleanedData!D48</f>
        <v>Italy</v>
      </c>
      <c r="D48" s="2" t="str">
        <f>CleanedData!E48</f>
        <v>Turin</v>
      </c>
      <c r="E48" s="2" t="str">
        <f>CleanedData!O48</f>
        <v>Turin</v>
      </c>
      <c r="F48" s="2" t="str">
        <f>CleanedData!M48</f>
        <v>John Circles101</v>
      </c>
      <c r="G48" s="2" t="str">
        <f>CleanedData!B48</f>
        <v>44814</v>
      </c>
      <c r="H48" s="2" t="str">
        <f>CleanedData!C48</f>
        <v>+19-387273819</v>
      </c>
      <c r="I48" s="2" t="str">
        <f>CleanedData!G48</f>
        <v>Inactive</v>
      </c>
      <c r="J48" s="14">
        <f>CleanedData!H48</f>
        <v>45278</v>
      </c>
      <c r="K48" s="2" t="str">
        <f t="shared" si="1"/>
        <v>OK</v>
      </c>
      <c r="L48" s="2" t="str">
        <f t="shared" si="2"/>
        <v>OK</v>
      </c>
      <c r="M48" s="2" t="str">
        <f t="shared" si="3"/>
        <v>OK</v>
      </c>
      <c r="N48" s="2" t="str">
        <f t="shared" si="4"/>
        <v>MATCH</v>
      </c>
      <c r="O48" s="2" t="str">
        <f t="shared" si="5"/>
        <v>OK</v>
      </c>
      <c r="P48" s="2">
        <f t="shared" si="6"/>
        <v>0</v>
      </c>
      <c r="Q48" s="2" t="str">
        <f t="shared" si="7"/>
        <v>2023-12</v>
      </c>
      <c r="R48" s="3" t="s">
        <v>39</v>
      </c>
      <c r="S48" s="2">
        <f>IF(tblChecks[[#This Row],[AnyError]]="ERROR",1,0)</f>
        <v>0</v>
      </c>
      <c r="T48" s="2">
        <f>IF(tblChecks[[#This Row],[MissingStreet]]="MISSING",1,0)</f>
        <v>0</v>
      </c>
      <c r="U48" t="str">
        <f t="shared" si="0"/>
        <v>OK</v>
      </c>
    </row>
    <row r="49" spans="1:21" x14ac:dyDescent="0.3">
      <c r="A49" s="1" t="str">
        <f>CleanedData!F49</f>
        <v>PROP00048</v>
      </c>
      <c r="B49" s="2" t="str">
        <f>CleanedData!A49</f>
        <v>Brianna Forks 9, Brazil, Brasília</v>
      </c>
      <c r="C49" s="2" t="str">
        <f>CleanedData!D49</f>
        <v>Brazil</v>
      </c>
      <c r="D49" s="2" t="str">
        <f>CleanedData!E49</f>
        <v>Brasília</v>
      </c>
      <c r="E49" s="2" t="str">
        <f>CleanedData!O49</f>
        <v>Brasília</v>
      </c>
      <c r="F49" s="2" t="str">
        <f>CleanedData!M49</f>
        <v>Brianna Forks 9</v>
      </c>
      <c r="G49" s="2" t="str">
        <f>CleanedData!B49</f>
        <v>77629</v>
      </c>
      <c r="H49" s="2" t="str">
        <f>CleanedData!C49</f>
        <v>+62-899523499</v>
      </c>
      <c r="I49" s="2" t="str">
        <f>CleanedData!G49</f>
        <v>Inactive</v>
      </c>
      <c r="J49" s="14">
        <f>CleanedData!H49</f>
        <v>44894</v>
      </c>
      <c r="K49" s="2" t="str">
        <f t="shared" si="1"/>
        <v>OK</v>
      </c>
      <c r="L49" s="2" t="str">
        <f t="shared" si="2"/>
        <v>OK</v>
      </c>
      <c r="M49" s="2" t="str">
        <f t="shared" si="3"/>
        <v>OK</v>
      </c>
      <c r="N49" s="2" t="str">
        <f t="shared" si="4"/>
        <v>MATCH</v>
      </c>
      <c r="O49" s="2" t="str">
        <f t="shared" si="5"/>
        <v>OK</v>
      </c>
      <c r="P49" s="2">
        <f t="shared" si="6"/>
        <v>0</v>
      </c>
      <c r="Q49" s="2" t="str">
        <f t="shared" si="7"/>
        <v>2022-11</v>
      </c>
      <c r="R49" s="3" t="s">
        <v>39</v>
      </c>
      <c r="S49" s="2">
        <f>IF(tblChecks[[#This Row],[AnyError]]="ERROR",1,0)</f>
        <v>0</v>
      </c>
      <c r="T49" s="2">
        <f>IF(tblChecks[[#This Row],[MissingStreet]]="MISSING",1,0)</f>
        <v>0</v>
      </c>
      <c r="U49" t="str">
        <f t="shared" si="0"/>
        <v>OK</v>
      </c>
    </row>
    <row r="50" spans="1:21" x14ac:dyDescent="0.3">
      <c r="A50" s="1" t="str">
        <f>CleanedData!F50</f>
        <v>PROP00049</v>
      </c>
      <c r="B50" s="2" t="str">
        <f>CleanedData!A50</f>
        <v>Japan, Osaka, Adrian Station 145</v>
      </c>
      <c r="C50" s="2" t="str">
        <f>CleanedData!D50</f>
        <v>Japan</v>
      </c>
      <c r="D50" s="2" t="str">
        <f>CleanedData!E50</f>
        <v>Osaka</v>
      </c>
      <c r="E50" s="2" t="str">
        <f>CleanedData!O50</f>
        <v>Osaka</v>
      </c>
      <c r="F50" s="2" t="str">
        <f>CleanedData!M50</f>
        <v>Adrian Station 145</v>
      </c>
      <c r="G50" s="2" t="str">
        <f>CleanedData!B50</f>
        <v>83220</v>
      </c>
      <c r="H50" s="2" t="str">
        <f>CleanedData!C50</f>
        <v>+67-672353502</v>
      </c>
      <c r="I50" s="2" t="str">
        <f>CleanedData!G50</f>
        <v>Active</v>
      </c>
      <c r="J50" s="14">
        <f>CleanedData!H50</f>
        <v>45785</v>
      </c>
      <c r="K50" s="2" t="str">
        <f t="shared" si="1"/>
        <v>OK</v>
      </c>
      <c r="L50" s="2" t="str">
        <f t="shared" si="2"/>
        <v>OK</v>
      </c>
      <c r="M50" s="2" t="str">
        <f t="shared" si="3"/>
        <v>OK</v>
      </c>
      <c r="N50" s="2" t="str">
        <f t="shared" si="4"/>
        <v>MATCH</v>
      </c>
      <c r="O50" s="2" t="str">
        <f t="shared" si="5"/>
        <v>OK</v>
      </c>
      <c r="P50" s="2">
        <f t="shared" si="6"/>
        <v>0</v>
      </c>
      <c r="Q50" s="2" t="str">
        <f t="shared" si="7"/>
        <v>2025-05</v>
      </c>
      <c r="R50" s="3" t="s">
        <v>33</v>
      </c>
      <c r="S50" s="2">
        <f>IF(tblChecks[[#This Row],[AnyError]]="ERROR",1,0)</f>
        <v>0</v>
      </c>
      <c r="T50" s="2">
        <f>IF(tblChecks[[#This Row],[MissingStreet]]="MISSING",1,0)</f>
        <v>0</v>
      </c>
      <c r="U50" t="str">
        <f t="shared" si="0"/>
        <v>OK</v>
      </c>
    </row>
    <row r="51" spans="1:21" x14ac:dyDescent="0.3">
      <c r="A51" s="1" t="str">
        <f>CleanedData!F51</f>
        <v>PROP00050</v>
      </c>
      <c r="B51" s="2" t="str">
        <f>CleanedData!A51</f>
        <v>Jeremy Bypass 39, Australia, Sydney</v>
      </c>
      <c r="C51" s="2" t="str">
        <f>CleanedData!D51</f>
        <v>Australia</v>
      </c>
      <c r="D51" s="2" t="str">
        <f>CleanedData!E51</f>
        <v>Sydney</v>
      </c>
      <c r="E51" s="2" t="str">
        <f>CleanedData!O51</f>
        <v>Sydney</v>
      </c>
      <c r="F51" s="2" t="str">
        <f>CleanedData!M51</f>
        <v>Jeremy Bypass 39</v>
      </c>
      <c r="G51" s="2" t="str">
        <f>CleanedData!B51</f>
        <v>43810</v>
      </c>
      <c r="H51" s="2" t="str">
        <f>CleanedData!C51</f>
        <v>+88-308900942</v>
      </c>
      <c r="I51" s="2" t="str">
        <f>CleanedData!G51</f>
        <v>Inactive</v>
      </c>
      <c r="J51" s="14">
        <f>CleanedData!H51</f>
        <v>45959</v>
      </c>
      <c r="K51" s="2" t="str">
        <f t="shared" si="1"/>
        <v>OK</v>
      </c>
      <c r="L51" s="2" t="str">
        <f t="shared" si="2"/>
        <v>OK</v>
      </c>
      <c r="M51" s="2" t="str">
        <f t="shared" si="3"/>
        <v>OK</v>
      </c>
      <c r="N51" s="2" t="str">
        <f t="shared" si="4"/>
        <v>MATCH</v>
      </c>
      <c r="O51" s="2" t="str">
        <f t="shared" si="5"/>
        <v>OK</v>
      </c>
      <c r="P51" s="2">
        <f t="shared" si="6"/>
        <v>0</v>
      </c>
      <c r="Q51" s="2" t="str">
        <f t="shared" si="7"/>
        <v>2025-10</v>
      </c>
      <c r="R51" s="3" t="s">
        <v>33</v>
      </c>
      <c r="S51" s="2">
        <f>IF(tblChecks[[#This Row],[AnyError]]="ERROR",1,0)</f>
        <v>0</v>
      </c>
      <c r="T51" s="2">
        <f>IF(tblChecks[[#This Row],[MissingStreet]]="MISSING",1,0)</f>
        <v>0</v>
      </c>
      <c r="U51" t="str">
        <f t="shared" si="0"/>
        <v>OK</v>
      </c>
    </row>
    <row r="52" spans="1:21" x14ac:dyDescent="0.3">
      <c r="A52" s="1" t="str">
        <f>CleanedData!F52</f>
        <v>PROP00051</v>
      </c>
      <c r="B52" s="2" t="str">
        <f>CleanedData!A52</f>
        <v>GermanyCologneWillie Harbors52</v>
      </c>
      <c r="C52" s="2" t="str">
        <f>CleanedData!D52</f>
        <v>Germany</v>
      </c>
      <c r="D52" s="2" t="str">
        <f>CleanedData!E52</f>
        <v>Cologne</v>
      </c>
      <c r="E52" s="2" t="str">
        <f>CleanedData!O52</f>
        <v>Cologne</v>
      </c>
      <c r="F52" s="2" t="str">
        <f>CleanedData!M52</f>
        <v>GermanyCologneWillie Harbors52</v>
      </c>
      <c r="G52" s="2" t="str">
        <f>CleanedData!B52</f>
        <v>88185</v>
      </c>
      <c r="H52" s="2" t="str">
        <f>CleanedData!C52</f>
        <v>+80-988550237</v>
      </c>
      <c r="I52" s="2" t="str">
        <f>CleanedData!G52</f>
        <v>Inactive</v>
      </c>
      <c r="J52" s="14">
        <f>CleanedData!H52</f>
        <v>45007</v>
      </c>
      <c r="K52" s="2" t="str">
        <f t="shared" si="1"/>
        <v>OK</v>
      </c>
      <c r="L52" s="2" t="str">
        <f t="shared" si="2"/>
        <v>OK</v>
      </c>
      <c r="M52" s="2" t="str">
        <f t="shared" si="3"/>
        <v>OK</v>
      </c>
      <c r="N52" s="2" t="str">
        <f t="shared" si="4"/>
        <v>MATCH</v>
      </c>
      <c r="O52" s="2" t="str">
        <f t="shared" si="5"/>
        <v>OK</v>
      </c>
      <c r="P52" s="2">
        <f t="shared" si="6"/>
        <v>0</v>
      </c>
      <c r="Q52" s="2" t="str">
        <f t="shared" si="7"/>
        <v>2023-03</v>
      </c>
      <c r="R52" s="3" t="s">
        <v>16</v>
      </c>
      <c r="S52" s="2">
        <f>IF(tblChecks[[#This Row],[AnyError]]="ERROR",1,0)</f>
        <v>0</v>
      </c>
      <c r="T52" s="2">
        <f>IF(tblChecks[[#This Row],[MissingStreet]]="MISSING",1,0)</f>
        <v>0</v>
      </c>
      <c r="U52" t="str">
        <f t="shared" si="0"/>
        <v>OK</v>
      </c>
    </row>
    <row r="53" spans="1:21" x14ac:dyDescent="0.3">
      <c r="A53" s="1" t="str">
        <f>CleanedData!F53</f>
        <v>PROP00052</v>
      </c>
      <c r="B53" s="2" t="str">
        <f>CleanedData!A53</f>
        <v>ItalyRome, Italy</v>
      </c>
      <c r="C53" s="2" t="str">
        <f>CleanedData!D53</f>
        <v>Italy</v>
      </c>
      <c r="D53" s="2" t="str">
        <f>CleanedData!E53</f>
        <v>Rome</v>
      </c>
      <c r="E53" s="2" t="str">
        <f>CleanedData!O53</f>
        <v>Rome</v>
      </c>
      <c r="F53" s="2" t="str">
        <f>CleanedData!M53</f>
        <v>Italy</v>
      </c>
      <c r="G53" s="2" t="str">
        <f>CleanedData!B53</f>
        <v>95312</v>
      </c>
      <c r="H53" s="2" t="str">
        <f>CleanedData!C53</f>
        <v>+15-682304192</v>
      </c>
      <c r="I53" s="2" t="str">
        <f>CleanedData!G53</f>
        <v>Active</v>
      </c>
      <c r="J53" s="14">
        <f>CleanedData!H53</f>
        <v>45439</v>
      </c>
      <c r="K53" s="2" t="str">
        <f t="shared" si="1"/>
        <v>OK</v>
      </c>
      <c r="L53" s="2" t="str">
        <f t="shared" si="2"/>
        <v>OK</v>
      </c>
      <c r="M53" s="2" t="str">
        <f t="shared" si="3"/>
        <v>OK</v>
      </c>
      <c r="N53" s="2" t="str">
        <f t="shared" si="4"/>
        <v>MATCH</v>
      </c>
      <c r="O53" s="2" t="str">
        <f t="shared" si="5"/>
        <v>OK</v>
      </c>
      <c r="P53" s="2">
        <f t="shared" si="6"/>
        <v>0</v>
      </c>
      <c r="Q53" s="2" t="str">
        <f t="shared" si="7"/>
        <v>2024-05</v>
      </c>
      <c r="R53" s="3" t="s">
        <v>33</v>
      </c>
      <c r="S53" s="2">
        <f>IF(tblChecks[[#This Row],[AnyError]]="ERROR",1,0)</f>
        <v>0</v>
      </c>
      <c r="T53" s="2">
        <f>IF(tblChecks[[#This Row],[MissingStreet]]="MISSING",1,0)</f>
        <v>0</v>
      </c>
      <c r="U53" t="str">
        <f t="shared" si="0"/>
        <v>OK</v>
      </c>
    </row>
    <row r="54" spans="1:21" x14ac:dyDescent="0.3">
      <c r="A54" s="1" t="str">
        <f>CleanedData!F54</f>
        <v>PROP00053</v>
      </c>
      <c r="B54" s="2" t="str">
        <f>CleanedData!A54</f>
        <v>Brazil, Salvador, Sanchez Mountains 24</v>
      </c>
      <c r="C54" s="2" t="str">
        <f>CleanedData!D54</f>
        <v>Brazil</v>
      </c>
      <c r="D54" s="2" t="str">
        <f>CleanedData!E54</f>
        <v>Salvador</v>
      </c>
      <c r="E54" s="2" t="str">
        <f>CleanedData!O54</f>
        <v>Salvador</v>
      </c>
      <c r="F54" s="2" t="str">
        <f>CleanedData!M54</f>
        <v>Sanchez Mountains 24</v>
      </c>
      <c r="G54" s="2" t="str">
        <f>CleanedData!B54</f>
        <v>53855</v>
      </c>
      <c r="H54" s="2" t="str">
        <f>CleanedData!C54</f>
        <v>+73-780711687</v>
      </c>
      <c r="I54" s="2" t="str">
        <f>CleanedData!G54</f>
        <v>Inactive</v>
      </c>
      <c r="J54" s="14">
        <f>CleanedData!H54</f>
        <v>45238</v>
      </c>
      <c r="K54" s="2" t="str">
        <f t="shared" si="1"/>
        <v>OK</v>
      </c>
      <c r="L54" s="2" t="str">
        <f t="shared" si="2"/>
        <v>OK</v>
      </c>
      <c r="M54" s="2" t="str">
        <f t="shared" si="3"/>
        <v>OK</v>
      </c>
      <c r="N54" s="2" t="str">
        <f t="shared" si="4"/>
        <v>MATCH</v>
      </c>
      <c r="O54" s="2" t="str">
        <f t="shared" si="5"/>
        <v>OK</v>
      </c>
      <c r="P54" s="2">
        <f t="shared" si="6"/>
        <v>0</v>
      </c>
      <c r="Q54" s="2" t="str">
        <f t="shared" si="7"/>
        <v>2023-11</v>
      </c>
      <c r="R54" s="3" t="s">
        <v>16</v>
      </c>
      <c r="S54" s="2">
        <f>IF(tblChecks[[#This Row],[AnyError]]="ERROR",1,0)</f>
        <v>0</v>
      </c>
      <c r="T54" s="2">
        <f>IF(tblChecks[[#This Row],[MissingStreet]]="MISSING",1,0)</f>
        <v>0</v>
      </c>
      <c r="U54" t="str">
        <f t="shared" si="0"/>
        <v>OK</v>
      </c>
    </row>
    <row r="55" spans="1:21" x14ac:dyDescent="0.3">
      <c r="A55" s="1" t="str">
        <f>CleanedData!F55</f>
        <v>PROP00054</v>
      </c>
      <c r="B55" s="2" t="str">
        <f>CleanedData!A55</f>
        <v>SpainMadrid</v>
      </c>
      <c r="C55" s="2" t="str">
        <f>CleanedData!D55</f>
        <v>Spain</v>
      </c>
      <c r="D55" s="2" t="str">
        <f>CleanedData!E55</f>
        <v>Madrid</v>
      </c>
      <c r="E55" s="2" t="str">
        <f>CleanedData!O55</f>
        <v>Madrid</v>
      </c>
      <c r="F55" s="2" t="str">
        <f>CleanedData!M55</f>
        <v/>
      </c>
      <c r="G55" s="2" t="str">
        <f>CleanedData!B55</f>
        <v>56999</v>
      </c>
      <c r="H55" s="2" t="str">
        <f>CleanedData!C55</f>
        <v>+59-479803995</v>
      </c>
      <c r="I55" s="2" t="str">
        <f>CleanedData!G55</f>
        <v>Active</v>
      </c>
      <c r="J55" s="14">
        <f>CleanedData!H55</f>
        <v>45680</v>
      </c>
      <c r="K55" s="2" t="str">
        <f t="shared" si="1"/>
        <v>MISSING</v>
      </c>
      <c r="L55" s="2" t="str">
        <f t="shared" si="2"/>
        <v>OK</v>
      </c>
      <c r="M55" s="2" t="str">
        <f t="shared" si="3"/>
        <v>OK</v>
      </c>
      <c r="N55" s="2" t="str">
        <f t="shared" si="4"/>
        <v>MATCH</v>
      </c>
      <c r="O55" s="2" t="str">
        <f t="shared" si="5"/>
        <v>ERROR</v>
      </c>
      <c r="P55" s="2">
        <f t="shared" si="6"/>
        <v>1</v>
      </c>
      <c r="Q55" s="2" t="str">
        <f t="shared" si="7"/>
        <v>2025-01</v>
      </c>
      <c r="R55" s="3" t="s">
        <v>33</v>
      </c>
      <c r="S55" s="2">
        <f>IF(tblChecks[[#This Row],[AnyError]]="ERROR",1,0)</f>
        <v>1</v>
      </c>
      <c r="T55" s="2">
        <f>IF(tblChecks[[#This Row],[MissingStreet]]="MISSING",1,0)</f>
        <v>1</v>
      </c>
      <c r="U55" t="str">
        <f t="shared" si="0"/>
        <v>MissingStreet</v>
      </c>
    </row>
    <row r="56" spans="1:21" x14ac:dyDescent="0.3">
      <c r="A56" s="1" t="str">
        <f>CleanedData!F56</f>
        <v>PROP00055</v>
      </c>
      <c r="B56" s="2" t="str">
        <f>CleanedData!A56</f>
        <v>Henderson Mountain 121, USA, Los Angeles</v>
      </c>
      <c r="C56" s="2" t="str">
        <f>CleanedData!D56</f>
        <v>USA</v>
      </c>
      <c r="D56" s="2" t="str">
        <f>CleanedData!E56</f>
        <v>Los Angeles</v>
      </c>
      <c r="E56" s="2" t="str">
        <f>CleanedData!O56</f>
        <v>Los Angeles</v>
      </c>
      <c r="F56" s="2" t="str">
        <f>CleanedData!M56</f>
        <v>Henderson Mountain 121</v>
      </c>
      <c r="G56" s="2" t="str">
        <f>CleanedData!B56</f>
        <v>96062</v>
      </c>
      <c r="H56" s="2" t="str">
        <f>CleanedData!C56</f>
        <v>+34-334321119</v>
      </c>
      <c r="I56" s="2" t="str">
        <f>CleanedData!G56</f>
        <v>Active</v>
      </c>
      <c r="J56" s="14">
        <f>CleanedData!H56</f>
        <v>45817</v>
      </c>
      <c r="K56" s="2" t="str">
        <f t="shared" si="1"/>
        <v>OK</v>
      </c>
      <c r="L56" s="2" t="str">
        <f t="shared" si="2"/>
        <v>OK</v>
      </c>
      <c r="M56" s="2" t="str">
        <f t="shared" si="3"/>
        <v>OK</v>
      </c>
      <c r="N56" s="2" t="str">
        <f t="shared" si="4"/>
        <v>MATCH</v>
      </c>
      <c r="O56" s="2" t="str">
        <f t="shared" si="5"/>
        <v>OK</v>
      </c>
      <c r="P56" s="2">
        <f t="shared" si="6"/>
        <v>0</v>
      </c>
      <c r="Q56" s="2" t="str">
        <f t="shared" si="7"/>
        <v>2025-06</v>
      </c>
      <c r="R56" s="3" t="s">
        <v>16</v>
      </c>
      <c r="S56" s="2">
        <f>IF(tblChecks[[#This Row],[AnyError]]="ERROR",1,0)</f>
        <v>0</v>
      </c>
      <c r="T56" s="2">
        <f>IF(tblChecks[[#This Row],[MissingStreet]]="MISSING",1,0)</f>
        <v>0</v>
      </c>
      <c r="U56" t="str">
        <f t="shared" si="0"/>
        <v>OK</v>
      </c>
    </row>
    <row r="57" spans="1:21" x14ac:dyDescent="0.3">
      <c r="A57" s="1" t="str">
        <f>CleanedData!F57</f>
        <v>PROP00056</v>
      </c>
      <c r="B57" s="2" t="str">
        <f>CleanedData!A57</f>
        <v>Emily Rue 280, Liverpool</v>
      </c>
      <c r="C57" s="2" t="str">
        <f>CleanedData!D57</f>
        <v>UK</v>
      </c>
      <c r="D57" s="2" t="str">
        <f>CleanedData!E57</f>
        <v>Liverpool</v>
      </c>
      <c r="E57" s="2" t="str">
        <f>CleanedData!O57</f>
        <v>Liverpool</v>
      </c>
      <c r="F57" s="2" t="str">
        <f>CleanedData!M57</f>
        <v>Emily Rue 280</v>
      </c>
      <c r="G57" s="2" t="str">
        <f>CleanedData!B57</f>
        <v>13400</v>
      </c>
      <c r="H57" s="2" t="str">
        <f>CleanedData!C57</f>
        <v>+9-449353772</v>
      </c>
      <c r="I57" s="2" t="str">
        <f>CleanedData!G57</f>
        <v>Inactive</v>
      </c>
      <c r="J57" s="14">
        <f>CleanedData!H57</f>
        <v>45055</v>
      </c>
      <c r="K57" s="2" t="str">
        <f t="shared" si="1"/>
        <v>OK</v>
      </c>
      <c r="L57" s="2" t="str">
        <f t="shared" si="2"/>
        <v>OK</v>
      </c>
      <c r="M57" s="2" t="str">
        <f t="shared" si="3"/>
        <v>OK</v>
      </c>
      <c r="N57" s="2" t="str">
        <f t="shared" si="4"/>
        <v>MATCH</v>
      </c>
      <c r="O57" s="2" t="str">
        <f t="shared" si="5"/>
        <v>OK</v>
      </c>
      <c r="P57" s="2">
        <f t="shared" si="6"/>
        <v>0</v>
      </c>
      <c r="Q57" s="2" t="str">
        <f t="shared" si="7"/>
        <v>2023-05</v>
      </c>
      <c r="R57" s="3" t="s">
        <v>16</v>
      </c>
      <c r="S57" s="2">
        <f>IF(tblChecks[[#This Row],[AnyError]]="ERROR",1,0)</f>
        <v>0</v>
      </c>
      <c r="T57" s="2">
        <f>IF(tblChecks[[#This Row],[MissingStreet]]="MISSING",1,0)</f>
        <v>0</v>
      </c>
      <c r="U57" t="str">
        <f t="shared" si="0"/>
        <v>OK</v>
      </c>
    </row>
    <row r="58" spans="1:21" x14ac:dyDescent="0.3">
      <c r="A58" s="1" t="str">
        <f>CleanedData!F58</f>
        <v>PROP00057</v>
      </c>
      <c r="B58" s="2" t="str">
        <f>CleanedData!A58</f>
        <v>Italy, Naples, Richard Junction 168</v>
      </c>
      <c r="C58" s="2" t="str">
        <f>CleanedData!D58</f>
        <v>Italy</v>
      </c>
      <c r="D58" s="2" t="str">
        <f>CleanedData!E58</f>
        <v>Naples</v>
      </c>
      <c r="E58" s="2" t="str">
        <f>CleanedData!O58</f>
        <v>Naples</v>
      </c>
      <c r="F58" s="2" t="str">
        <f>CleanedData!M58</f>
        <v>Richard Junction 168</v>
      </c>
      <c r="G58" s="2" t="str">
        <f>CleanedData!B58</f>
        <v>14823</v>
      </c>
      <c r="H58" s="2" t="str">
        <f>CleanedData!C58</f>
        <v>+19-149280558</v>
      </c>
      <c r="I58" s="2" t="str">
        <f>CleanedData!G58</f>
        <v>Active</v>
      </c>
      <c r="J58" s="14">
        <f>CleanedData!H58</f>
        <v>45535</v>
      </c>
      <c r="K58" s="2" t="str">
        <f t="shared" si="1"/>
        <v>OK</v>
      </c>
      <c r="L58" s="2" t="str">
        <f t="shared" si="2"/>
        <v>OK</v>
      </c>
      <c r="M58" s="2" t="str">
        <f t="shared" si="3"/>
        <v>OK</v>
      </c>
      <c r="N58" s="2" t="str">
        <f t="shared" si="4"/>
        <v>MATCH</v>
      </c>
      <c r="O58" s="2" t="str">
        <f t="shared" si="5"/>
        <v>OK</v>
      </c>
      <c r="P58" s="2">
        <f t="shared" si="6"/>
        <v>0</v>
      </c>
      <c r="Q58" s="2" t="str">
        <f t="shared" si="7"/>
        <v>2024-08</v>
      </c>
      <c r="R58" s="3" t="s">
        <v>39</v>
      </c>
      <c r="S58" s="2">
        <f>IF(tblChecks[[#This Row],[AnyError]]="ERROR",1,0)</f>
        <v>0</v>
      </c>
      <c r="T58" s="2">
        <f>IF(tblChecks[[#This Row],[MissingStreet]]="MISSING",1,0)</f>
        <v>0</v>
      </c>
      <c r="U58" t="str">
        <f t="shared" si="0"/>
        <v>OK</v>
      </c>
    </row>
    <row r="59" spans="1:21" x14ac:dyDescent="0.3">
      <c r="A59" s="1" t="str">
        <f>CleanedData!F59</f>
        <v>PROP00058</v>
      </c>
      <c r="B59" s="2" t="str">
        <f>CleanedData!A59</f>
        <v>James Plain175, Munich, Germany</v>
      </c>
      <c r="C59" s="2" t="str">
        <f>CleanedData!D59</f>
        <v>Germany</v>
      </c>
      <c r="D59" s="2" t="str">
        <f>CleanedData!E59</f>
        <v>Munich</v>
      </c>
      <c r="E59" s="2" t="str">
        <f>CleanedData!O59</f>
        <v>Munich</v>
      </c>
      <c r="F59" s="2" t="str">
        <f>CleanedData!M59</f>
        <v>James Plain175</v>
      </c>
      <c r="G59" s="2" t="str">
        <f>CleanedData!B59</f>
        <v>59301</v>
      </c>
      <c r="H59" s="2" t="str">
        <f>CleanedData!C59</f>
        <v>+36-371993988</v>
      </c>
      <c r="I59" s="2" t="str">
        <f>CleanedData!G59</f>
        <v>Active</v>
      </c>
      <c r="J59" s="14">
        <f>CleanedData!H59</f>
        <v>45490</v>
      </c>
      <c r="K59" s="2" t="str">
        <f t="shared" si="1"/>
        <v>OK</v>
      </c>
      <c r="L59" s="2" t="str">
        <f t="shared" si="2"/>
        <v>OK</v>
      </c>
      <c r="M59" s="2" t="str">
        <f t="shared" si="3"/>
        <v>OK</v>
      </c>
      <c r="N59" s="2" t="str">
        <f t="shared" si="4"/>
        <v>MATCH</v>
      </c>
      <c r="O59" s="2" t="str">
        <f t="shared" si="5"/>
        <v>OK</v>
      </c>
      <c r="P59" s="2">
        <f t="shared" si="6"/>
        <v>0</v>
      </c>
      <c r="Q59" s="2" t="str">
        <f t="shared" si="7"/>
        <v>2024-07</v>
      </c>
      <c r="R59" s="3" t="s">
        <v>39</v>
      </c>
      <c r="S59" s="2">
        <f>IF(tblChecks[[#This Row],[AnyError]]="ERROR",1,0)</f>
        <v>0</v>
      </c>
      <c r="T59" s="2">
        <f>IF(tblChecks[[#This Row],[MissingStreet]]="MISSING",1,0)</f>
        <v>0</v>
      </c>
      <c r="U59" t="str">
        <f t="shared" si="0"/>
        <v>OK</v>
      </c>
    </row>
    <row r="60" spans="1:21" x14ac:dyDescent="0.3">
      <c r="A60" s="1" t="str">
        <f>CleanedData!F60</f>
        <v>PROP00059</v>
      </c>
      <c r="B60" s="2" t="str">
        <f>CleanedData!A60</f>
        <v>LondonRobert Harbors170, UK</v>
      </c>
      <c r="C60" s="2" t="str">
        <f>CleanedData!D60</f>
        <v>UK</v>
      </c>
      <c r="D60" s="2" t="str">
        <f>CleanedData!E60</f>
        <v>London</v>
      </c>
      <c r="E60" s="2" t="str">
        <f>CleanedData!O60</f>
        <v>London</v>
      </c>
      <c r="F60" s="2" t="str">
        <f>CleanedData!M60</f>
        <v>LondonRobert Harbors170</v>
      </c>
      <c r="G60" s="2" t="str">
        <f>CleanedData!B60</f>
        <v>61138</v>
      </c>
      <c r="H60" s="2" t="str">
        <f>CleanedData!C60</f>
        <v>+83-257012393</v>
      </c>
      <c r="I60" s="2" t="str">
        <f>CleanedData!G60</f>
        <v>Inactive</v>
      </c>
      <c r="J60" s="14">
        <f>CleanedData!H60</f>
        <v>45027</v>
      </c>
      <c r="K60" s="2" t="str">
        <f t="shared" si="1"/>
        <v>OK</v>
      </c>
      <c r="L60" s="2" t="str">
        <f t="shared" si="2"/>
        <v>OK</v>
      </c>
      <c r="M60" s="2" t="str">
        <f t="shared" si="3"/>
        <v>OK</v>
      </c>
      <c r="N60" s="2" t="str">
        <f t="shared" si="4"/>
        <v>MATCH</v>
      </c>
      <c r="O60" s="2" t="str">
        <f t="shared" si="5"/>
        <v>OK</v>
      </c>
      <c r="P60" s="2">
        <f t="shared" si="6"/>
        <v>0</v>
      </c>
      <c r="Q60" s="2" t="str">
        <f t="shared" si="7"/>
        <v>2023-04</v>
      </c>
      <c r="R60" s="3" t="s">
        <v>54</v>
      </c>
      <c r="S60" s="2">
        <f>IF(tblChecks[[#This Row],[AnyError]]="ERROR",1,0)</f>
        <v>0</v>
      </c>
      <c r="T60" s="2">
        <f>IF(tblChecks[[#This Row],[MissingStreet]]="MISSING",1,0)</f>
        <v>0</v>
      </c>
      <c r="U60" t="str">
        <f t="shared" si="0"/>
        <v>OK</v>
      </c>
    </row>
    <row r="61" spans="1:21" x14ac:dyDescent="0.3">
      <c r="A61" s="1" t="str">
        <f>CleanedData!F61</f>
        <v>PROP00060</v>
      </c>
      <c r="B61" s="2" t="str">
        <f>CleanedData!A61</f>
        <v>Brisbane, Nancy Club 162, Australia</v>
      </c>
      <c r="C61" s="2" t="str">
        <f>CleanedData!D61</f>
        <v>Australia</v>
      </c>
      <c r="D61" s="2" t="str">
        <f>CleanedData!E61</f>
        <v>Brisbane</v>
      </c>
      <c r="E61" s="2" t="str">
        <f>CleanedData!O61</f>
        <v>Brisbane</v>
      </c>
      <c r="F61" s="2" t="str">
        <f>CleanedData!M61</f>
        <v>Nancy Club 162</v>
      </c>
      <c r="G61" s="2" t="str">
        <f>CleanedData!B61</f>
        <v>58583</v>
      </c>
      <c r="H61" s="2" t="str">
        <f>CleanedData!C61</f>
        <v>+62-461988150</v>
      </c>
      <c r="I61" s="2" t="str">
        <f>CleanedData!G61</f>
        <v>Active</v>
      </c>
      <c r="J61" s="14">
        <f>CleanedData!H61</f>
        <v>45183</v>
      </c>
      <c r="K61" s="2" t="str">
        <f t="shared" si="1"/>
        <v>OK</v>
      </c>
      <c r="L61" s="2" t="str">
        <f t="shared" si="2"/>
        <v>OK</v>
      </c>
      <c r="M61" s="2" t="str">
        <f t="shared" si="3"/>
        <v>OK</v>
      </c>
      <c r="N61" s="2" t="str">
        <f t="shared" si="4"/>
        <v>MATCH</v>
      </c>
      <c r="O61" s="2" t="str">
        <f t="shared" si="5"/>
        <v>OK</v>
      </c>
      <c r="P61" s="2">
        <f t="shared" si="6"/>
        <v>0</v>
      </c>
      <c r="Q61" s="2" t="str">
        <f t="shared" si="7"/>
        <v>2023-09</v>
      </c>
      <c r="R61" s="3" t="s">
        <v>39</v>
      </c>
      <c r="S61" s="2">
        <f>IF(tblChecks[[#This Row],[AnyError]]="ERROR",1,0)</f>
        <v>0</v>
      </c>
      <c r="T61" s="2">
        <f>IF(tblChecks[[#This Row],[MissingStreet]]="MISSING",1,0)</f>
        <v>0</v>
      </c>
      <c r="U61" t="str">
        <f t="shared" si="0"/>
        <v>OK</v>
      </c>
    </row>
    <row r="62" spans="1:21" x14ac:dyDescent="0.3">
      <c r="A62" s="1" t="str">
        <f>CleanedData!F62</f>
        <v>PROP00061</v>
      </c>
      <c r="B62" s="2" t="str">
        <f>CleanedData!A62</f>
        <v>Italy, Milan</v>
      </c>
      <c r="C62" s="2" t="str">
        <f>CleanedData!D62</f>
        <v>Italy</v>
      </c>
      <c r="D62" s="2" t="str">
        <f>CleanedData!E62</f>
        <v>Milan</v>
      </c>
      <c r="E62" s="2" t="str">
        <f>CleanedData!O62</f>
        <v>Milan</v>
      </c>
      <c r="F62" s="2" t="str">
        <f>CleanedData!M62</f>
        <v>Milan</v>
      </c>
      <c r="G62" s="2" t="str">
        <f>CleanedData!B62</f>
        <v>2435</v>
      </c>
      <c r="H62" s="2" t="str">
        <f>CleanedData!C62</f>
        <v>+56-645238025</v>
      </c>
      <c r="I62" s="2" t="str">
        <f>CleanedData!G62</f>
        <v>Active</v>
      </c>
      <c r="J62" s="14">
        <f>CleanedData!H62</f>
        <v>45858</v>
      </c>
      <c r="K62" s="2" t="str">
        <f t="shared" si="1"/>
        <v>OK</v>
      </c>
      <c r="L62" s="2" t="str">
        <f t="shared" si="2"/>
        <v>OK</v>
      </c>
      <c r="M62" s="2" t="str">
        <f t="shared" si="3"/>
        <v>OK</v>
      </c>
      <c r="N62" s="2" t="str">
        <f t="shared" si="4"/>
        <v>MATCH</v>
      </c>
      <c r="O62" s="2" t="str">
        <f t="shared" si="5"/>
        <v>OK</v>
      </c>
      <c r="P62" s="2">
        <f t="shared" si="6"/>
        <v>0</v>
      </c>
      <c r="Q62" s="2" t="str">
        <f t="shared" si="7"/>
        <v>2025-07</v>
      </c>
      <c r="R62" s="3" t="s">
        <v>54</v>
      </c>
      <c r="S62" s="2">
        <f>IF(tblChecks[[#This Row],[AnyError]]="ERROR",1,0)</f>
        <v>0</v>
      </c>
      <c r="T62" s="2">
        <f>IF(tblChecks[[#This Row],[MissingStreet]]="MISSING",1,0)</f>
        <v>0</v>
      </c>
      <c r="U62" t="str">
        <f t="shared" si="0"/>
        <v>OK</v>
      </c>
    </row>
    <row r="63" spans="1:21" x14ac:dyDescent="0.3">
      <c r="A63" s="1" t="str">
        <f>CleanedData!F63</f>
        <v>PROP00062</v>
      </c>
      <c r="B63" s="2" t="str">
        <f>CleanedData!A63</f>
        <v>SpainSeville</v>
      </c>
      <c r="C63" s="2" t="str">
        <f>CleanedData!D63</f>
        <v>Spain</v>
      </c>
      <c r="D63" s="2" t="str">
        <f>CleanedData!E63</f>
        <v>Seville</v>
      </c>
      <c r="E63" s="2" t="str">
        <f>CleanedData!O63</f>
        <v>Seville</v>
      </c>
      <c r="F63" s="2" t="str">
        <f>CleanedData!M63</f>
        <v/>
      </c>
      <c r="G63" s="2" t="str">
        <f>CleanedData!B63</f>
        <v>31483</v>
      </c>
      <c r="H63" s="2" t="str">
        <f>CleanedData!C63</f>
        <v>+15-775114197</v>
      </c>
      <c r="I63" s="2" t="str">
        <f>CleanedData!G63</f>
        <v>Active</v>
      </c>
      <c r="J63" s="14">
        <f>CleanedData!H63</f>
        <v>45223</v>
      </c>
      <c r="K63" s="2" t="str">
        <f t="shared" si="1"/>
        <v>MISSING</v>
      </c>
      <c r="L63" s="2" t="str">
        <f t="shared" si="2"/>
        <v>OK</v>
      </c>
      <c r="M63" s="2" t="str">
        <f t="shared" si="3"/>
        <v>OK</v>
      </c>
      <c r="N63" s="2" t="str">
        <f t="shared" si="4"/>
        <v>MATCH</v>
      </c>
      <c r="O63" s="2" t="str">
        <f t="shared" si="5"/>
        <v>ERROR</v>
      </c>
      <c r="P63" s="2">
        <f t="shared" si="6"/>
        <v>1</v>
      </c>
      <c r="Q63" s="2" t="str">
        <f t="shared" si="7"/>
        <v>2023-10</v>
      </c>
      <c r="R63" s="3" t="s">
        <v>39</v>
      </c>
      <c r="S63" s="2">
        <f>IF(tblChecks[[#This Row],[AnyError]]="ERROR",1,0)</f>
        <v>1</v>
      </c>
      <c r="T63" s="2">
        <f>IF(tblChecks[[#This Row],[MissingStreet]]="MISSING",1,0)</f>
        <v>1</v>
      </c>
      <c r="U63" t="str">
        <f t="shared" si="0"/>
        <v>MissingStreet</v>
      </c>
    </row>
    <row r="64" spans="1:21" x14ac:dyDescent="0.3">
      <c r="A64" s="1" t="str">
        <f>CleanedData!F64</f>
        <v>PROP00063</v>
      </c>
      <c r="B64" s="2" t="str">
        <f>CleanedData!A64</f>
        <v>BrazilRio de JaneiroRichard Orchard104</v>
      </c>
      <c r="C64" s="2" t="str">
        <f>CleanedData!D64</f>
        <v>Brazil</v>
      </c>
      <c r="D64" s="2" t="str">
        <f>CleanedData!E64</f>
        <v>Rio de Janeiro</v>
      </c>
      <c r="E64" s="2" t="str">
        <f>CleanedData!O64</f>
        <v>Rio de Janeiro</v>
      </c>
      <c r="F64" s="2" t="str">
        <f>CleanedData!M64</f>
        <v>BrazilRio de JaneiroRichard Orchard104</v>
      </c>
      <c r="G64" s="2" t="str">
        <f>CleanedData!B64</f>
        <v>28517</v>
      </c>
      <c r="H64" s="2" t="str">
        <f>CleanedData!C64</f>
        <v>+26-116958637</v>
      </c>
      <c r="I64" s="2" t="str">
        <f>CleanedData!G64</f>
        <v>Inactive</v>
      </c>
      <c r="J64" s="14">
        <f>CleanedData!H64</f>
        <v>45673</v>
      </c>
      <c r="K64" s="2" t="str">
        <f t="shared" si="1"/>
        <v>OK</v>
      </c>
      <c r="L64" s="2" t="str">
        <f t="shared" si="2"/>
        <v>OK</v>
      </c>
      <c r="M64" s="2" t="str">
        <f t="shared" si="3"/>
        <v>OK</v>
      </c>
      <c r="N64" s="2" t="str">
        <f t="shared" si="4"/>
        <v>MATCH</v>
      </c>
      <c r="O64" s="2" t="str">
        <f t="shared" si="5"/>
        <v>OK</v>
      </c>
      <c r="P64" s="2">
        <f t="shared" si="6"/>
        <v>0</v>
      </c>
      <c r="Q64" s="2" t="str">
        <f t="shared" si="7"/>
        <v>2025-01</v>
      </c>
      <c r="R64" s="3" t="s">
        <v>23</v>
      </c>
      <c r="S64" s="2">
        <f>IF(tblChecks[[#This Row],[AnyError]]="ERROR",1,0)</f>
        <v>0</v>
      </c>
      <c r="T64" s="2">
        <f>IF(tblChecks[[#This Row],[MissingStreet]]="MISSING",1,0)</f>
        <v>0</v>
      </c>
      <c r="U64" t="str">
        <f t="shared" si="0"/>
        <v>OK</v>
      </c>
    </row>
    <row r="65" spans="1:21" x14ac:dyDescent="0.3">
      <c r="A65" s="1" t="str">
        <f>CleanedData!F65</f>
        <v>PROP00064</v>
      </c>
      <c r="B65" s="2" t="str">
        <f>CleanedData!A65</f>
        <v>Barrera Expressway 8, Italy, Florence</v>
      </c>
      <c r="C65" s="2" t="str">
        <f>CleanedData!D65</f>
        <v>Italy</v>
      </c>
      <c r="D65" s="2" t="str">
        <f>CleanedData!E65</f>
        <v>Florence</v>
      </c>
      <c r="E65" s="2" t="str">
        <f>CleanedData!O65</f>
        <v>Florence</v>
      </c>
      <c r="F65" s="2" t="str">
        <f>CleanedData!M65</f>
        <v>Barrera Expressway 8</v>
      </c>
      <c r="G65" s="2" t="str">
        <f>CleanedData!B65</f>
        <v>50173</v>
      </c>
      <c r="H65" s="2" t="str">
        <f>CleanedData!C65</f>
        <v>+19-823637428</v>
      </c>
      <c r="I65" s="2" t="str">
        <f>CleanedData!G65</f>
        <v>Inactive</v>
      </c>
      <c r="J65" s="14">
        <f>CleanedData!H65</f>
        <v>45766</v>
      </c>
      <c r="K65" s="2" t="str">
        <f t="shared" si="1"/>
        <v>OK</v>
      </c>
      <c r="L65" s="2" t="str">
        <f t="shared" si="2"/>
        <v>OK</v>
      </c>
      <c r="M65" s="2" t="str">
        <f t="shared" si="3"/>
        <v>OK</v>
      </c>
      <c r="N65" s="2" t="str">
        <f t="shared" si="4"/>
        <v>MATCH</v>
      </c>
      <c r="O65" s="2" t="str">
        <f t="shared" si="5"/>
        <v>OK</v>
      </c>
      <c r="P65" s="2">
        <f t="shared" si="6"/>
        <v>0</v>
      </c>
      <c r="Q65" s="2" t="str">
        <f t="shared" si="7"/>
        <v>2025-04</v>
      </c>
      <c r="R65" s="3" t="s">
        <v>16</v>
      </c>
      <c r="S65" s="2">
        <f>IF(tblChecks[[#This Row],[AnyError]]="ERROR",1,0)</f>
        <v>0</v>
      </c>
      <c r="T65" s="2">
        <f>IF(tblChecks[[#This Row],[MissingStreet]]="MISSING",1,0)</f>
        <v>0</v>
      </c>
      <c r="U65" t="str">
        <f t="shared" si="0"/>
        <v>OK</v>
      </c>
    </row>
    <row r="66" spans="1:21" x14ac:dyDescent="0.3">
      <c r="A66" s="1" t="str">
        <f>CleanedData!F66</f>
        <v>PROP00065</v>
      </c>
      <c r="B66" s="2" t="str">
        <f>CleanedData!A66</f>
        <v>Tricia Greens 134, UK, Liverpool</v>
      </c>
      <c r="C66" s="2" t="str">
        <f>CleanedData!D66</f>
        <v>UK</v>
      </c>
      <c r="D66" s="2" t="str">
        <f>CleanedData!E66</f>
        <v>Liverpool</v>
      </c>
      <c r="E66" s="2" t="str">
        <f>CleanedData!O66</f>
        <v>Liverpool</v>
      </c>
      <c r="F66" s="2" t="str">
        <f>CleanedData!M66</f>
        <v>Tricia Greens 134</v>
      </c>
      <c r="G66" s="2" t="str">
        <f>CleanedData!B66</f>
        <v>60139</v>
      </c>
      <c r="H66" s="2" t="str">
        <f>CleanedData!C66</f>
        <v>+40-714942290</v>
      </c>
      <c r="I66" s="2" t="str">
        <f>CleanedData!G66</f>
        <v>Inactive</v>
      </c>
      <c r="J66" s="14">
        <f>CleanedData!H66</f>
        <v>44944</v>
      </c>
      <c r="K66" s="2" t="str">
        <f t="shared" si="1"/>
        <v>OK</v>
      </c>
      <c r="L66" s="2" t="str">
        <f t="shared" si="2"/>
        <v>OK</v>
      </c>
      <c r="M66" s="2" t="str">
        <f t="shared" si="3"/>
        <v>OK</v>
      </c>
      <c r="N66" s="2" t="str">
        <f t="shared" si="4"/>
        <v>MATCH</v>
      </c>
      <c r="O66" s="2" t="str">
        <f t="shared" si="5"/>
        <v>OK</v>
      </c>
      <c r="P66" s="2">
        <f t="shared" si="6"/>
        <v>0</v>
      </c>
      <c r="Q66" s="2" t="str">
        <f t="shared" si="7"/>
        <v>2023-01</v>
      </c>
      <c r="R66" s="3" t="s">
        <v>33</v>
      </c>
      <c r="S66" s="2">
        <f>IF(tblChecks[[#This Row],[AnyError]]="ERROR",1,0)</f>
        <v>0</v>
      </c>
      <c r="T66" s="2">
        <f>IF(tblChecks[[#This Row],[MissingStreet]]="MISSING",1,0)</f>
        <v>0</v>
      </c>
      <c r="U66" t="str">
        <f t="shared" ref="U66:U129" si="8">IF(K66="MISSING","MissingStreet",
IF(L66="INVALID","PostalCode_INVALID",
IF(M66="INVALID","Phone_INVALID","OK")))</f>
        <v>OK</v>
      </c>
    </row>
    <row r="67" spans="1:21" x14ac:dyDescent="0.3">
      <c r="A67" s="1" t="str">
        <f>CleanedData!F67</f>
        <v>PROP00066</v>
      </c>
      <c r="B67" s="2" t="str">
        <f>CleanedData!A67</f>
        <v>USAChicagoHenderson Street66</v>
      </c>
      <c r="C67" s="2" t="str">
        <f>CleanedData!D67</f>
        <v>USA</v>
      </c>
      <c r="D67" s="2" t="str">
        <f>CleanedData!E67</f>
        <v>Chicago</v>
      </c>
      <c r="E67" s="2" t="str">
        <f>CleanedData!O67</f>
        <v>Chicago</v>
      </c>
      <c r="F67" s="2" t="str">
        <f>CleanedData!M67</f>
        <v>USAChicagoHenderson Street66</v>
      </c>
      <c r="G67" s="2" t="str">
        <f>CleanedData!B67</f>
        <v>73346</v>
      </c>
      <c r="H67" s="2" t="str">
        <f>CleanedData!C67</f>
        <v>+51-930349048</v>
      </c>
      <c r="I67" s="2" t="str">
        <f>CleanedData!G67</f>
        <v>Active</v>
      </c>
      <c r="J67" s="14">
        <f>CleanedData!H67</f>
        <v>45890</v>
      </c>
      <c r="K67" s="2" t="str">
        <f t="shared" ref="K67:K130" si="9">IF(TRIM(F67)="","MISSING","OK")</f>
        <v>OK</v>
      </c>
      <c r="L67" s="2" t="str">
        <f t="shared" ref="L67:L130" si="10">IF(LEN(TRIM(G67))&lt;3,"INVALID","OK")</f>
        <v>OK</v>
      </c>
      <c r="M67" s="2" t="str">
        <f t="shared" ref="M67:M130" si="11">IF(LEN(SUBSTITUTE(SUBSTITUTE(H67," ",""),"-",""))&gt;=7,"OK","INVALID")</f>
        <v>OK</v>
      </c>
      <c r="N67" s="2" t="str">
        <f t="shared" ref="N67:N130" si="12">IF(E67="","NO_EXTRACT",
 IF(LOWER(TRIM(E67))=LOWER(TRIM(D67)),"MATCH","CHECK"))</f>
        <v>MATCH</v>
      </c>
      <c r="O67" s="2" t="str">
        <f t="shared" ref="O67:O130" si="13">IF(OR(K67="MISSING",L67="INVALID",M67="INVALID"),"ERROR","OK")</f>
        <v>OK</v>
      </c>
      <c r="P67" s="2">
        <f t="shared" ref="P67:P130" si="14">(K67="MISSING")*1 + (L67="INVALID")*1 + (M67="INVALID")*1</f>
        <v>0</v>
      </c>
      <c r="Q67" s="2" t="str">
        <f t="shared" ref="Q67:Q130" si="15">YEAR(J67) &amp; "-" &amp; TEXT(MONTH(J67),"00")</f>
        <v>2025-08</v>
      </c>
      <c r="R67" s="3" t="s">
        <v>23</v>
      </c>
      <c r="S67" s="2">
        <f>IF(tblChecks[[#This Row],[AnyError]]="ERROR",1,0)</f>
        <v>0</v>
      </c>
      <c r="T67" s="2">
        <f>IF(tblChecks[[#This Row],[MissingStreet]]="MISSING",1,0)</f>
        <v>0</v>
      </c>
      <c r="U67" t="str">
        <f t="shared" si="8"/>
        <v>OK</v>
      </c>
    </row>
    <row r="68" spans="1:21" x14ac:dyDescent="0.3">
      <c r="A68" s="1" t="str">
        <f>CleanedData!F68</f>
        <v>PROP00067</v>
      </c>
      <c r="B68" s="2" t="str">
        <f>CleanedData!A68</f>
        <v>ItalyRome</v>
      </c>
      <c r="C68" s="2" t="str">
        <f>CleanedData!D68</f>
        <v>Italy</v>
      </c>
      <c r="D68" s="2" t="str">
        <f>CleanedData!E68</f>
        <v>Rome</v>
      </c>
      <c r="E68" s="2" t="str">
        <f>CleanedData!O68</f>
        <v>Rome</v>
      </c>
      <c r="F68" s="2" t="str">
        <f>CleanedData!M68</f>
        <v/>
      </c>
      <c r="G68" s="2" t="str">
        <f>CleanedData!B68</f>
        <v>29035</v>
      </c>
      <c r="H68" s="2" t="str">
        <f>CleanedData!C68</f>
        <v>+2-179667335</v>
      </c>
      <c r="I68" s="2" t="str">
        <f>CleanedData!G68</f>
        <v>Active</v>
      </c>
      <c r="J68" s="14">
        <f>CleanedData!H68</f>
        <v>45020</v>
      </c>
      <c r="K68" s="2" t="str">
        <f t="shared" si="9"/>
        <v>MISSING</v>
      </c>
      <c r="L68" s="2" t="str">
        <f t="shared" si="10"/>
        <v>OK</v>
      </c>
      <c r="M68" s="2" t="str">
        <f t="shared" si="11"/>
        <v>OK</v>
      </c>
      <c r="N68" s="2" t="str">
        <f t="shared" si="12"/>
        <v>MATCH</v>
      </c>
      <c r="O68" s="2" t="str">
        <f t="shared" si="13"/>
        <v>ERROR</v>
      </c>
      <c r="P68" s="2">
        <f t="shared" si="14"/>
        <v>1</v>
      </c>
      <c r="Q68" s="2" t="str">
        <f t="shared" si="15"/>
        <v>2023-04</v>
      </c>
      <c r="R68" s="3" t="s">
        <v>39</v>
      </c>
      <c r="S68" s="2">
        <f>IF(tblChecks[[#This Row],[AnyError]]="ERROR",1,0)</f>
        <v>1</v>
      </c>
      <c r="T68" s="2">
        <f>IF(tblChecks[[#This Row],[MissingStreet]]="MISSING",1,0)</f>
        <v>1</v>
      </c>
      <c r="U68" t="str">
        <f t="shared" si="8"/>
        <v>MissingStreet</v>
      </c>
    </row>
    <row r="69" spans="1:21" x14ac:dyDescent="0.3">
      <c r="A69" s="1" t="str">
        <f>CleanedData!F69</f>
        <v>PROP00068</v>
      </c>
      <c r="B69" s="2" t="str">
        <f>CleanedData!A69</f>
        <v>Beth Plains244, Kyoto, Japan</v>
      </c>
      <c r="C69" s="2" t="str">
        <f>CleanedData!D69</f>
        <v>Japan</v>
      </c>
      <c r="D69" s="2" t="str">
        <f>CleanedData!E69</f>
        <v>Kyoto</v>
      </c>
      <c r="E69" s="2" t="str">
        <f>CleanedData!O69</f>
        <v>Kyoto</v>
      </c>
      <c r="F69" s="2" t="str">
        <f>CleanedData!M69</f>
        <v>Beth Plains244</v>
      </c>
      <c r="G69" s="2" t="str">
        <f>CleanedData!B69</f>
        <v>8490</v>
      </c>
      <c r="H69" s="2" t="str">
        <f>CleanedData!C69</f>
        <v>+76-822620464</v>
      </c>
      <c r="I69" s="2" t="str">
        <f>CleanedData!G69</f>
        <v>Active</v>
      </c>
      <c r="J69" s="14">
        <f>CleanedData!H69</f>
        <v>45240</v>
      </c>
      <c r="K69" s="2" t="str">
        <f t="shared" si="9"/>
        <v>OK</v>
      </c>
      <c r="L69" s="2" t="str">
        <f t="shared" si="10"/>
        <v>OK</v>
      </c>
      <c r="M69" s="2" t="str">
        <f t="shared" si="11"/>
        <v>OK</v>
      </c>
      <c r="N69" s="2" t="str">
        <f t="shared" si="12"/>
        <v>MATCH</v>
      </c>
      <c r="O69" s="2" t="str">
        <f t="shared" si="13"/>
        <v>OK</v>
      </c>
      <c r="P69" s="2">
        <f t="shared" si="14"/>
        <v>0</v>
      </c>
      <c r="Q69" s="2" t="str">
        <f t="shared" si="15"/>
        <v>2023-11</v>
      </c>
      <c r="R69" s="3" t="s">
        <v>16</v>
      </c>
      <c r="S69" s="2">
        <f>IF(tblChecks[[#This Row],[AnyError]]="ERROR",1,0)</f>
        <v>0</v>
      </c>
      <c r="T69" s="2">
        <f>IF(tblChecks[[#This Row],[MissingStreet]]="MISSING",1,0)</f>
        <v>0</v>
      </c>
      <c r="U69" t="str">
        <f t="shared" si="8"/>
        <v>OK</v>
      </c>
    </row>
    <row r="70" spans="1:21" x14ac:dyDescent="0.3">
      <c r="A70" s="1" t="str">
        <f>CleanedData!F70</f>
        <v>PROP00069</v>
      </c>
      <c r="B70" s="2" t="str">
        <f>CleanedData!A70</f>
        <v>JapanKyoto</v>
      </c>
      <c r="C70" s="2" t="str">
        <f>CleanedData!D70</f>
        <v>Japan</v>
      </c>
      <c r="D70" s="2" t="str">
        <f>CleanedData!E70</f>
        <v>Kyoto</v>
      </c>
      <c r="E70" s="2" t="str">
        <f>CleanedData!O70</f>
        <v>Kyoto</v>
      </c>
      <c r="F70" s="2" t="str">
        <f>CleanedData!M70</f>
        <v/>
      </c>
      <c r="G70" s="2" t="str">
        <f>CleanedData!B70</f>
        <v>62994</v>
      </c>
      <c r="H70" s="2" t="str">
        <f>CleanedData!C70</f>
        <v>+10-284307187</v>
      </c>
      <c r="I70" s="2" t="str">
        <f>CleanedData!G70</f>
        <v>Active</v>
      </c>
      <c r="J70" s="14">
        <f>CleanedData!H70</f>
        <v>45709</v>
      </c>
      <c r="K70" s="2" t="str">
        <f t="shared" si="9"/>
        <v>MISSING</v>
      </c>
      <c r="L70" s="2" t="str">
        <f t="shared" si="10"/>
        <v>OK</v>
      </c>
      <c r="M70" s="2" t="str">
        <f t="shared" si="11"/>
        <v>OK</v>
      </c>
      <c r="N70" s="2" t="str">
        <f t="shared" si="12"/>
        <v>MATCH</v>
      </c>
      <c r="O70" s="2" t="str">
        <f t="shared" si="13"/>
        <v>ERROR</v>
      </c>
      <c r="P70" s="2">
        <f t="shared" si="14"/>
        <v>1</v>
      </c>
      <c r="Q70" s="2" t="str">
        <f t="shared" si="15"/>
        <v>2025-02</v>
      </c>
      <c r="R70" s="3" t="s">
        <v>39</v>
      </c>
      <c r="S70" s="2">
        <f>IF(tblChecks[[#This Row],[AnyError]]="ERROR",1,0)</f>
        <v>1</v>
      </c>
      <c r="T70" s="2">
        <f>IF(tblChecks[[#This Row],[MissingStreet]]="MISSING",1,0)</f>
        <v>1</v>
      </c>
      <c r="U70" t="str">
        <f t="shared" si="8"/>
        <v>MissingStreet</v>
      </c>
    </row>
    <row r="71" spans="1:21" x14ac:dyDescent="0.3">
      <c r="A71" s="1" t="str">
        <f>CleanedData!F71</f>
        <v>PROP00070</v>
      </c>
      <c r="B71" s="2" t="str">
        <f>CleanedData!A71</f>
        <v>Brian Pass 14, Canada, Montreal</v>
      </c>
      <c r="C71" s="2" t="str">
        <f>CleanedData!D71</f>
        <v>Canada</v>
      </c>
      <c r="D71" s="2" t="str">
        <f>CleanedData!E71</f>
        <v>Montreal</v>
      </c>
      <c r="E71" s="2" t="str">
        <f>CleanedData!O71</f>
        <v>Montreal</v>
      </c>
      <c r="F71" s="2" t="str">
        <f>CleanedData!M71</f>
        <v>Brian Pass 14</v>
      </c>
      <c r="G71" s="2" t="str">
        <f>CleanedData!B71</f>
        <v>11001</v>
      </c>
      <c r="H71" s="2" t="str">
        <f>CleanedData!C71</f>
        <v>+45-470241496</v>
      </c>
      <c r="I71" s="2" t="str">
        <f>CleanedData!G71</f>
        <v>Active</v>
      </c>
      <c r="J71" s="14">
        <f>CleanedData!H71</f>
        <v>45382</v>
      </c>
      <c r="K71" s="2" t="str">
        <f t="shared" si="9"/>
        <v>OK</v>
      </c>
      <c r="L71" s="2" t="str">
        <f t="shared" si="10"/>
        <v>OK</v>
      </c>
      <c r="M71" s="2" t="str">
        <f t="shared" si="11"/>
        <v>OK</v>
      </c>
      <c r="N71" s="2" t="str">
        <f t="shared" si="12"/>
        <v>MATCH</v>
      </c>
      <c r="O71" s="2" t="str">
        <f t="shared" si="13"/>
        <v>OK</v>
      </c>
      <c r="P71" s="2">
        <f t="shared" si="14"/>
        <v>0</v>
      </c>
      <c r="Q71" s="2" t="str">
        <f t="shared" si="15"/>
        <v>2024-03</v>
      </c>
      <c r="R71" s="3" t="s">
        <v>33</v>
      </c>
      <c r="S71" s="2">
        <f>IF(tblChecks[[#This Row],[AnyError]]="ERROR",1,0)</f>
        <v>0</v>
      </c>
      <c r="T71" s="2">
        <f>IF(tblChecks[[#This Row],[MissingStreet]]="MISSING",1,0)</f>
        <v>0</v>
      </c>
      <c r="U71" t="str">
        <f t="shared" si="8"/>
        <v>OK</v>
      </c>
    </row>
    <row r="72" spans="1:21" x14ac:dyDescent="0.3">
      <c r="A72" s="1" t="str">
        <f>CleanedData!F72</f>
        <v>PROP00071</v>
      </c>
      <c r="B72" s="2" t="str">
        <f>CleanedData!A72</f>
        <v>AustraliaSydney</v>
      </c>
      <c r="C72" s="2" t="str">
        <f>CleanedData!D72</f>
        <v>Australia</v>
      </c>
      <c r="D72" s="2" t="str">
        <f>CleanedData!E72</f>
        <v>Sydney</v>
      </c>
      <c r="E72" s="2" t="str">
        <f>CleanedData!O72</f>
        <v>Sydney</v>
      </c>
      <c r="F72" s="2" t="str">
        <f>CleanedData!M72</f>
        <v/>
      </c>
      <c r="G72" s="2" t="str">
        <f>CleanedData!B72</f>
        <v>89002</v>
      </c>
      <c r="H72" s="2" t="str">
        <f>CleanedData!C72</f>
        <v>+54-855570893</v>
      </c>
      <c r="I72" s="2" t="str">
        <f>CleanedData!G72</f>
        <v>Active</v>
      </c>
      <c r="J72" s="14">
        <f>CleanedData!H72</f>
        <v>45568</v>
      </c>
      <c r="K72" s="2" t="str">
        <f t="shared" si="9"/>
        <v>MISSING</v>
      </c>
      <c r="L72" s="2" t="str">
        <f t="shared" si="10"/>
        <v>OK</v>
      </c>
      <c r="M72" s="2" t="str">
        <f t="shared" si="11"/>
        <v>OK</v>
      </c>
      <c r="N72" s="2" t="str">
        <f t="shared" si="12"/>
        <v>MATCH</v>
      </c>
      <c r="O72" s="2" t="str">
        <f t="shared" si="13"/>
        <v>ERROR</v>
      </c>
      <c r="P72" s="2">
        <f t="shared" si="14"/>
        <v>1</v>
      </c>
      <c r="Q72" s="2" t="str">
        <f t="shared" si="15"/>
        <v>2024-10</v>
      </c>
      <c r="R72" s="3" t="s">
        <v>16</v>
      </c>
      <c r="S72" s="2">
        <f>IF(tblChecks[[#This Row],[AnyError]]="ERROR",1,0)</f>
        <v>1</v>
      </c>
      <c r="T72" s="2">
        <f>IF(tblChecks[[#This Row],[MissingStreet]]="MISSING",1,0)</f>
        <v>1</v>
      </c>
      <c r="U72" t="str">
        <f t="shared" si="8"/>
        <v>MissingStreet</v>
      </c>
    </row>
    <row r="73" spans="1:21" x14ac:dyDescent="0.3">
      <c r="A73" s="1" t="str">
        <f>CleanedData!F73</f>
        <v>PROP00072</v>
      </c>
      <c r="B73" s="2" t="str">
        <f>CleanedData!A73</f>
        <v>MunichRichard Port188, Germany</v>
      </c>
      <c r="C73" s="2" t="str">
        <f>CleanedData!D73</f>
        <v>Germany</v>
      </c>
      <c r="D73" s="2" t="str">
        <f>CleanedData!E73</f>
        <v>Munich</v>
      </c>
      <c r="E73" s="2" t="str">
        <f>CleanedData!O73</f>
        <v>Munich</v>
      </c>
      <c r="F73" s="2" t="str">
        <f>CleanedData!M73</f>
        <v>MunichRichard Port188</v>
      </c>
      <c r="G73" s="2" t="str">
        <f>CleanedData!B73</f>
        <v>32772</v>
      </c>
      <c r="H73" s="2" t="str">
        <f>CleanedData!C73</f>
        <v>+74-771894322</v>
      </c>
      <c r="I73" s="2" t="str">
        <f>CleanedData!G73</f>
        <v>Active</v>
      </c>
      <c r="J73" s="14">
        <f>CleanedData!H73</f>
        <v>45892</v>
      </c>
      <c r="K73" s="2" t="str">
        <f t="shared" si="9"/>
        <v>OK</v>
      </c>
      <c r="L73" s="2" t="str">
        <f t="shared" si="10"/>
        <v>OK</v>
      </c>
      <c r="M73" s="2" t="str">
        <f t="shared" si="11"/>
        <v>OK</v>
      </c>
      <c r="N73" s="2" t="str">
        <f t="shared" si="12"/>
        <v>MATCH</v>
      </c>
      <c r="O73" s="2" t="str">
        <f t="shared" si="13"/>
        <v>OK</v>
      </c>
      <c r="P73" s="2">
        <f t="shared" si="14"/>
        <v>0</v>
      </c>
      <c r="Q73" s="2" t="str">
        <f t="shared" si="15"/>
        <v>2025-08</v>
      </c>
      <c r="R73" s="3" t="s">
        <v>39</v>
      </c>
      <c r="S73" s="2">
        <f>IF(tblChecks[[#This Row],[AnyError]]="ERROR",1,0)</f>
        <v>0</v>
      </c>
      <c r="T73" s="2">
        <f>IF(tblChecks[[#This Row],[MissingStreet]]="MISSING",1,0)</f>
        <v>0</v>
      </c>
      <c r="U73" t="str">
        <f t="shared" si="8"/>
        <v>OK</v>
      </c>
    </row>
    <row r="74" spans="1:21" x14ac:dyDescent="0.3">
      <c r="A74" s="1" t="str">
        <f>CleanedData!F74</f>
        <v>PROP00073</v>
      </c>
      <c r="B74" s="2" t="str">
        <f>CleanedData!A74</f>
        <v>Cologne, Christine Manor 113, Germany</v>
      </c>
      <c r="C74" s="2" t="str">
        <f>CleanedData!D74</f>
        <v>Germany</v>
      </c>
      <c r="D74" s="2" t="str">
        <f>CleanedData!E74</f>
        <v>Cologne</v>
      </c>
      <c r="E74" s="2" t="str">
        <f>CleanedData!O74</f>
        <v>Cologne</v>
      </c>
      <c r="F74" s="2" t="str">
        <f>CleanedData!M74</f>
        <v>Christine Manor 113</v>
      </c>
      <c r="G74" s="2" t="str">
        <f>CleanedData!B74</f>
        <v>86664</v>
      </c>
      <c r="H74" s="2" t="str">
        <f>CleanedData!C74</f>
        <v>+9-738348476</v>
      </c>
      <c r="I74" s="2" t="str">
        <f>CleanedData!G74</f>
        <v>Active</v>
      </c>
      <c r="J74" s="14">
        <f>CleanedData!H74</f>
        <v>44903</v>
      </c>
      <c r="K74" s="2" t="str">
        <f t="shared" si="9"/>
        <v>OK</v>
      </c>
      <c r="L74" s="2" t="str">
        <f t="shared" si="10"/>
        <v>OK</v>
      </c>
      <c r="M74" s="2" t="str">
        <f t="shared" si="11"/>
        <v>OK</v>
      </c>
      <c r="N74" s="2" t="str">
        <f t="shared" si="12"/>
        <v>MATCH</v>
      </c>
      <c r="O74" s="2" t="str">
        <f t="shared" si="13"/>
        <v>OK</v>
      </c>
      <c r="P74" s="2">
        <f t="shared" si="14"/>
        <v>0</v>
      </c>
      <c r="Q74" s="2" t="str">
        <f t="shared" si="15"/>
        <v>2022-12</v>
      </c>
      <c r="R74" s="3" t="s">
        <v>33</v>
      </c>
      <c r="S74" s="2">
        <f>IF(tblChecks[[#This Row],[AnyError]]="ERROR",1,0)</f>
        <v>0</v>
      </c>
      <c r="T74" s="2">
        <f>IF(tblChecks[[#This Row],[MissingStreet]]="MISSING",1,0)</f>
        <v>0</v>
      </c>
      <c r="U74" t="str">
        <f t="shared" si="8"/>
        <v>OK</v>
      </c>
    </row>
    <row r="75" spans="1:21" x14ac:dyDescent="0.3">
      <c r="A75" s="1" t="str">
        <f>CleanedData!F75</f>
        <v>PROP00074</v>
      </c>
      <c r="B75" s="2" t="str">
        <f>CleanedData!A75</f>
        <v>Los Angeles, Donovan Ford 265, USA</v>
      </c>
      <c r="C75" s="2" t="str">
        <f>CleanedData!D75</f>
        <v>USA</v>
      </c>
      <c r="D75" s="2" t="str">
        <f>CleanedData!E75</f>
        <v>Los Angeles</v>
      </c>
      <c r="E75" s="2" t="str">
        <f>CleanedData!O75</f>
        <v>Los Angeles</v>
      </c>
      <c r="F75" s="2" t="str">
        <f>CleanedData!M75</f>
        <v>Donovan Ford 265</v>
      </c>
      <c r="G75" s="2" t="str">
        <f>CleanedData!B75</f>
        <v>88283</v>
      </c>
      <c r="H75" s="2" t="str">
        <f>CleanedData!C75</f>
        <v>+57-284587208</v>
      </c>
      <c r="I75" s="2" t="str">
        <f>CleanedData!G75</f>
        <v>Active</v>
      </c>
      <c r="J75" s="14">
        <f>CleanedData!H75</f>
        <v>45448</v>
      </c>
      <c r="K75" s="2" t="str">
        <f t="shared" si="9"/>
        <v>OK</v>
      </c>
      <c r="L75" s="2" t="str">
        <f t="shared" si="10"/>
        <v>OK</v>
      </c>
      <c r="M75" s="2" t="str">
        <f t="shared" si="11"/>
        <v>OK</v>
      </c>
      <c r="N75" s="2" t="str">
        <f t="shared" si="12"/>
        <v>MATCH</v>
      </c>
      <c r="O75" s="2" t="str">
        <f t="shared" si="13"/>
        <v>OK</v>
      </c>
      <c r="P75" s="2">
        <f t="shared" si="14"/>
        <v>0</v>
      </c>
      <c r="Q75" s="2" t="str">
        <f t="shared" si="15"/>
        <v>2024-06</v>
      </c>
      <c r="R75" s="3" t="s">
        <v>39</v>
      </c>
      <c r="S75" s="2">
        <f>IF(tblChecks[[#This Row],[AnyError]]="ERROR",1,0)</f>
        <v>0</v>
      </c>
      <c r="T75" s="2">
        <f>IF(tblChecks[[#This Row],[MissingStreet]]="MISSING",1,0)</f>
        <v>0</v>
      </c>
      <c r="U75" t="str">
        <f t="shared" si="8"/>
        <v>OK</v>
      </c>
    </row>
    <row r="76" spans="1:21" x14ac:dyDescent="0.3">
      <c r="A76" s="1" t="str">
        <f>CleanedData!F76</f>
        <v>PROP00075</v>
      </c>
      <c r="B76" s="2" t="str">
        <f>CleanedData!A76</f>
        <v>Allen Locks 62, Rome</v>
      </c>
      <c r="C76" s="2" t="str">
        <f>CleanedData!D76</f>
        <v>Italy</v>
      </c>
      <c r="D76" s="2" t="str">
        <f>CleanedData!E76</f>
        <v>Rome</v>
      </c>
      <c r="E76" s="2" t="str">
        <f>CleanedData!O76</f>
        <v>Rome</v>
      </c>
      <c r="F76" s="2" t="str">
        <f>CleanedData!M76</f>
        <v>Allen Locks 62</v>
      </c>
      <c r="G76" s="2" t="str">
        <f>CleanedData!B76</f>
        <v>17655</v>
      </c>
      <c r="H76" s="2" t="str">
        <f>CleanedData!C76</f>
        <v>+54-983740017</v>
      </c>
      <c r="I76" s="2" t="str">
        <f>CleanedData!G76</f>
        <v>Active</v>
      </c>
      <c r="J76" s="14">
        <f>CleanedData!H76</f>
        <v>45594</v>
      </c>
      <c r="K76" s="2" t="str">
        <f t="shared" si="9"/>
        <v>OK</v>
      </c>
      <c r="L76" s="2" t="str">
        <f t="shared" si="10"/>
        <v>OK</v>
      </c>
      <c r="M76" s="2" t="str">
        <f t="shared" si="11"/>
        <v>OK</v>
      </c>
      <c r="N76" s="2" t="str">
        <f t="shared" si="12"/>
        <v>MATCH</v>
      </c>
      <c r="O76" s="2" t="str">
        <f t="shared" si="13"/>
        <v>OK</v>
      </c>
      <c r="P76" s="2">
        <f t="shared" si="14"/>
        <v>0</v>
      </c>
      <c r="Q76" s="2" t="str">
        <f t="shared" si="15"/>
        <v>2024-10</v>
      </c>
      <c r="R76" s="3" t="s">
        <v>23</v>
      </c>
      <c r="S76" s="2">
        <f>IF(tblChecks[[#This Row],[AnyError]]="ERROR",1,0)</f>
        <v>0</v>
      </c>
      <c r="T76" s="2">
        <f>IF(tblChecks[[#This Row],[MissingStreet]]="MISSING",1,0)</f>
        <v>0</v>
      </c>
      <c r="U76" t="str">
        <f t="shared" si="8"/>
        <v>OK</v>
      </c>
    </row>
    <row r="77" spans="1:21" x14ac:dyDescent="0.3">
      <c r="A77" s="1" t="str">
        <f>CleanedData!F77</f>
        <v>PROP00076</v>
      </c>
      <c r="B77" s="2" t="str">
        <f>CleanedData!A77</f>
        <v>Bryant Terrace182, Munich, Germany</v>
      </c>
      <c r="C77" s="2" t="str">
        <f>CleanedData!D77</f>
        <v>Germany</v>
      </c>
      <c r="D77" s="2" t="str">
        <f>CleanedData!E77</f>
        <v>Munich</v>
      </c>
      <c r="E77" s="2" t="str">
        <f>CleanedData!O77</f>
        <v>Munich</v>
      </c>
      <c r="F77" s="2" t="str">
        <f>CleanedData!M77</f>
        <v>Bryant Terrace182</v>
      </c>
      <c r="G77" s="2" t="str">
        <f>CleanedData!B77</f>
        <v>10009</v>
      </c>
      <c r="H77" s="2" t="str">
        <f>CleanedData!C77</f>
        <v>+90-195206528</v>
      </c>
      <c r="I77" s="2" t="str">
        <f>CleanedData!G77</f>
        <v>Inactive</v>
      </c>
      <c r="J77" s="14">
        <f>CleanedData!H77</f>
        <v>45526</v>
      </c>
      <c r="K77" s="2" t="str">
        <f t="shared" si="9"/>
        <v>OK</v>
      </c>
      <c r="L77" s="2" t="str">
        <f t="shared" si="10"/>
        <v>OK</v>
      </c>
      <c r="M77" s="2" t="str">
        <f t="shared" si="11"/>
        <v>OK</v>
      </c>
      <c r="N77" s="2" t="str">
        <f t="shared" si="12"/>
        <v>MATCH</v>
      </c>
      <c r="O77" s="2" t="str">
        <f t="shared" si="13"/>
        <v>OK</v>
      </c>
      <c r="P77" s="2">
        <f t="shared" si="14"/>
        <v>0</v>
      </c>
      <c r="Q77" s="2" t="str">
        <f t="shared" si="15"/>
        <v>2024-08</v>
      </c>
      <c r="R77" s="3" t="s">
        <v>39</v>
      </c>
      <c r="S77" s="2">
        <f>IF(tblChecks[[#This Row],[AnyError]]="ERROR",1,0)</f>
        <v>0</v>
      </c>
      <c r="T77" s="2">
        <f>IF(tblChecks[[#This Row],[MissingStreet]]="MISSING",1,0)</f>
        <v>0</v>
      </c>
      <c r="U77" t="str">
        <f t="shared" si="8"/>
        <v>OK</v>
      </c>
    </row>
    <row r="78" spans="1:21" x14ac:dyDescent="0.3">
      <c r="A78" s="1" t="str">
        <f>CleanedData!F78</f>
        <v>PROP00077</v>
      </c>
      <c r="B78" s="2" t="str">
        <f>CleanedData!A78</f>
        <v>Canada, Calgary, Stephen Port 133</v>
      </c>
      <c r="C78" s="2" t="str">
        <f>CleanedData!D78</f>
        <v>Canada</v>
      </c>
      <c r="D78" s="2" t="str">
        <f>CleanedData!E78</f>
        <v>Calgary</v>
      </c>
      <c r="E78" s="2" t="str">
        <f>CleanedData!O78</f>
        <v>Calgary</v>
      </c>
      <c r="F78" s="2" t="str">
        <f>CleanedData!M78</f>
        <v>Stephen Port 133</v>
      </c>
      <c r="G78" s="2" t="str">
        <f>CleanedData!B78</f>
        <v>13605</v>
      </c>
      <c r="H78" s="2" t="str">
        <f>CleanedData!C78</f>
        <v>+94-149826730</v>
      </c>
      <c r="I78" s="2" t="str">
        <f>CleanedData!G78</f>
        <v>Inactive</v>
      </c>
      <c r="J78" s="14">
        <f>CleanedData!H78</f>
        <v>45113</v>
      </c>
      <c r="K78" s="2" t="str">
        <f t="shared" si="9"/>
        <v>OK</v>
      </c>
      <c r="L78" s="2" t="str">
        <f t="shared" si="10"/>
        <v>OK</v>
      </c>
      <c r="M78" s="2" t="str">
        <f t="shared" si="11"/>
        <v>OK</v>
      </c>
      <c r="N78" s="2" t="str">
        <f t="shared" si="12"/>
        <v>MATCH</v>
      </c>
      <c r="O78" s="2" t="str">
        <f t="shared" si="13"/>
        <v>OK</v>
      </c>
      <c r="P78" s="2">
        <f t="shared" si="14"/>
        <v>0</v>
      </c>
      <c r="Q78" s="2" t="str">
        <f t="shared" si="15"/>
        <v>2023-07</v>
      </c>
      <c r="R78" s="3" t="s">
        <v>16</v>
      </c>
      <c r="S78" s="2">
        <f>IF(tblChecks[[#This Row],[AnyError]]="ERROR",1,0)</f>
        <v>0</v>
      </c>
      <c r="T78" s="2">
        <f>IF(tblChecks[[#This Row],[MissingStreet]]="MISSING",1,0)</f>
        <v>0</v>
      </c>
      <c r="U78" t="str">
        <f t="shared" si="8"/>
        <v>OK</v>
      </c>
    </row>
    <row r="79" spans="1:21" x14ac:dyDescent="0.3">
      <c r="A79" s="1" t="str">
        <f>CleanedData!F79</f>
        <v>PROP00078</v>
      </c>
      <c r="B79" s="2" t="str">
        <f>CleanedData!A79</f>
        <v>Spain, Barcelona</v>
      </c>
      <c r="C79" s="2" t="str">
        <f>CleanedData!D79</f>
        <v>Spain</v>
      </c>
      <c r="D79" s="2" t="str">
        <f>CleanedData!E79</f>
        <v>Barcelona</v>
      </c>
      <c r="E79" s="2" t="str">
        <f>CleanedData!O79</f>
        <v>Barcelona</v>
      </c>
      <c r="F79" s="2" t="str">
        <f>CleanedData!M79</f>
        <v>Barcelona</v>
      </c>
      <c r="G79" s="2" t="str">
        <f>CleanedData!B79</f>
        <v>35261</v>
      </c>
      <c r="H79" s="2" t="str">
        <f>CleanedData!C79</f>
        <v>+46-812005552</v>
      </c>
      <c r="I79" s="2" t="str">
        <f>CleanedData!G79</f>
        <v>Active</v>
      </c>
      <c r="J79" s="14">
        <f>CleanedData!H79</f>
        <v>45495</v>
      </c>
      <c r="K79" s="2" t="str">
        <f t="shared" si="9"/>
        <v>OK</v>
      </c>
      <c r="L79" s="2" t="str">
        <f t="shared" si="10"/>
        <v>OK</v>
      </c>
      <c r="M79" s="2" t="str">
        <f t="shared" si="11"/>
        <v>OK</v>
      </c>
      <c r="N79" s="2" t="str">
        <f t="shared" si="12"/>
        <v>MATCH</v>
      </c>
      <c r="O79" s="2" t="str">
        <f t="shared" si="13"/>
        <v>OK</v>
      </c>
      <c r="P79" s="2">
        <f t="shared" si="14"/>
        <v>0</v>
      </c>
      <c r="Q79" s="2" t="str">
        <f t="shared" si="15"/>
        <v>2024-07</v>
      </c>
      <c r="R79" s="3" t="s">
        <v>39</v>
      </c>
      <c r="S79" s="2">
        <f>IF(tblChecks[[#This Row],[AnyError]]="ERROR",1,0)</f>
        <v>0</v>
      </c>
      <c r="T79" s="2">
        <f>IF(tblChecks[[#This Row],[MissingStreet]]="MISSING",1,0)</f>
        <v>0</v>
      </c>
      <c r="U79" t="str">
        <f t="shared" si="8"/>
        <v>OK</v>
      </c>
    </row>
    <row r="80" spans="1:21" x14ac:dyDescent="0.3">
      <c r="A80" s="1" t="str">
        <f>CleanedData!F80</f>
        <v>PROP00079</v>
      </c>
      <c r="B80" s="2" t="str">
        <f>CleanedData!A80</f>
        <v>Sarah Cliff288, Houston, USA</v>
      </c>
      <c r="C80" s="2" t="str">
        <f>CleanedData!D80</f>
        <v>USA</v>
      </c>
      <c r="D80" s="2" t="str">
        <f>CleanedData!E80</f>
        <v>Houston</v>
      </c>
      <c r="E80" s="2" t="str">
        <f>CleanedData!O80</f>
        <v>Houston</v>
      </c>
      <c r="F80" s="2" t="str">
        <f>CleanedData!M80</f>
        <v>Sarah Cliff288</v>
      </c>
      <c r="G80" s="2" t="str">
        <f>CleanedData!B80</f>
        <v>32519</v>
      </c>
      <c r="H80" s="2" t="str">
        <f>CleanedData!C80</f>
        <v>+80-204097491</v>
      </c>
      <c r="I80" s="2" t="str">
        <f>CleanedData!G80</f>
        <v>Active</v>
      </c>
      <c r="J80" s="14">
        <f>CleanedData!H80</f>
        <v>45744</v>
      </c>
      <c r="K80" s="2" t="str">
        <f t="shared" si="9"/>
        <v>OK</v>
      </c>
      <c r="L80" s="2" t="str">
        <f t="shared" si="10"/>
        <v>OK</v>
      </c>
      <c r="M80" s="2" t="str">
        <f t="shared" si="11"/>
        <v>OK</v>
      </c>
      <c r="N80" s="2" t="str">
        <f t="shared" si="12"/>
        <v>MATCH</v>
      </c>
      <c r="O80" s="2" t="str">
        <f t="shared" si="13"/>
        <v>OK</v>
      </c>
      <c r="P80" s="2">
        <f t="shared" si="14"/>
        <v>0</v>
      </c>
      <c r="Q80" s="2" t="str">
        <f t="shared" si="15"/>
        <v>2025-03</v>
      </c>
      <c r="R80" s="3" t="s">
        <v>16</v>
      </c>
      <c r="S80" s="2">
        <f>IF(tblChecks[[#This Row],[AnyError]]="ERROR",1,0)</f>
        <v>0</v>
      </c>
      <c r="T80" s="2">
        <f>IF(tblChecks[[#This Row],[MissingStreet]]="MISSING",1,0)</f>
        <v>0</v>
      </c>
      <c r="U80" t="str">
        <f t="shared" si="8"/>
        <v>OK</v>
      </c>
    </row>
    <row r="81" spans="1:21" x14ac:dyDescent="0.3">
      <c r="A81" s="1" t="str">
        <f>CleanedData!F81</f>
        <v>PROP00080</v>
      </c>
      <c r="B81" s="2" t="str">
        <f>CleanedData!A81</f>
        <v>FranceBordeaux, France</v>
      </c>
      <c r="C81" s="2" t="str">
        <f>CleanedData!D81</f>
        <v>France</v>
      </c>
      <c r="D81" s="2" t="str">
        <f>CleanedData!E81</f>
        <v>Bordeaux</v>
      </c>
      <c r="E81" s="2" t="str">
        <f>CleanedData!O81</f>
        <v>Bordeaux</v>
      </c>
      <c r="F81" s="2" t="str">
        <f>CleanedData!M81</f>
        <v>France</v>
      </c>
      <c r="G81" s="2" t="str">
        <f>CleanedData!B81</f>
        <v>71701</v>
      </c>
      <c r="H81" s="2" t="str">
        <f>CleanedData!C81</f>
        <v>+71-821851087</v>
      </c>
      <c r="I81" s="2" t="str">
        <f>CleanedData!G81</f>
        <v>Active</v>
      </c>
      <c r="J81" s="14">
        <f>CleanedData!H81</f>
        <v>44970</v>
      </c>
      <c r="K81" s="2" t="str">
        <f t="shared" si="9"/>
        <v>OK</v>
      </c>
      <c r="L81" s="2" t="str">
        <f t="shared" si="10"/>
        <v>OK</v>
      </c>
      <c r="M81" s="2" t="str">
        <f t="shared" si="11"/>
        <v>OK</v>
      </c>
      <c r="N81" s="2" t="str">
        <f t="shared" si="12"/>
        <v>MATCH</v>
      </c>
      <c r="O81" s="2" t="str">
        <f t="shared" si="13"/>
        <v>OK</v>
      </c>
      <c r="P81" s="2">
        <f t="shared" si="14"/>
        <v>0</v>
      </c>
      <c r="Q81" s="2" t="str">
        <f t="shared" si="15"/>
        <v>2023-02</v>
      </c>
      <c r="R81" s="3" t="s">
        <v>39</v>
      </c>
      <c r="S81" s="2">
        <f>IF(tblChecks[[#This Row],[AnyError]]="ERROR",1,0)</f>
        <v>0</v>
      </c>
      <c r="T81" s="2">
        <f>IF(tblChecks[[#This Row],[MissingStreet]]="MISSING",1,0)</f>
        <v>0</v>
      </c>
      <c r="U81" t="str">
        <f t="shared" si="8"/>
        <v>OK</v>
      </c>
    </row>
    <row r="82" spans="1:21" x14ac:dyDescent="0.3">
      <c r="A82" s="1" t="str">
        <f>CleanedData!F82</f>
        <v>PROP00081</v>
      </c>
      <c r="B82" s="2" t="str">
        <f>CleanedData!A82</f>
        <v>Spain, Valencia</v>
      </c>
      <c r="C82" s="2" t="str">
        <f>CleanedData!D82</f>
        <v>Spain</v>
      </c>
      <c r="D82" s="2" t="str">
        <f>CleanedData!E82</f>
        <v>Valencia</v>
      </c>
      <c r="E82" s="2" t="str">
        <f>CleanedData!O82</f>
        <v>Valencia</v>
      </c>
      <c r="F82" s="2" t="str">
        <f>CleanedData!M82</f>
        <v>Valencia</v>
      </c>
      <c r="G82" s="2" t="str">
        <f>CleanedData!B82</f>
        <v>86218</v>
      </c>
      <c r="H82" s="2" t="str">
        <f>CleanedData!C82</f>
        <v>+90-281357532</v>
      </c>
      <c r="I82" s="2" t="str">
        <f>CleanedData!G82</f>
        <v>Inactive</v>
      </c>
      <c r="J82" s="14">
        <f>CleanedData!H82</f>
        <v>45381</v>
      </c>
      <c r="K82" s="2" t="str">
        <f t="shared" si="9"/>
        <v>OK</v>
      </c>
      <c r="L82" s="2" t="str">
        <f t="shared" si="10"/>
        <v>OK</v>
      </c>
      <c r="M82" s="2" t="str">
        <f t="shared" si="11"/>
        <v>OK</v>
      </c>
      <c r="N82" s="2" t="str">
        <f t="shared" si="12"/>
        <v>MATCH</v>
      </c>
      <c r="O82" s="2" t="str">
        <f t="shared" si="13"/>
        <v>OK</v>
      </c>
      <c r="P82" s="2">
        <f t="shared" si="14"/>
        <v>0</v>
      </c>
      <c r="Q82" s="2" t="str">
        <f t="shared" si="15"/>
        <v>2024-03</v>
      </c>
      <c r="R82" s="3" t="s">
        <v>23</v>
      </c>
      <c r="S82" s="2">
        <f>IF(tblChecks[[#This Row],[AnyError]]="ERROR",1,0)</f>
        <v>0</v>
      </c>
      <c r="T82" s="2">
        <f>IF(tblChecks[[#This Row],[MissingStreet]]="MISSING",1,0)</f>
        <v>0</v>
      </c>
      <c r="U82" t="str">
        <f t="shared" si="8"/>
        <v>OK</v>
      </c>
    </row>
    <row r="83" spans="1:21" x14ac:dyDescent="0.3">
      <c r="A83" s="1" t="str">
        <f>CleanedData!F83</f>
        <v>PROP00082</v>
      </c>
      <c r="B83" s="2" t="str">
        <f>CleanedData!A83</f>
        <v>Brazil, São Paulo</v>
      </c>
      <c r="C83" s="2" t="str">
        <f>CleanedData!D83</f>
        <v>Brazil</v>
      </c>
      <c r="D83" s="2" t="str">
        <f>CleanedData!E83</f>
        <v>São Paulo</v>
      </c>
      <c r="E83" s="2" t="str">
        <f>CleanedData!O83</f>
        <v>São Paulo</v>
      </c>
      <c r="F83" s="2" t="str">
        <f>CleanedData!M83</f>
        <v>São Paulo</v>
      </c>
      <c r="G83" s="2" t="str">
        <f>CleanedData!B83</f>
        <v>39741</v>
      </c>
      <c r="H83" s="2" t="str">
        <f>CleanedData!C83</f>
        <v>+61-406195764</v>
      </c>
      <c r="I83" s="2" t="str">
        <f>CleanedData!G83</f>
        <v>Active</v>
      </c>
      <c r="J83" s="14">
        <f>CleanedData!H83</f>
        <v>45946</v>
      </c>
      <c r="K83" s="2" t="str">
        <f t="shared" si="9"/>
        <v>OK</v>
      </c>
      <c r="L83" s="2" t="str">
        <f t="shared" si="10"/>
        <v>OK</v>
      </c>
      <c r="M83" s="2" t="str">
        <f t="shared" si="11"/>
        <v>OK</v>
      </c>
      <c r="N83" s="2" t="str">
        <f t="shared" si="12"/>
        <v>MATCH</v>
      </c>
      <c r="O83" s="2" t="str">
        <f t="shared" si="13"/>
        <v>OK</v>
      </c>
      <c r="P83" s="2">
        <f t="shared" si="14"/>
        <v>0</v>
      </c>
      <c r="Q83" s="2" t="str">
        <f t="shared" si="15"/>
        <v>2025-10</v>
      </c>
      <c r="R83" s="3" t="s">
        <v>54</v>
      </c>
      <c r="S83" s="2">
        <f>IF(tblChecks[[#This Row],[AnyError]]="ERROR",1,0)</f>
        <v>0</v>
      </c>
      <c r="T83" s="2">
        <f>IF(tblChecks[[#This Row],[MissingStreet]]="MISSING",1,0)</f>
        <v>0</v>
      </c>
      <c r="U83" t="str">
        <f t="shared" si="8"/>
        <v>OK</v>
      </c>
    </row>
    <row r="84" spans="1:21" x14ac:dyDescent="0.3">
      <c r="A84" s="1" t="str">
        <f>CleanedData!F84</f>
        <v>PROP00083</v>
      </c>
      <c r="B84" s="2" t="str">
        <f>CleanedData!A84</f>
        <v>Brazil, São Paulo</v>
      </c>
      <c r="C84" s="2" t="str">
        <f>CleanedData!D84</f>
        <v>Brazil</v>
      </c>
      <c r="D84" s="2" t="str">
        <f>CleanedData!E84</f>
        <v>São Paulo</v>
      </c>
      <c r="E84" s="2" t="str">
        <f>CleanedData!O84</f>
        <v>São Paulo</v>
      </c>
      <c r="F84" s="2" t="str">
        <f>CleanedData!M84</f>
        <v>São Paulo</v>
      </c>
      <c r="G84" s="2" t="str">
        <f>CleanedData!B84</f>
        <v>35165</v>
      </c>
      <c r="H84" s="2" t="str">
        <f>CleanedData!C84</f>
        <v>+43-610390467</v>
      </c>
      <c r="I84" s="2" t="str">
        <f>CleanedData!G84</f>
        <v>Inactive</v>
      </c>
      <c r="J84" s="14">
        <f>CleanedData!H84</f>
        <v>45791</v>
      </c>
      <c r="K84" s="2" t="str">
        <f t="shared" si="9"/>
        <v>OK</v>
      </c>
      <c r="L84" s="2" t="str">
        <f t="shared" si="10"/>
        <v>OK</v>
      </c>
      <c r="M84" s="2" t="str">
        <f t="shared" si="11"/>
        <v>OK</v>
      </c>
      <c r="N84" s="2" t="str">
        <f t="shared" si="12"/>
        <v>MATCH</v>
      </c>
      <c r="O84" s="2" t="str">
        <f t="shared" si="13"/>
        <v>OK</v>
      </c>
      <c r="P84" s="2">
        <f t="shared" si="14"/>
        <v>0</v>
      </c>
      <c r="Q84" s="2" t="str">
        <f t="shared" si="15"/>
        <v>2025-05</v>
      </c>
      <c r="R84" s="3" t="s">
        <v>54</v>
      </c>
      <c r="S84" s="2">
        <f>IF(tblChecks[[#This Row],[AnyError]]="ERROR",1,0)</f>
        <v>0</v>
      </c>
      <c r="T84" s="2">
        <f>IF(tblChecks[[#This Row],[MissingStreet]]="MISSING",1,0)</f>
        <v>0</v>
      </c>
      <c r="U84" t="str">
        <f t="shared" si="8"/>
        <v>OK</v>
      </c>
    </row>
    <row r="85" spans="1:21" x14ac:dyDescent="0.3">
      <c r="A85" s="1" t="str">
        <f>CleanedData!F85</f>
        <v>PROP00084</v>
      </c>
      <c r="B85" s="2" t="str">
        <f>CleanedData!A85</f>
        <v>USALos AngelesPamela Summit57</v>
      </c>
      <c r="C85" s="2" t="str">
        <f>CleanedData!D85</f>
        <v>USA</v>
      </c>
      <c r="D85" s="2" t="str">
        <f>CleanedData!E85</f>
        <v>Los Angeles</v>
      </c>
      <c r="E85" s="2" t="str">
        <f>CleanedData!O85</f>
        <v>Los Angeles</v>
      </c>
      <c r="F85" s="2" t="str">
        <f>CleanedData!M85</f>
        <v>USALos AngelesPamela Summit57</v>
      </c>
      <c r="G85" s="2" t="str">
        <f>CleanedData!B85</f>
        <v>73013</v>
      </c>
      <c r="H85" s="2" t="str">
        <f>CleanedData!C85</f>
        <v>+53-349046412</v>
      </c>
      <c r="I85" s="2" t="str">
        <f>CleanedData!G85</f>
        <v>Inactive</v>
      </c>
      <c r="J85" s="14">
        <f>CleanedData!H85</f>
        <v>45718</v>
      </c>
      <c r="K85" s="2" t="str">
        <f t="shared" si="9"/>
        <v>OK</v>
      </c>
      <c r="L85" s="2" t="str">
        <f t="shared" si="10"/>
        <v>OK</v>
      </c>
      <c r="M85" s="2" t="str">
        <f t="shared" si="11"/>
        <v>OK</v>
      </c>
      <c r="N85" s="2" t="str">
        <f t="shared" si="12"/>
        <v>MATCH</v>
      </c>
      <c r="O85" s="2" t="str">
        <f t="shared" si="13"/>
        <v>OK</v>
      </c>
      <c r="P85" s="2">
        <f t="shared" si="14"/>
        <v>0</v>
      </c>
      <c r="Q85" s="2" t="str">
        <f t="shared" si="15"/>
        <v>2025-03</v>
      </c>
      <c r="R85" s="3" t="s">
        <v>16</v>
      </c>
      <c r="S85" s="2">
        <f>IF(tblChecks[[#This Row],[AnyError]]="ERROR",1,0)</f>
        <v>0</v>
      </c>
      <c r="T85" s="2">
        <f>IF(tblChecks[[#This Row],[MissingStreet]]="MISSING",1,0)</f>
        <v>0</v>
      </c>
      <c r="U85" t="str">
        <f t="shared" si="8"/>
        <v>OK</v>
      </c>
    </row>
    <row r="86" spans="1:21" x14ac:dyDescent="0.3">
      <c r="A86" s="1" t="str">
        <f>CleanedData!F86</f>
        <v>PROP00085</v>
      </c>
      <c r="B86" s="2" t="str">
        <f>CleanedData!A86</f>
        <v>France, Toulouse, Joseph Rapids 253</v>
      </c>
      <c r="C86" s="2" t="str">
        <f>CleanedData!D86</f>
        <v>France</v>
      </c>
      <c r="D86" s="2" t="str">
        <f>CleanedData!E86</f>
        <v>Toulouse</v>
      </c>
      <c r="E86" s="2" t="str">
        <f>CleanedData!O86</f>
        <v>Toulouse</v>
      </c>
      <c r="F86" s="2" t="str">
        <f>CleanedData!M86</f>
        <v>Joseph Rapids 253</v>
      </c>
      <c r="G86" s="2" t="str">
        <f>CleanedData!B86</f>
        <v>28108</v>
      </c>
      <c r="H86" s="2" t="str">
        <f>CleanedData!C86</f>
        <v>+71-437953376</v>
      </c>
      <c r="I86" s="2" t="str">
        <f>CleanedData!G86</f>
        <v>Inactive</v>
      </c>
      <c r="J86" s="14">
        <f>CleanedData!H86</f>
        <v>45639</v>
      </c>
      <c r="K86" s="2" t="str">
        <f t="shared" si="9"/>
        <v>OK</v>
      </c>
      <c r="L86" s="2" t="str">
        <f t="shared" si="10"/>
        <v>OK</v>
      </c>
      <c r="M86" s="2" t="str">
        <f t="shared" si="11"/>
        <v>OK</v>
      </c>
      <c r="N86" s="2" t="str">
        <f t="shared" si="12"/>
        <v>MATCH</v>
      </c>
      <c r="O86" s="2" t="str">
        <f t="shared" si="13"/>
        <v>OK</v>
      </c>
      <c r="P86" s="2">
        <f t="shared" si="14"/>
        <v>0</v>
      </c>
      <c r="Q86" s="2" t="str">
        <f t="shared" si="15"/>
        <v>2024-12</v>
      </c>
      <c r="R86" s="3" t="s">
        <v>39</v>
      </c>
      <c r="S86" s="2">
        <f>IF(tblChecks[[#This Row],[AnyError]]="ERROR",1,0)</f>
        <v>0</v>
      </c>
      <c r="T86" s="2">
        <f>IF(tblChecks[[#This Row],[MissingStreet]]="MISSING",1,0)</f>
        <v>0</v>
      </c>
      <c r="U86" t="str">
        <f t="shared" si="8"/>
        <v>OK</v>
      </c>
    </row>
    <row r="87" spans="1:21" x14ac:dyDescent="0.3">
      <c r="A87" s="1" t="str">
        <f>CleanedData!F87</f>
        <v>PROP00086</v>
      </c>
      <c r="B87" s="2" t="str">
        <f>CleanedData!A87</f>
        <v>Harris Roads19, Tokyo, Japan</v>
      </c>
      <c r="C87" s="2" t="str">
        <f>CleanedData!D87</f>
        <v>Japan</v>
      </c>
      <c r="D87" s="2" t="str">
        <f>CleanedData!E87</f>
        <v>Tokyo</v>
      </c>
      <c r="E87" s="2" t="str">
        <f>CleanedData!O87</f>
        <v>Tokyo</v>
      </c>
      <c r="F87" s="2" t="str">
        <f>CleanedData!M87</f>
        <v>Harris Roads19</v>
      </c>
      <c r="G87" s="2" t="str">
        <f>CleanedData!B87</f>
        <v>35101</v>
      </c>
      <c r="H87" s="2" t="str">
        <f>CleanedData!C87</f>
        <v>+43-753816494</v>
      </c>
      <c r="I87" s="2" t="str">
        <f>CleanedData!G87</f>
        <v>Active</v>
      </c>
      <c r="J87" s="14">
        <f>CleanedData!H87</f>
        <v>45027</v>
      </c>
      <c r="K87" s="2" t="str">
        <f t="shared" si="9"/>
        <v>OK</v>
      </c>
      <c r="L87" s="2" t="str">
        <f t="shared" si="10"/>
        <v>OK</v>
      </c>
      <c r="M87" s="2" t="str">
        <f t="shared" si="11"/>
        <v>OK</v>
      </c>
      <c r="N87" s="2" t="str">
        <f t="shared" si="12"/>
        <v>MATCH</v>
      </c>
      <c r="O87" s="2" t="str">
        <f t="shared" si="13"/>
        <v>OK</v>
      </c>
      <c r="P87" s="2">
        <f t="shared" si="14"/>
        <v>0</v>
      </c>
      <c r="Q87" s="2" t="str">
        <f t="shared" si="15"/>
        <v>2023-04</v>
      </c>
      <c r="R87" s="3" t="s">
        <v>16</v>
      </c>
      <c r="S87" s="2">
        <f>IF(tblChecks[[#This Row],[AnyError]]="ERROR",1,0)</f>
        <v>0</v>
      </c>
      <c r="T87" s="2">
        <f>IF(tblChecks[[#This Row],[MissingStreet]]="MISSING",1,0)</f>
        <v>0</v>
      </c>
      <c r="U87" t="str">
        <f t="shared" si="8"/>
        <v>OK</v>
      </c>
    </row>
    <row r="88" spans="1:21" x14ac:dyDescent="0.3">
      <c r="A88" s="1" t="str">
        <f>CleanedData!F88</f>
        <v>PROP00087</v>
      </c>
      <c r="B88" s="2" t="str">
        <f>CleanedData!A88</f>
        <v>Australia, Sydney, King Vista 190</v>
      </c>
      <c r="C88" s="2" t="str">
        <f>CleanedData!D88</f>
        <v>Australia</v>
      </c>
      <c r="D88" s="2" t="str">
        <f>CleanedData!E88</f>
        <v>Sydney</v>
      </c>
      <c r="E88" s="2" t="str">
        <f>CleanedData!O88</f>
        <v>Sydney</v>
      </c>
      <c r="F88" s="2" t="str">
        <f>CleanedData!M88</f>
        <v>King Vista 190</v>
      </c>
      <c r="G88" s="2" t="str">
        <f>CleanedData!B88</f>
        <v>7159</v>
      </c>
      <c r="H88" s="2" t="str">
        <f>CleanedData!C88</f>
        <v>+2-642643520</v>
      </c>
      <c r="I88" s="2" t="str">
        <f>CleanedData!G88</f>
        <v>Inactive</v>
      </c>
      <c r="J88" s="14">
        <f>CleanedData!H88</f>
        <v>45781</v>
      </c>
      <c r="K88" s="2" t="str">
        <f t="shared" si="9"/>
        <v>OK</v>
      </c>
      <c r="L88" s="2" t="str">
        <f t="shared" si="10"/>
        <v>OK</v>
      </c>
      <c r="M88" s="2" t="str">
        <f t="shared" si="11"/>
        <v>OK</v>
      </c>
      <c r="N88" s="2" t="str">
        <f t="shared" si="12"/>
        <v>MATCH</v>
      </c>
      <c r="O88" s="2" t="str">
        <f t="shared" si="13"/>
        <v>OK</v>
      </c>
      <c r="P88" s="2">
        <f t="shared" si="14"/>
        <v>0</v>
      </c>
      <c r="Q88" s="2" t="str">
        <f t="shared" si="15"/>
        <v>2025-05</v>
      </c>
      <c r="R88" s="3" t="s">
        <v>54</v>
      </c>
      <c r="S88" s="2">
        <f>IF(tblChecks[[#This Row],[AnyError]]="ERROR",1,0)</f>
        <v>0</v>
      </c>
      <c r="T88" s="2">
        <f>IF(tblChecks[[#This Row],[MissingStreet]]="MISSING",1,0)</f>
        <v>0</v>
      </c>
      <c r="U88" t="str">
        <f t="shared" si="8"/>
        <v>OK</v>
      </c>
    </row>
    <row r="89" spans="1:21" x14ac:dyDescent="0.3">
      <c r="A89" s="1" t="str">
        <f>CleanedData!F89</f>
        <v>PROP00088</v>
      </c>
      <c r="B89" s="2" t="str">
        <f>CleanedData!A89</f>
        <v>Germany, Munich</v>
      </c>
      <c r="C89" s="2" t="str">
        <f>CleanedData!D89</f>
        <v>Germany</v>
      </c>
      <c r="D89" s="2" t="str">
        <f>CleanedData!E89</f>
        <v>Munich</v>
      </c>
      <c r="E89" s="2" t="str">
        <f>CleanedData!O89</f>
        <v>Munich</v>
      </c>
      <c r="F89" s="2" t="str">
        <f>CleanedData!M89</f>
        <v>Munich</v>
      </c>
      <c r="G89" s="2" t="str">
        <f>CleanedData!B89</f>
        <v>36766</v>
      </c>
      <c r="H89" s="2" t="str">
        <f>CleanedData!C89</f>
        <v>+44-875991961</v>
      </c>
      <c r="I89" s="2" t="str">
        <f>CleanedData!G89</f>
        <v>Inactive</v>
      </c>
      <c r="J89" s="14">
        <f>CleanedData!H89</f>
        <v>45545</v>
      </c>
      <c r="K89" s="2" t="str">
        <f t="shared" si="9"/>
        <v>OK</v>
      </c>
      <c r="L89" s="2" t="str">
        <f t="shared" si="10"/>
        <v>OK</v>
      </c>
      <c r="M89" s="2" t="str">
        <f t="shared" si="11"/>
        <v>OK</v>
      </c>
      <c r="N89" s="2" t="str">
        <f t="shared" si="12"/>
        <v>MATCH</v>
      </c>
      <c r="O89" s="2" t="str">
        <f t="shared" si="13"/>
        <v>OK</v>
      </c>
      <c r="P89" s="2">
        <f t="shared" si="14"/>
        <v>0</v>
      </c>
      <c r="Q89" s="2" t="str">
        <f t="shared" si="15"/>
        <v>2024-09</v>
      </c>
      <c r="R89" s="3" t="s">
        <v>54</v>
      </c>
      <c r="S89" s="2">
        <f>IF(tblChecks[[#This Row],[AnyError]]="ERROR",1,0)</f>
        <v>0</v>
      </c>
      <c r="T89" s="2">
        <f>IF(tblChecks[[#This Row],[MissingStreet]]="MISSING",1,0)</f>
        <v>0</v>
      </c>
      <c r="U89" t="str">
        <f t="shared" si="8"/>
        <v>OK</v>
      </c>
    </row>
    <row r="90" spans="1:21" x14ac:dyDescent="0.3">
      <c r="A90" s="1" t="str">
        <f>CleanedData!F90</f>
        <v>PROP00089</v>
      </c>
      <c r="B90" s="2" t="str">
        <f>CleanedData!A90</f>
        <v>Japan, Kyoto</v>
      </c>
      <c r="C90" s="2" t="str">
        <f>CleanedData!D90</f>
        <v>Japan</v>
      </c>
      <c r="D90" s="2" t="str">
        <f>CleanedData!E90</f>
        <v>Kyoto</v>
      </c>
      <c r="E90" s="2" t="str">
        <f>CleanedData!O90</f>
        <v>Kyoto</v>
      </c>
      <c r="F90" s="2" t="str">
        <f>CleanedData!M90</f>
        <v>Kyoto</v>
      </c>
      <c r="G90" s="2" t="str">
        <f>CleanedData!B90</f>
        <v>17647</v>
      </c>
      <c r="H90" s="2" t="str">
        <f>CleanedData!C90</f>
        <v>+30-729230982</v>
      </c>
      <c r="I90" s="2" t="str">
        <f>CleanedData!G90</f>
        <v>Active</v>
      </c>
      <c r="J90" s="14">
        <f>CleanedData!H90</f>
        <v>45515</v>
      </c>
      <c r="K90" s="2" t="str">
        <f t="shared" si="9"/>
        <v>OK</v>
      </c>
      <c r="L90" s="2" t="str">
        <f t="shared" si="10"/>
        <v>OK</v>
      </c>
      <c r="M90" s="2" t="str">
        <f t="shared" si="11"/>
        <v>OK</v>
      </c>
      <c r="N90" s="2" t="str">
        <f t="shared" si="12"/>
        <v>MATCH</v>
      </c>
      <c r="O90" s="2" t="str">
        <f t="shared" si="13"/>
        <v>OK</v>
      </c>
      <c r="P90" s="2">
        <f t="shared" si="14"/>
        <v>0</v>
      </c>
      <c r="Q90" s="2" t="str">
        <f t="shared" si="15"/>
        <v>2024-08</v>
      </c>
      <c r="R90" s="3" t="s">
        <v>16</v>
      </c>
      <c r="S90" s="2">
        <f>IF(tblChecks[[#This Row],[AnyError]]="ERROR",1,0)</f>
        <v>0</v>
      </c>
      <c r="T90" s="2">
        <f>IF(tblChecks[[#This Row],[MissingStreet]]="MISSING",1,0)</f>
        <v>0</v>
      </c>
      <c r="U90" t="str">
        <f t="shared" si="8"/>
        <v>OK</v>
      </c>
    </row>
    <row r="91" spans="1:21" x14ac:dyDescent="0.3">
      <c r="A91" s="1" t="str">
        <f>CleanedData!F91</f>
        <v>PROP00090</v>
      </c>
      <c r="B91" s="2" t="str">
        <f>CleanedData!A91</f>
        <v>CalgaryMartin Mills172, Canada</v>
      </c>
      <c r="C91" s="2" t="str">
        <f>CleanedData!D91</f>
        <v>Canada</v>
      </c>
      <c r="D91" s="2" t="str">
        <f>CleanedData!E91</f>
        <v>Calgary</v>
      </c>
      <c r="E91" s="2" t="str">
        <f>CleanedData!O91</f>
        <v>Calgary</v>
      </c>
      <c r="F91" s="2" t="str">
        <f>CleanedData!M91</f>
        <v>CalgaryMartin Mills172</v>
      </c>
      <c r="G91" s="2" t="str">
        <f>CleanedData!B91</f>
        <v>72810</v>
      </c>
      <c r="H91" s="2" t="str">
        <f>CleanedData!C91</f>
        <v>+22-949812813</v>
      </c>
      <c r="I91" s="2" t="str">
        <f>CleanedData!G91</f>
        <v>Active</v>
      </c>
      <c r="J91" s="14">
        <f>CleanedData!H91</f>
        <v>45554</v>
      </c>
      <c r="K91" s="2" t="str">
        <f t="shared" si="9"/>
        <v>OK</v>
      </c>
      <c r="L91" s="2" t="str">
        <f t="shared" si="10"/>
        <v>OK</v>
      </c>
      <c r="M91" s="2" t="str">
        <f t="shared" si="11"/>
        <v>OK</v>
      </c>
      <c r="N91" s="2" t="str">
        <f t="shared" si="12"/>
        <v>MATCH</v>
      </c>
      <c r="O91" s="2" t="str">
        <f t="shared" si="13"/>
        <v>OK</v>
      </c>
      <c r="P91" s="2">
        <f t="shared" si="14"/>
        <v>0</v>
      </c>
      <c r="Q91" s="2" t="str">
        <f t="shared" si="15"/>
        <v>2024-09</v>
      </c>
      <c r="R91" s="3" t="s">
        <v>16</v>
      </c>
      <c r="S91" s="2">
        <f>IF(tblChecks[[#This Row],[AnyError]]="ERROR",1,0)</f>
        <v>0</v>
      </c>
      <c r="T91" s="2">
        <f>IF(tblChecks[[#This Row],[MissingStreet]]="MISSING",1,0)</f>
        <v>0</v>
      </c>
      <c r="U91" t="str">
        <f t="shared" si="8"/>
        <v>OK</v>
      </c>
    </row>
    <row r="92" spans="1:21" x14ac:dyDescent="0.3">
      <c r="A92" s="1" t="str">
        <f>CleanedData!F92</f>
        <v>PROP00091</v>
      </c>
      <c r="B92" s="2" t="str">
        <f>CleanedData!A92</f>
        <v>Hoffman Creek 251, Rio de Janeiro</v>
      </c>
      <c r="C92" s="2" t="str">
        <f>CleanedData!D92</f>
        <v>Brazil</v>
      </c>
      <c r="D92" s="2" t="str">
        <f>CleanedData!E92</f>
        <v>Rio de Janeiro</v>
      </c>
      <c r="E92" s="2" t="str">
        <f>CleanedData!O92</f>
        <v>Rio de Janeiro</v>
      </c>
      <c r="F92" s="2" t="str">
        <f>CleanedData!M92</f>
        <v>Hoffman Creek 251</v>
      </c>
      <c r="G92" s="2" t="str">
        <f>CleanedData!B92</f>
        <v>10363</v>
      </c>
      <c r="H92" s="2" t="str">
        <f>CleanedData!C92</f>
        <v>+74-933316969</v>
      </c>
      <c r="I92" s="2" t="str">
        <f>CleanedData!G92</f>
        <v>Inactive</v>
      </c>
      <c r="J92" s="14">
        <f>CleanedData!H92</f>
        <v>45027</v>
      </c>
      <c r="K92" s="2" t="str">
        <f t="shared" si="9"/>
        <v>OK</v>
      </c>
      <c r="L92" s="2" t="str">
        <f t="shared" si="10"/>
        <v>OK</v>
      </c>
      <c r="M92" s="2" t="str">
        <f t="shared" si="11"/>
        <v>OK</v>
      </c>
      <c r="N92" s="2" t="str">
        <f t="shared" si="12"/>
        <v>MATCH</v>
      </c>
      <c r="O92" s="2" t="str">
        <f t="shared" si="13"/>
        <v>OK</v>
      </c>
      <c r="P92" s="2">
        <f t="shared" si="14"/>
        <v>0</v>
      </c>
      <c r="Q92" s="2" t="str">
        <f t="shared" si="15"/>
        <v>2023-04</v>
      </c>
      <c r="R92" s="3" t="s">
        <v>39</v>
      </c>
      <c r="S92" s="2">
        <f>IF(tblChecks[[#This Row],[AnyError]]="ERROR",1,0)</f>
        <v>0</v>
      </c>
      <c r="T92" s="2">
        <f>IF(tblChecks[[#This Row],[MissingStreet]]="MISSING",1,0)</f>
        <v>0</v>
      </c>
      <c r="U92" t="str">
        <f t="shared" si="8"/>
        <v>OK</v>
      </c>
    </row>
    <row r="93" spans="1:21" x14ac:dyDescent="0.3">
      <c r="A93" s="1" t="str">
        <f>CleanedData!F93</f>
        <v>PROP00092</v>
      </c>
      <c r="B93" s="2" t="str">
        <f>CleanedData!A93</f>
        <v>FranceMarseille</v>
      </c>
      <c r="C93" s="2" t="str">
        <f>CleanedData!D93</f>
        <v>France</v>
      </c>
      <c r="D93" s="2" t="str">
        <f>CleanedData!E93</f>
        <v>Marseille</v>
      </c>
      <c r="E93" s="2" t="str">
        <f>CleanedData!O93</f>
        <v>Marseille</v>
      </c>
      <c r="F93" s="2" t="str">
        <f>CleanedData!M93</f>
        <v/>
      </c>
      <c r="G93" s="2" t="str">
        <f>CleanedData!B93</f>
        <v>48894</v>
      </c>
      <c r="H93" s="2" t="str">
        <f>CleanedData!C93</f>
        <v>+39-668783916</v>
      </c>
      <c r="I93" s="2" t="str">
        <f>CleanedData!G93</f>
        <v>Active</v>
      </c>
      <c r="J93" s="14">
        <f>CleanedData!H93</f>
        <v>45042</v>
      </c>
      <c r="K93" s="2" t="str">
        <f t="shared" si="9"/>
        <v>MISSING</v>
      </c>
      <c r="L93" s="2" t="str">
        <f t="shared" si="10"/>
        <v>OK</v>
      </c>
      <c r="M93" s="2" t="str">
        <f t="shared" si="11"/>
        <v>OK</v>
      </c>
      <c r="N93" s="2" t="str">
        <f t="shared" si="12"/>
        <v>MATCH</v>
      </c>
      <c r="O93" s="2" t="str">
        <f t="shared" si="13"/>
        <v>ERROR</v>
      </c>
      <c r="P93" s="2">
        <f t="shared" si="14"/>
        <v>1</v>
      </c>
      <c r="Q93" s="2" t="str">
        <f t="shared" si="15"/>
        <v>2023-04</v>
      </c>
      <c r="R93" s="3" t="s">
        <v>33</v>
      </c>
      <c r="S93" s="2">
        <f>IF(tblChecks[[#This Row],[AnyError]]="ERROR",1,0)</f>
        <v>1</v>
      </c>
      <c r="T93" s="2">
        <f>IF(tblChecks[[#This Row],[MissingStreet]]="MISSING",1,0)</f>
        <v>1</v>
      </c>
      <c r="U93" t="str">
        <f t="shared" si="8"/>
        <v>MissingStreet</v>
      </c>
    </row>
    <row r="94" spans="1:21" x14ac:dyDescent="0.3">
      <c r="A94" s="1" t="str">
        <f>CleanedData!F94</f>
        <v>PROP00093</v>
      </c>
      <c r="B94" s="2" t="str">
        <f>CleanedData!A94</f>
        <v>Russell Canyon13, Leeds, UK</v>
      </c>
      <c r="C94" s="2" t="str">
        <f>CleanedData!D94</f>
        <v>UK</v>
      </c>
      <c r="D94" s="2" t="str">
        <f>CleanedData!E94</f>
        <v>Leeds</v>
      </c>
      <c r="E94" s="2" t="str">
        <f>CleanedData!O94</f>
        <v>Leeds</v>
      </c>
      <c r="F94" s="2" t="str">
        <f>CleanedData!M94</f>
        <v>Russell Canyon13</v>
      </c>
      <c r="G94" s="2" t="str">
        <f>CleanedData!B94</f>
        <v>40905</v>
      </c>
      <c r="H94" s="2" t="str">
        <f>CleanedData!C94</f>
        <v>+99-544053943</v>
      </c>
      <c r="I94" s="2" t="str">
        <f>CleanedData!G94</f>
        <v>Active</v>
      </c>
      <c r="J94" s="14">
        <f>CleanedData!H94</f>
        <v>45910</v>
      </c>
      <c r="K94" s="2" t="str">
        <f t="shared" si="9"/>
        <v>OK</v>
      </c>
      <c r="L94" s="2" t="str">
        <f t="shared" si="10"/>
        <v>OK</v>
      </c>
      <c r="M94" s="2" t="str">
        <f t="shared" si="11"/>
        <v>OK</v>
      </c>
      <c r="N94" s="2" t="str">
        <f t="shared" si="12"/>
        <v>MATCH</v>
      </c>
      <c r="O94" s="2" t="str">
        <f t="shared" si="13"/>
        <v>OK</v>
      </c>
      <c r="P94" s="2">
        <f t="shared" si="14"/>
        <v>0</v>
      </c>
      <c r="Q94" s="2" t="str">
        <f t="shared" si="15"/>
        <v>2025-09</v>
      </c>
      <c r="R94" s="3" t="s">
        <v>23</v>
      </c>
      <c r="S94" s="2">
        <f>IF(tblChecks[[#This Row],[AnyError]]="ERROR",1,0)</f>
        <v>0</v>
      </c>
      <c r="T94" s="2">
        <f>IF(tblChecks[[#This Row],[MissingStreet]]="MISSING",1,0)</f>
        <v>0</v>
      </c>
      <c r="U94" t="str">
        <f t="shared" si="8"/>
        <v>OK</v>
      </c>
    </row>
    <row r="95" spans="1:21" x14ac:dyDescent="0.3">
      <c r="A95" s="1" t="str">
        <f>CleanedData!F95</f>
        <v>PROP00094</v>
      </c>
      <c r="B95" s="2" t="str">
        <f>CleanedData!A95</f>
        <v>BrazilBrasília, Brazil</v>
      </c>
      <c r="C95" s="2" t="str">
        <f>CleanedData!D95</f>
        <v>Brazil</v>
      </c>
      <c r="D95" s="2" t="str">
        <f>CleanedData!E95</f>
        <v>Brasília</v>
      </c>
      <c r="E95" s="2" t="str">
        <f>CleanedData!O95</f>
        <v>Brasília</v>
      </c>
      <c r="F95" s="2" t="str">
        <f>CleanedData!M95</f>
        <v>Brazil</v>
      </c>
      <c r="G95" s="2" t="str">
        <f>CleanedData!B95</f>
        <v>5730</v>
      </c>
      <c r="H95" s="2" t="str">
        <f>CleanedData!C95</f>
        <v>+91-128006433</v>
      </c>
      <c r="I95" s="2" t="str">
        <f>CleanedData!G95</f>
        <v>Inactive</v>
      </c>
      <c r="J95" s="14">
        <f>CleanedData!H95</f>
        <v>44954</v>
      </c>
      <c r="K95" s="2" t="str">
        <f t="shared" si="9"/>
        <v>OK</v>
      </c>
      <c r="L95" s="2" t="str">
        <f t="shared" si="10"/>
        <v>OK</v>
      </c>
      <c r="M95" s="2" t="str">
        <f t="shared" si="11"/>
        <v>OK</v>
      </c>
      <c r="N95" s="2" t="str">
        <f t="shared" si="12"/>
        <v>MATCH</v>
      </c>
      <c r="O95" s="2" t="str">
        <f t="shared" si="13"/>
        <v>OK</v>
      </c>
      <c r="P95" s="2">
        <f t="shared" si="14"/>
        <v>0</v>
      </c>
      <c r="Q95" s="2" t="str">
        <f t="shared" si="15"/>
        <v>2023-01</v>
      </c>
      <c r="R95" s="3" t="s">
        <v>33</v>
      </c>
      <c r="S95" s="2">
        <f>IF(tblChecks[[#This Row],[AnyError]]="ERROR",1,0)</f>
        <v>0</v>
      </c>
      <c r="T95" s="2">
        <f>IF(tblChecks[[#This Row],[MissingStreet]]="MISSING",1,0)</f>
        <v>0</v>
      </c>
      <c r="U95" t="str">
        <f t="shared" si="8"/>
        <v>OK</v>
      </c>
    </row>
    <row r="96" spans="1:21" x14ac:dyDescent="0.3">
      <c r="A96" s="1" t="str">
        <f>CleanedData!F96</f>
        <v>PROP00095</v>
      </c>
      <c r="B96" s="2" t="str">
        <f>CleanedData!A96</f>
        <v>CanadaMontreal</v>
      </c>
      <c r="C96" s="2" t="str">
        <f>CleanedData!D96</f>
        <v>Canada</v>
      </c>
      <c r="D96" s="2" t="str">
        <f>CleanedData!E96</f>
        <v>Montreal</v>
      </c>
      <c r="E96" s="2" t="str">
        <f>CleanedData!O96</f>
        <v>Montreal</v>
      </c>
      <c r="F96" s="2" t="str">
        <f>CleanedData!M96</f>
        <v/>
      </c>
      <c r="G96" s="2" t="str">
        <f>CleanedData!B96</f>
        <v>87917</v>
      </c>
      <c r="H96" s="2" t="str">
        <f>CleanedData!C96</f>
        <v>+50-444364960</v>
      </c>
      <c r="I96" s="2" t="str">
        <f>CleanedData!G96</f>
        <v>Inactive</v>
      </c>
      <c r="J96" s="14">
        <f>CleanedData!H96</f>
        <v>45305</v>
      </c>
      <c r="K96" s="2" t="str">
        <f t="shared" si="9"/>
        <v>MISSING</v>
      </c>
      <c r="L96" s="2" t="str">
        <f t="shared" si="10"/>
        <v>OK</v>
      </c>
      <c r="M96" s="2" t="str">
        <f t="shared" si="11"/>
        <v>OK</v>
      </c>
      <c r="N96" s="2" t="str">
        <f t="shared" si="12"/>
        <v>MATCH</v>
      </c>
      <c r="O96" s="2" t="str">
        <f t="shared" si="13"/>
        <v>ERROR</v>
      </c>
      <c r="P96" s="2">
        <f t="shared" si="14"/>
        <v>1</v>
      </c>
      <c r="Q96" s="2" t="str">
        <f t="shared" si="15"/>
        <v>2024-01</v>
      </c>
      <c r="R96" s="3" t="s">
        <v>54</v>
      </c>
      <c r="S96" s="2">
        <f>IF(tblChecks[[#This Row],[AnyError]]="ERROR",1,0)</f>
        <v>1</v>
      </c>
      <c r="T96" s="2">
        <f>IF(tblChecks[[#This Row],[MissingStreet]]="MISSING",1,0)</f>
        <v>1</v>
      </c>
      <c r="U96" t="str">
        <f t="shared" si="8"/>
        <v>MissingStreet</v>
      </c>
    </row>
    <row r="97" spans="1:21" x14ac:dyDescent="0.3">
      <c r="A97" s="1" t="str">
        <f>CleanedData!F97</f>
        <v>PROP00096</v>
      </c>
      <c r="B97" s="2" t="str">
        <f>CleanedData!A97</f>
        <v>FranceLyonMichael Points219</v>
      </c>
      <c r="C97" s="2" t="str">
        <f>CleanedData!D97</f>
        <v>France</v>
      </c>
      <c r="D97" s="2" t="str">
        <f>CleanedData!E97</f>
        <v>Lyon</v>
      </c>
      <c r="E97" s="2" t="str">
        <f>CleanedData!O97</f>
        <v>Lyon</v>
      </c>
      <c r="F97" s="2" t="str">
        <f>CleanedData!M97</f>
        <v>FranceLyonMichael Points219</v>
      </c>
      <c r="G97" s="2" t="str">
        <f>CleanedData!B97</f>
        <v>53765</v>
      </c>
      <c r="H97" s="2" t="str">
        <f>CleanedData!C97</f>
        <v>+82-254422976</v>
      </c>
      <c r="I97" s="2" t="str">
        <f>CleanedData!G97</f>
        <v>Inactive</v>
      </c>
      <c r="J97" s="14">
        <f>CleanedData!H97</f>
        <v>45504</v>
      </c>
      <c r="K97" s="2" t="str">
        <f t="shared" si="9"/>
        <v>OK</v>
      </c>
      <c r="L97" s="2" t="str">
        <f t="shared" si="10"/>
        <v>OK</v>
      </c>
      <c r="M97" s="2" t="str">
        <f t="shared" si="11"/>
        <v>OK</v>
      </c>
      <c r="N97" s="2" t="str">
        <f t="shared" si="12"/>
        <v>MATCH</v>
      </c>
      <c r="O97" s="2" t="str">
        <f t="shared" si="13"/>
        <v>OK</v>
      </c>
      <c r="P97" s="2">
        <f t="shared" si="14"/>
        <v>0</v>
      </c>
      <c r="Q97" s="2" t="str">
        <f t="shared" si="15"/>
        <v>2024-07</v>
      </c>
      <c r="R97" s="3" t="s">
        <v>23</v>
      </c>
      <c r="S97" s="2">
        <f>IF(tblChecks[[#This Row],[AnyError]]="ERROR",1,0)</f>
        <v>0</v>
      </c>
      <c r="T97" s="2">
        <f>IF(tblChecks[[#This Row],[MissingStreet]]="MISSING",1,0)</f>
        <v>0</v>
      </c>
      <c r="U97" t="str">
        <f t="shared" si="8"/>
        <v>OK</v>
      </c>
    </row>
    <row r="98" spans="1:21" x14ac:dyDescent="0.3">
      <c r="A98" s="1" t="str">
        <f>CleanedData!F98</f>
        <v>PROP00097</v>
      </c>
      <c r="B98" s="2" t="str">
        <f>CleanedData!A98</f>
        <v>France, Paris</v>
      </c>
      <c r="C98" s="2" t="str">
        <f>CleanedData!D98</f>
        <v>France</v>
      </c>
      <c r="D98" s="2" t="str">
        <f>CleanedData!E98</f>
        <v>Paris</v>
      </c>
      <c r="E98" s="2" t="str">
        <f>CleanedData!O98</f>
        <v>Paris</v>
      </c>
      <c r="F98" s="2" t="str">
        <f>CleanedData!M98</f>
        <v>Paris</v>
      </c>
      <c r="G98" s="2" t="str">
        <f>CleanedData!B98</f>
        <v>21800</v>
      </c>
      <c r="H98" s="2" t="str">
        <f>CleanedData!C98</f>
        <v>+78-268374543</v>
      </c>
      <c r="I98" s="2" t="str">
        <f>CleanedData!G98</f>
        <v>Inactive</v>
      </c>
      <c r="J98" s="14">
        <f>CleanedData!H98</f>
        <v>45022</v>
      </c>
      <c r="K98" s="2" t="str">
        <f t="shared" si="9"/>
        <v>OK</v>
      </c>
      <c r="L98" s="2" t="str">
        <f t="shared" si="10"/>
        <v>OK</v>
      </c>
      <c r="M98" s="2" t="str">
        <f t="shared" si="11"/>
        <v>OK</v>
      </c>
      <c r="N98" s="2" t="str">
        <f t="shared" si="12"/>
        <v>MATCH</v>
      </c>
      <c r="O98" s="2" t="str">
        <f t="shared" si="13"/>
        <v>OK</v>
      </c>
      <c r="P98" s="2">
        <f t="shared" si="14"/>
        <v>0</v>
      </c>
      <c r="Q98" s="2" t="str">
        <f t="shared" si="15"/>
        <v>2023-04</v>
      </c>
      <c r="R98" s="3" t="s">
        <v>39</v>
      </c>
      <c r="S98" s="2">
        <f>IF(tblChecks[[#This Row],[AnyError]]="ERROR",1,0)</f>
        <v>0</v>
      </c>
      <c r="T98" s="2">
        <f>IF(tblChecks[[#This Row],[MissingStreet]]="MISSING",1,0)</f>
        <v>0</v>
      </c>
      <c r="U98" t="str">
        <f t="shared" si="8"/>
        <v>OK</v>
      </c>
    </row>
    <row r="99" spans="1:21" x14ac:dyDescent="0.3">
      <c r="A99" s="1" t="str">
        <f>CleanedData!F99</f>
        <v>PROP00098</v>
      </c>
      <c r="B99" s="2" t="str">
        <f>CleanedData!A99</f>
        <v>Nicole Burg 111, UK, Birmingham</v>
      </c>
      <c r="C99" s="2" t="str">
        <f>CleanedData!D99</f>
        <v>UK</v>
      </c>
      <c r="D99" s="2" t="str">
        <f>CleanedData!E99</f>
        <v>Birmingham</v>
      </c>
      <c r="E99" s="2" t="str">
        <f>CleanedData!O99</f>
        <v>Birmingham</v>
      </c>
      <c r="F99" s="2" t="str">
        <f>CleanedData!M99</f>
        <v>Nicole Burg 111</v>
      </c>
      <c r="G99" s="2" t="str">
        <f>CleanedData!B99</f>
        <v>24010</v>
      </c>
      <c r="H99" s="2" t="str">
        <f>CleanedData!C99</f>
        <v>+66-401294716</v>
      </c>
      <c r="I99" s="2" t="str">
        <f>CleanedData!G99</f>
        <v>Active</v>
      </c>
      <c r="J99" s="14">
        <f>CleanedData!H99</f>
        <v>44940</v>
      </c>
      <c r="K99" s="2" t="str">
        <f t="shared" si="9"/>
        <v>OK</v>
      </c>
      <c r="L99" s="2" t="str">
        <f t="shared" si="10"/>
        <v>OK</v>
      </c>
      <c r="M99" s="2" t="str">
        <f t="shared" si="11"/>
        <v>OK</v>
      </c>
      <c r="N99" s="2" t="str">
        <f t="shared" si="12"/>
        <v>MATCH</v>
      </c>
      <c r="O99" s="2" t="str">
        <f t="shared" si="13"/>
        <v>OK</v>
      </c>
      <c r="P99" s="2">
        <f t="shared" si="14"/>
        <v>0</v>
      </c>
      <c r="Q99" s="2" t="str">
        <f t="shared" si="15"/>
        <v>2023-01</v>
      </c>
      <c r="R99" s="3" t="s">
        <v>16</v>
      </c>
      <c r="S99" s="2">
        <f>IF(tblChecks[[#This Row],[AnyError]]="ERROR",1,0)</f>
        <v>0</v>
      </c>
      <c r="T99" s="2">
        <f>IF(tblChecks[[#This Row],[MissingStreet]]="MISSING",1,0)</f>
        <v>0</v>
      </c>
      <c r="U99" t="str">
        <f t="shared" si="8"/>
        <v>OK</v>
      </c>
    </row>
    <row r="100" spans="1:21" x14ac:dyDescent="0.3">
      <c r="A100" s="1" t="str">
        <f>CleanedData!F100</f>
        <v>PROP00099</v>
      </c>
      <c r="B100" s="2" t="str">
        <f>CleanedData!A100</f>
        <v>Rio de JaneiroPatton Loop78, Brazil</v>
      </c>
      <c r="C100" s="2" t="str">
        <f>CleanedData!D100</f>
        <v>Brazil</v>
      </c>
      <c r="D100" s="2" t="str">
        <f>CleanedData!E100</f>
        <v>Rio de Janeiro</v>
      </c>
      <c r="E100" s="2" t="str">
        <f>CleanedData!O100</f>
        <v>Rio de Janeiro</v>
      </c>
      <c r="F100" s="2" t="str">
        <f>CleanedData!M100</f>
        <v>Rio de JaneiroPatton Loop78</v>
      </c>
      <c r="G100" s="2" t="str">
        <f>CleanedData!B100</f>
        <v>88307</v>
      </c>
      <c r="H100" s="2" t="str">
        <f>CleanedData!C100</f>
        <v>+68-104681050</v>
      </c>
      <c r="I100" s="2" t="str">
        <f>CleanedData!G100</f>
        <v>Active</v>
      </c>
      <c r="J100" s="14">
        <f>CleanedData!H100</f>
        <v>45447</v>
      </c>
      <c r="K100" s="2" t="str">
        <f t="shared" si="9"/>
        <v>OK</v>
      </c>
      <c r="L100" s="2" t="str">
        <f t="shared" si="10"/>
        <v>OK</v>
      </c>
      <c r="M100" s="2" t="str">
        <f t="shared" si="11"/>
        <v>OK</v>
      </c>
      <c r="N100" s="2" t="str">
        <f t="shared" si="12"/>
        <v>MATCH</v>
      </c>
      <c r="O100" s="2" t="str">
        <f t="shared" si="13"/>
        <v>OK</v>
      </c>
      <c r="P100" s="2">
        <f t="shared" si="14"/>
        <v>0</v>
      </c>
      <c r="Q100" s="2" t="str">
        <f t="shared" si="15"/>
        <v>2024-06</v>
      </c>
      <c r="R100" s="3" t="s">
        <v>54</v>
      </c>
      <c r="S100" s="2">
        <f>IF(tblChecks[[#This Row],[AnyError]]="ERROR",1,0)</f>
        <v>0</v>
      </c>
      <c r="T100" s="2">
        <f>IF(tblChecks[[#This Row],[MissingStreet]]="MISSING",1,0)</f>
        <v>0</v>
      </c>
      <c r="U100" t="str">
        <f t="shared" si="8"/>
        <v>OK</v>
      </c>
    </row>
    <row r="101" spans="1:21" x14ac:dyDescent="0.3">
      <c r="A101" s="1" t="str">
        <f>CleanedData!F101</f>
        <v>PROP00100</v>
      </c>
      <c r="B101" s="2" t="str">
        <f>CleanedData!A101</f>
        <v>CanadaOttawa, Canada</v>
      </c>
      <c r="C101" s="2" t="str">
        <f>CleanedData!D101</f>
        <v>Canada</v>
      </c>
      <c r="D101" s="2" t="str">
        <f>CleanedData!E101</f>
        <v>Ottawa</v>
      </c>
      <c r="E101" s="2" t="str">
        <f>CleanedData!O101</f>
        <v>Ottawa</v>
      </c>
      <c r="F101" s="2" t="str">
        <f>CleanedData!M101</f>
        <v>Canada</v>
      </c>
      <c r="G101" s="2" t="str">
        <f>CleanedData!B101</f>
        <v>92418</v>
      </c>
      <c r="H101" s="2" t="str">
        <f>CleanedData!C101</f>
        <v>+72-516046588</v>
      </c>
      <c r="I101" s="2" t="str">
        <f>CleanedData!G101</f>
        <v>Active</v>
      </c>
      <c r="J101" s="14">
        <f>CleanedData!H101</f>
        <v>45871</v>
      </c>
      <c r="K101" s="2" t="str">
        <f t="shared" si="9"/>
        <v>OK</v>
      </c>
      <c r="L101" s="2" t="str">
        <f t="shared" si="10"/>
        <v>OK</v>
      </c>
      <c r="M101" s="2" t="str">
        <f t="shared" si="11"/>
        <v>OK</v>
      </c>
      <c r="N101" s="2" t="str">
        <f t="shared" si="12"/>
        <v>MATCH</v>
      </c>
      <c r="O101" s="2" t="str">
        <f t="shared" si="13"/>
        <v>OK</v>
      </c>
      <c r="P101" s="2">
        <f t="shared" si="14"/>
        <v>0</v>
      </c>
      <c r="Q101" s="2" t="str">
        <f t="shared" si="15"/>
        <v>2025-08</v>
      </c>
      <c r="R101" s="3" t="s">
        <v>39</v>
      </c>
      <c r="S101" s="2">
        <f>IF(tblChecks[[#This Row],[AnyError]]="ERROR",1,0)</f>
        <v>0</v>
      </c>
      <c r="T101" s="2">
        <f>IF(tblChecks[[#This Row],[MissingStreet]]="MISSING",1,0)</f>
        <v>0</v>
      </c>
      <c r="U101" t="str">
        <f t="shared" si="8"/>
        <v>OK</v>
      </c>
    </row>
    <row r="102" spans="1:21" x14ac:dyDescent="0.3">
      <c r="A102" s="1" t="str">
        <f>CleanedData!F102</f>
        <v>PROP00101</v>
      </c>
      <c r="B102" s="2" t="str">
        <f>CleanedData!A102</f>
        <v>Patrick Camp 280, Toronto</v>
      </c>
      <c r="C102" s="2" t="str">
        <f>CleanedData!D102</f>
        <v>Canada</v>
      </c>
      <c r="D102" s="2" t="str">
        <f>CleanedData!E102</f>
        <v>Toronto</v>
      </c>
      <c r="E102" s="2" t="str">
        <f>CleanedData!O102</f>
        <v>Toronto</v>
      </c>
      <c r="F102" s="2" t="str">
        <f>CleanedData!M102</f>
        <v>Patrick Camp 280</v>
      </c>
      <c r="G102" s="2" t="str">
        <f>CleanedData!B102</f>
        <v>62195</v>
      </c>
      <c r="H102" s="2" t="str">
        <f>CleanedData!C102</f>
        <v>+40-108692375</v>
      </c>
      <c r="I102" s="2" t="str">
        <f>CleanedData!G102</f>
        <v>Inactive</v>
      </c>
      <c r="J102" s="14">
        <f>CleanedData!H102</f>
        <v>45224</v>
      </c>
      <c r="K102" s="2" t="str">
        <f t="shared" si="9"/>
        <v>OK</v>
      </c>
      <c r="L102" s="2" t="str">
        <f t="shared" si="10"/>
        <v>OK</v>
      </c>
      <c r="M102" s="2" t="str">
        <f t="shared" si="11"/>
        <v>OK</v>
      </c>
      <c r="N102" s="2" t="str">
        <f t="shared" si="12"/>
        <v>MATCH</v>
      </c>
      <c r="O102" s="2" t="str">
        <f t="shared" si="13"/>
        <v>OK</v>
      </c>
      <c r="P102" s="2">
        <f t="shared" si="14"/>
        <v>0</v>
      </c>
      <c r="Q102" s="2" t="str">
        <f t="shared" si="15"/>
        <v>2023-10</v>
      </c>
      <c r="R102" s="3" t="s">
        <v>33</v>
      </c>
      <c r="S102" s="2">
        <f>IF(tblChecks[[#This Row],[AnyError]]="ERROR",1,0)</f>
        <v>0</v>
      </c>
      <c r="T102" s="2">
        <f>IF(tblChecks[[#This Row],[MissingStreet]]="MISSING",1,0)</f>
        <v>0</v>
      </c>
      <c r="U102" t="str">
        <f t="shared" si="8"/>
        <v>OK</v>
      </c>
    </row>
    <row r="103" spans="1:21" x14ac:dyDescent="0.3">
      <c r="A103" s="1" t="str">
        <f>CleanedData!F103</f>
        <v>PROP00102</v>
      </c>
      <c r="B103" s="2" t="str">
        <f>CleanedData!A103</f>
        <v>ItalyRome, Italy</v>
      </c>
      <c r="C103" s="2" t="str">
        <f>CleanedData!D103</f>
        <v>Italy</v>
      </c>
      <c r="D103" s="2" t="str">
        <f>CleanedData!E103</f>
        <v>Rome</v>
      </c>
      <c r="E103" s="2" t="str">
        <f>CleanedData!O103</f>
        <v>Rome</v>
      </c>
      <c r="F103" s="2" t="str">
        <f>CleanedData!M103</f>
        <v>Italy</v>
      </c>
      <c r="G103" s="2" t="str">
        <f>CleanedData!B103</f>
        <v>46331</v>
      </c>
      <c r="H103" s="2" t="str">
        <f>CleanedData!C103</f>
        <v>+90-670947397</v>
      </c>
      <c r="I103" s="2" t="str">
        <f>CleanedData!G103</f>
        <v>Active</v>
      </c>
      <c r="J103" s="14">
        <f>CleanedData!H103</f>
        <v>45197</v>
      </c>
      <c r="K103" s="2" t="str">
        <f t="shared" si="9"/>
        <v>OK</v>
      </c>
      <c r="L103" s="2" t="str">
        <f t="shared" si="10"/>
        <v>OK</v>
      </c>
      <c r="M103" s="2" t="str">
        <f t="shared" si="11"/>
        <v>OK</v>
      </c>
      <c r="N103" s="2" t="str">
        <f t="shared" si="12"/>
        <v>MATCH</v>
      </c>
      <c r="O103" s="2" t="str">
        <f t="shared" si="13"/>
        <v>OK</v>
      </c>
      <c r="P103" s="2">
        <f t="shared" si="14"/>
        <v>0</v>
      </c>
      <c r="Q103" s="2" t="str">
        <f t="shared" si="15"/>
        <v>2023-09</v>
      </c>
      <c r="R103" s="3" t="s">
        <v>23</v>
      </c>
      <c r="S103" s="2">
        <f>IF(tblChecks[[#This Row],[AnyError]]="ERROR",1,0)</f>
        <v>0</v>
      </c>
      <c r="T103" s="2">
        <f>IF(tblChecks[[#This Row],[MissingStreet]]="MISSING",1,0)</f>
        <v>0</v>
      </c>
      <c r="U103" t="str">
        <f t="shared" si="8"/>
        <v>OK</v>
      </c>
    </row>
    <row r="104" spans="1:21" x14ac:dyDescent="0.3">
      <c r="A104" s="1" t="str">
        <f>CleanedData!F104</f>
        <v>PROP00103</v>
      </c>
      <c r="B104" s="2" t="str">
        <f>CleanedData!A104</f>
        <v>Canada, Montreal, Hoover Well 14</v>
      </c>
      <c r="C104" s="2" t="str">
        <f>CleanedData!D104</f>
        <v>Canada</v>
      </c>
      <c r="D104" s="2" t="str">
        <f>CleanedData!E104</f>
        <v>Montreal</v>
      </c>
      <c r="E104" s="2" t="str">
        <f>CleanedData!O104</f>
        <v>Montreal</v>
      </c>
      <c r="F104" s="2" t="str">
        <f>CleanedData!M104</f>
        <v>Hoover Well 14</v>
      </c>
      <c r="G104" s="2" t="str">
        <f>CleanedData!B104</f>
        <v>30332</v>
      </c>
      <c r="H104" s="2" t="str">
        <f>CleanedData!C104</f>
        <v>+2-716543748</v>
      </c>
      <c r="I104" s="2" t="str">
        <f>CleanedData!G104</f>
        <v>Active</v>
      </c>
      <c r="J104" s="14">
        <f>CleanedData!H104</f>
        <v>45581</v>
      </c>
      <c r="K104" s="2" t="str">
        <f t="shared" si="9"/>
        <v>OK</v>
      </c>
      <c r="L104" s="2" t="str">
        <f t="shared" si="10"/>
        <v>OK</v>
      </c>
      <c r="M104" s="2" t="str">
        <f t="shared" si="11"/>
        <v>OK</v>
      </c>
      <c r="N104" s="2" t="str">
        <f t="shared" si="12"/>
        <v>MATCH</v>
      </c>
      <c r="O104" s="2" t="str">
        <f t="shared" si="13"/>
        <v>OK</v>
      </c>
      <c r="P104" s="2">
        <f t="shared" si="14"/>
        <v>0</v>
      </c>
      <c r="Q104" s="2" t="str">
        <f t="shared" si="15"/>
        <v>2024-10</v>
      </c>
      <c r="R104" s="3" t="s">
        <v>39</v>
      </c>
      <c r="S104" s="2">
        <f>IF(tblChecks[[#This Row],[AnyError]]="ERROR",1,0)</f>
        <v>0</v>
      </c>
      <c r="T104" s="2">
        <f>IF(tblChecks[[#This Row],[MissingStreet]]="MISSING",1,0)</f>
        <v>0</v>
      </c>
      <c r="U104" t="str">
        <f t="shared" si="8"/>
        <v>OK</v>
      </c>
    </row>
    <row r="105" spans="1:21" x14ac:dyDescent="0.3">
      <c r="A105" s="1" t="str">
        <f>CleanedData!F105</f>
        <v>PROP00104</v>
      </c>
      <c r="B105" s="2" t="str">
        <f>CleanedData!A105</f>
        <v>Andrew Fields 41, Cologne</v>
      </c>
      <c r="C105" s="2" t="str">
        <f>CleanedData!D105</f>
        <v>Germany</v>
      </c>
      <c r="D105" s="2" t="str">
        <f>CleanedData!E105</f>
        <v>Cologne</v>
      </c>
      <c r="E105" s="2" t="str">
        <f>CleanedData!O105</f>
        <v>Cologne</v>
      </c>
      <c r="F105" s="2" t="str">
        <f>CleanedData!M105</f>
        <v>Andrew Fields 41</v>
      </c>
      <c r="G105" s="2" t="str">
        <f>CleanedData!B105</f>
        <v>52728</v>
      </c>
      <c r="H105" s="2" t="str">
        <f>CleanedData!C105</f>
        <v>+77-915809959</v>
      </c>
      <c r="I105" s="2" t="str">
        <f>CleanedData!G105</f>
        <v>Active</v>
      </c>
      <c r="J105" s="14">
        <f>CleanedData!H105</f>
        <v>45793</v>
      </c>
      <c r="K105" s="2" t="str">
        <f t="shared" si="9"/>
        <v>OK</v>
      </c>
      <c r="L105" s="2" t="str">
        <f t="shared" si="10"/>
        <v>OK</v>
      </c>
      <c r="M105" s="2" t="str">
        <f t="shared" si="11"/>
        <v>OK</v>
      </c>
      <c r="N105" s="2" t="str">
        <f t="shared" si="12"/>
        <v>MATCH</v>
      </c>
      <c r="O105" s="2" t="str">
        <f t="shared" si="13"/>
        <v>OK</v>
      </c>
      <c r="P105" s="2">
        <f t="shared" si="14"/>
        <v>0</v>
      </c>
      <c r="Q105" s="2" t="str">
        <f t="shared" si="15"/>
        <v>2025-05</v>
      </c>
      <c r="R105" s="3" t="s">
        <v>33</v>
      </c>
      <c r="S105" s="2">
        <f>IF(tblChecks[[#This Row],[AnyError]]="ERROR",1,0)</f>
        <v>0</v>
      </c>
      <c r="T105" s="2">
        <f>IF(tblChecks[[#This Row],[MissingStreet]]="MISSING",1,0)</f>
        <v>0</v>
      </c>
      <c r="U105" t="str">
        <f t="shared" si="8"/>
        <v>OK</v>
      </c>
    </row>
    <row r="106" spans="1:21" x14ac:dyDescent="0.3">
      <c r="A106" s="1" t="str">
        <f>CleanedData!F106</f>
        <v>PROP00105</v>
      </c>
      <c r="B106" s="2" t="str">
        <f>CleanedData!A106</f>
        <v>Ramirez Cliff214, Turin, Italy</v>
      </c>
      <c r="C106" s="2" t="str">
        <f>CleanedData!D106</f>
        <v>Italy</v>
      </c>
      <c r="D106" s="2" t="str">
        <f>CleanedData!E106</f>
        <v>Turin</v>
      </c>
      <c r="E106" s="2" t="str">
        <f>CleanedData!O106</f>
        <v>Turin</v>
      </c>
      <c r="F106" s="2" t="str">
        <f>CleanedData!M106</f>
        <v>Ramirez Cliff214</v>
      </c>
      <c r="G106" s="2" t="str">
        <f>CleanedData!B106</f>
        <v>37086</v>
      </c>
      <c r="H106" s="2" t="str">
        <f>CleanedData!C106</f>
        <v>+58-128327145</v>
      </c>
      <c r="I106" s="2" t="str">
        <f>CleanedData!G106</f>
        <v>Inactive</v>
      </c>
      <c r="J106" s="14">
        <f>CleanedData!H106</f>
        <v>45795</v>
      </c>
      <c r="K106" s="2" t="str">
        <f t="shared" si="9"/>
        <v>OK</v>
      </c>
      <c r="L106" s="2" t="str">
        <f t="shared" si="10"/>
        <v>OK</v>
      </c>
      <c r="M106" s="2" t="str">
        <f t="shared" si="11"/>
        <v>OK</v>
      </c>
      <c r="N106" s="2" t="str">
        <f t="shared" si="12"/>
        <v>MATCH</v>
      </c>
      <c r="O106" s="2" t="str">
        <f t="shared" si="13"/>
        <v>OK</v>
      </c>
      <c r="P106" s="2">
        <f t="shared" si="14"/>
        <v>0</v>
      </c>
      <c r="Q106" s="2" t="str">
        <f t="shared" si="15"/>
        <v>2025-05</v>
      </c>
      <c r="R106" s="3" t="s">
        <v>23</v>
      </c>
      <c r="S106" s="2">
        <f>IF(tblChecks[[#This Row],[AnyError]]="ERROR",1,0)</f>
        <v>0</v>
      </c>
      <c r="T106" s="2">
        <f>IF(tblChecks[[#This Row],[MissingStreet]]="MISSING",1,0)</f>
        <v>0</v>
      </c>
      <c r="U106" t="str">
        <f t="shared" si="8"/>
        <v>OK</v>
      </c>
    </row>
    <row r="107" spans="1:21" x14ac:dyDescent="0.3">
      <c r="A107" s="1" t="str">
        <f>CleanedData!F107</f>
        <v>PROP00106</v>
      </c>
      <c r="B107" s="2" t="str">
        <f>CleanedData!A107</f>
        <v>CanadaToronto, Canada</v>
      </c>
      <c r="C107" s="2" t="str">
        <f>CleanedData!D107</f>
        <v>Canada</v>
      </c>
      <c r="D107" s="2" t="str">
        <f>CleanedData!E107</f>
        <v>Toronto</v>
      </c>
      <c r="E107" s="2" t="str">
        <f>CleanedData!O107</f>
        <v>Toronto</v>
      </c>
      <c r="F107" s="2" t="str">
        <f>CleanedData!M107</f>
        <v>Canada</v>
      </c>
      <c r="G107" s="2" t="str">
        <f>CleanedData!B107</f>
        <v>89566</v>
      </c>
      <c r="H107" s="2" t="str">
        <f>CleanedData!C107</f>
        <v>+52-781682173</v>
      </c>
      <c r="I107" s="2" t="str">
        <f>CleanedData!G107</f>
        <v>Active</v>
      </c>
      <c r="J107" s="14">
        <f>CleanedData!H107</f>
        <v>45274</v>
      </c>
      <c r="K107" s="2" t="str">
        <f t="shared" si="9"/>
        <v>OK</v>
      </c>
      <c r="L107" s="2" t="str">
        <f t="shared" si="10"/>
        <v>OK</v>
      </c>
      <c r="M107" s="2" t="str">
        <f t="shared" si="11"/>
        <v>OK</v>
      </c>
      <c r="N107" s="2" t="str">
        <f t="shared" si="12"/>
        <v>MATCH</v>
      </c>
      <c r="O107" s="2" t="str">
        <f t="shared" si="13"/>
        <v>OK</v>
      </c>
      <c r="P107" s="2">
        <f t="shared" si="14"/>
        <v>0</v>
      </c>
      <c r="Q107" s="2" t="str">
        <f t="shared" si="15"/>
        <v>2023-12</v>
      </c>
      <c r="R107" s="3" t="s">
        <v>16</v>
      </c>
      <c r="S107" s="2">
        <f>IF(tblChecks[[#This Row],[AnyError]]="ERROR",1,0)</f>
        <v>0</v>
      </c>
      <c r="T107" s="2">
        <f>IF(tblChecks[[#This Row],[MissingStreet]]="MISSING",1,0)</f>
        <v>0</v>
      </c>
      <c r="U107" t="str">
        <f t="shared" si="8"/>
        <v>OK</v>
      </c>
    </row>
    <row r="108" spans="1:21" x14ac:dyDescent="0.3">
      <c r="A108" s="1" t="str">
        <f>CleanedData!F108</f>
        <v>PROP00107</v>
      </c>
      <c r="B108" s="2" t="str">
        <f>CleanedData!A108</f>
        <v>Australia, Melbourne, Crosby Crescent 19</v>
      </c>
      <c r="C108" s="2" t="str">
        <f>CleanedData!D108</f>
        <v>Australia</v>
      </c>
      <c r="D108" s="2" t="str">
        <f>CleanedData!E108</f>
        <v>Melbourne</v>
      </c>
      <c r="E108" s="2" t="str">
        <f>CleanedData!O108</f>
        <v>Melbourne</v>
      </c>
      <c r="F108" s="2" t="str">
        <f>CleanedData!M108</f>
        <v>Crosby Crescent 19</v>
      </c>
      <c r="G108" s="2" t="str">
        <f>CleanedData!B108</f>
        <v>34738</v>
      </c>
      <c r="H108" s="2" t="str">
        <f>CleanedData!C108</f>
        <v>+30-986705709</v>
      </c>
      <c r="I108" s="2" t="str">
        <f>CleanedData!G108</f>
        <v>Inactive</v>
      </c>
      <c r="J108" s="14">
        <f>CleanedData!H108</f>
        <v>45048</v>
      </c>
      <c r="K108" s="2" t="str">
        <f t="shared" si="9"/>
        <v>OK</v>
      </c>
      <c r="L108" s="2" t="str">
        <f t="shared" si="10"/>
        <v>OK</v>
      </c>
      <c r="M108" s="2" t="str">
        <f t="shared" si="11"/>
        <v>OK</v>
      </c>
      <c r="N108" s="2" t="str">
        <f t="shared" si="12"/>
        <v>MATCH</v>
      </c>
      <c r="O108" s="2" t="str">
        <f t="shared" si="13"/>
        <v>OK</v>
      </c>
      <c r="P108" s="2">
        <f t="shared" si="14"/>
        <v>0</v>
      </c>
      <c r="Q108" s="2" t="str">
        <f t="shared" si="15"/>
        <v>2023-05</v>
      </c>
      <c r="R108" s="3" t="s">
        <v>23</v>
      </c>
      <c r="S108" s="2">
        <f>IF(tblChecks[[#This Row],[AnyError]]="ERROR",1,0)</f>
        <v>0</v>
      </c>
      <c r="T108" s="2">
        <f>IF(tblChecks[[#This Row],[MissingStreet]]="MISSING",1,0)</f>
        <v>0</v>
      </c>
      <c r="U108" t="str">
        <f t="shared" si="8"/>
        <v>OK</v>
      </c>
    </row>
    <row r="109" spans="1:21" x14ac:dyDescent="0.3">
      <c r="A109" s="1" t="str">
        <f>CleanedData!F109</f>
        <v>PROP00108</v>
      </c>
      <c r="B109" s="2" t="str">
        <f>CleanedData!A109</f>
        <v>AustraliaPerth</v>
      </c>
      <c r="C109" s="2" t="str">
        <f>CleanedData!D109</f>
        <v>Australia</v>
      </c>
      <c r="D109" s="2" t="str">
        <f>CleanedData!E109</f>
        <v>Perth</v>
      </c>
      <c r="E109" s="2" t="str">
        <f>CleanedData!O109</f>
        <v>Perth</v>
      </c>
      <c r="F109" s="2" t="str">
        <f>CleanedData!M109</f>
        <v/>
      </c>
      <c r="G109" s="2" t="str">
        <f>CleanedData!B109</f>
        <v>5515</v>
      </c>
      <c r="H109" s="2" t="str">
        <f>CleanedData!C109</f>
        <v>+46-712608587</v>
      </c>
      <c r="I109" s="2" t="str">
        <f>CleanedData!G109</f>
        <v>Active</v>
      </c>
      <c r="J109" s="14">
        <f>CleanedData!H109</f>
        <v>45108</v>
      </c>
      <c r="K109" s="2" t="str">
        <f t="shared" si="9"/>
        <v>MISSING</v>
      </c>
      <c r="L109" s="2" t="str">
        <f t="shared" si="10"/>
        <v>OK</v>
      </c>
      <c r="M109" s="2" t="str">
        <f t="shared" si="11"/>
        <v>OK</v>
      </c>
      <c r="N109" s="2" t="str">
        <f t="shared" si="12"/>
        <v>MATCH</v>
      </c>
      <c r="O109" s="2" t="str">
        <f t="shared" si="13"/>
        <v>ERROR</v>
      </c>
      <c r="P109" s="2">
        <f t="shared" si="14"/>
        <v>1</v>
      </c>
      <c r="Q109" s="2" t="str">
        <f t="shared" si="15"/>
        <v>2023-07</v>
      </c>
      <c r="R109" s="3" t="s">
        <v>16</v>
      </c>
      <c r="S109" s="2">
        <f>IF(tblChecks[[#This Row],[AnyError]]="ERROR",1,0)</f>
        <v>1</v>
      </c>
      <c r="T109" s="2">
        <f>IF(tblChecks[[#This Row],[MissingStreet]]="MISSING",1,0)</f>
        <v>1</v>
      </c>
      <c r="U109" t="str">
        <f t="shared" si="8"/>
        <v>MissingStreet</v>
      </c>
    </row>
    <row r="110" spans="1:21" x14ac:dyDescent="0.3">
      <c r="A110" s="1" t="str">
        <f>CleanedData!F110</f>
        <v>PROP00109</v>
      </c>
      <c r="B110" s="2" t="str">
        <f>CleanedData!A110</f>
        <v>JapanNagoya, Japan</v>
      </c>
      <c r="C110" s="2" t="str">
        <f>CleanedData!D110</f>
        <v>Japan</v>
      </c>
      <c r="D110" s="2" t="str">
        <f>CleanedData!E110</f>
        <v>Nagoya</v>
      </c>
      <c r="E110" s="2" t="str">
        <f>CleanedData!O110</f>
        <v>Nagoya</v>
      </c>
      <c r="F110" s="2" t="str">
        <f>CleanedData!M110</f>
        <v>Japan</v>
      </c>
      <c r="G110" s="2" t="str">
        <f>CleanedData!B110</f>
        <v>95992</v>
      </c>
      <c r="H110" s="2" t="str">
        <f>CleanedData!C110</f>
        <v>+24-699093788</v>
      </c>
      <c r="I110" s="2" t="str">
        <f>CleanedData!G110</f>
        <v>Inactive</v>
      </c>
      <c r="J110" s="14">
        <f>CleanedData!H110</f>
        <v>45428</v>
      </c>
      <c r="K110" s="2" t="str">
        <f t="shared" si="9"/>
        <v>OK</v>
      </c>
      <c r="L110" s="2" t="str">
        <f t="shared" si="10"/>
        <v>OK</v>
      </c>
      <c r="M110" s="2" t="str">
        <f t="shared" si="11"/>
        <v>OK</v>
      </c>
      <c r="N110" s="2" t="str">
        <f t="shared" si="12"/>
        <v>MATCH</v>
      </c>
      <c r="O110" s="2" t="str">
        <f t="shared" si="13"/>
        <v>OK</v>
      </c>
      <c r="P110" s="2">
        <f t="shared" si="14"/>
        <v>0</v>
      </c>
      <c r="Q110" s="2" t="str">
        <f t="shared" si="15"/>
        <v>2024-05</v>
      </c>
      <c r="R110" s="3" t="s">
        <v>54</v>
      </c>
      <c r="S110" s="2">
        <f>IF(tblChecks[[#This Row],[AnyError]]="ERROR",1,0)</f>
        <v>0</v>
      </c>
      <c r="T110" s="2">
        <f>IF(tblChecks[[#This Row],[MissingStreet]]="MISSING",1,0)</f>
        <v>0</v>
      </c>
      <c r="U110" t="str">
        <f t="shared" si="8"/>
        <v>OK</v>
      </c>
    </row>
    <row r="111" spans="1:21" x14ac:dyDescent="0.3">
      <c r="A111" s="1" t="str">
        <f>CleanedData!F111</f>
        <v>PROP00110</v>
      </c>
      <c r="B111" s="2" t="str">
        <f>CleanedData!A111</f>
        <v>Graham Pass109, Hamburg, Germany</v>
      </c>
      <c r="C111" s="2" t="str">
        <f>CleanedData!D111</f>
        <v>Germany</v>
      </c>
      <c r="D111" s="2" t="str">
        <f>CleanedData!E111</f>
        <v>Hamburg</v>
      </c>
      <c r="E111" s="2" t="str">
        <f>CleanedData!O111</f>
        <v>Hamburg</v>
      </c>
      <c r="F111" s="2" t="str">
        <f>CleanedData!M111</f>
        <v>Graham Pass109</v>
      </c>
      <c r="G111" s="2" t="str">
        <f>CleanedData!B111</f>
        <v>15658</v>
      </c>
      <c r="H111" s="2" t="str">
        <f>CleanedData!C111</f>
        <v>+31-951115542</v>
      </c>
      <c r="I111" s="2" t="str">
        <f>CleanedData!G111</f>
        <v>Inactive</v>
      </c>
      <c r="J111" s="14">
        <f>CleanedData!H111</f>
        <v>45948</v>
      </c>
      <c r="K111" s="2" t="str">
        <f t="shared" si="9"/>
        <v>OK</v>
      </c>
      <c r="L111" s="2" t="str">
        <f t="shared" si="10"/>
        <v>OK</v>
      </c>
      <c r="M111" s="2" t="str">
        <f t="shared" si="11"/>
        <v>OK</v>
      </c>
      <c r="N111" s="2" t="str">
        <f t="shared" si="12"/>
        <v>MATCH</v>
      </c>
      <c r="O111" s="2" t="str">
        <f t="shared" si="13"/>
        <v>OK</v>
      </c>
      <c r="P111" s="2">
        <f t="shared" si="14"/>
        <v>0</v>
      </c>
      <c r="Q111" s="2" t="str">
        <f t="shared" si="15"/>
        <v>2025-10</v>
      </c>
      <c r="R111" s="3" t="s">
        <v>39</v>
      </c>
      <c r="S111" s="2">
        <f>IF(tblChecks[[#This Row],[AnyError]]="ERROR",1,0)</f>
        <v>0</v>
      </c>
      <c r="T111" s="2">
        <f>IF(tblChecks[[#This Row],[MissingStreet]]="MISSING",1,0)</f>
        <v>0</v>
      </c>
      <c r="U111" t="str">
        <f t="shared" si="8"/>
        <v>OK</v>
      </c>
    </row>
    <row r="112" spans="1:21" x14ac:dyDescent="0.3">
      <c r="A112" s="1" t="str">
        <f>CleanedData!F112</f>
        <v>PROP00111</v>
      </c>
      <c r="B112" s="2" t="str">
        <f>CleanedData!A112</f>
        <v>UKLondon, UK</v>
      </c>
      <c r="C112" s="2" t="str">
        <f>CleanedData!D112</f>
        <v>UK</v>
      </c>
      <c r="D112" s="2" t="str">
        <f>CleanedData!E112</f>
        <v>London</v>
      </c>
      <c r="E112" s="2" t="str">
        <f>CleanedData!O112</f>
        <v>London</v>
      </c>
      <c r="F112" s="2" t="str">
        <f>CleanedData!M112</f>
        <v>UK</v>
      </c>
      <c r="G112" s="2" t="str">
        <f>CleanedData!B112</f>
        <v>33887</v>
      </c>
      <c r="H112" s="2" t="str">
        <f>CleanedData!C112</f>
        <v>+95-539878666</v>
      </c>
      <c r="I112" s="2" t="str">
        <f>CleanedData!G112</f>
        <v>Active</v>
      </c>
      <c r="J112" s="14">
        <f>CleanedData!H112</f>
        <v>45170</v>
      </c>
      <c r="K112" s="2" t="str">
        <f t="shared" si="9"/>
        <v>OK</v>
      </c>
      <c r="L112" s="2" t="str">
        <f t="shared" si="10"/>
        <v>OK</v>
      </c>
      <c r="M112" s="2" t="str">
        <f t="shared" si="11"/>
        <v>OK</v>
      </c>
      <c r="N112" s="2" t="str">
        <f t="shared" si="12"/>
        <v>MATCH</v>
      </c>
      <c r="O112" s="2" t="str">
        <f t="shared" si="13"/>
        <v>OK</v>
      </c>
      <c r="P112" s="2">
        <f t="shared" si="14"/>
        <v>0</v>
      </c>
      <c r="Q112" s="2" t="str">
        <f t="shared" si="15"/>
        <v>2023-09</v>
      </c>
      <c r="R112" s="3" t="s">
        <v>39</v>
      </c>
      <c r="S112" s="2">
        <f>IF(tblChecks[[#This Row],[AnyError]]="ERROR",1,0)</f>
        <v>0</v>
      </c>
      <c r="T112" s="2">
        <f>IF(tblChecks[[#This Row],[MissingStreet]]="MISSING",1,0)</f>
        <v>0</v>
      </c>
      <c r="U112" t="str">
        <f t="shared" si="8"/>
        <v>OK</v>
      </c>
    </row>
    <row r="113" spans="1:21" x14ac:dyDescent="0.3">
      <c r="A113" s="1" t="str">
        <f>CleanedData!F113</f>
        <v>PROP00112</v>
      </c>
      <c r="B113" s="2" t="str">
        <f>CleanedData!A113</f>
        <v>NagoyaJeanne Alley61, Japan</v>
      </c>
      <c r="C113" s="2" t="str">
        <f>CleanedData!D113</f>
        <v>Japan</v>
      </c>
      <c r="D113" s="2" t="str">
        <f>CleanedData!E113</f>
        <v>Nagoya</v>
      </c>
      <c r="E113" s="2" t="str">
        <f>CleanedData!O113</f>
        <v>Nagoya</v>
      </c>
      <c r="F113" s="2" t="str">
        <f>CleanedData!M113</f>
        <v>NagoyaJeanne Alley61</v>
      </c>
      <c r="G113" s="2" t="str">
        <f>CleanedData!B113</f>
        <v>68647</v>
      </c>
      <c r="H113" s="2" t="str">
        <f>CleanedData!C113</f>
        <v>+36-803661906</v>
      </c>
      <c r="I113" s="2" t="str">
        <f>CleanedData!G113</f>
        <v>Active</v>
      </c>
      <c r="J113" s="14">
        <f>CleanedData!H113</f>
        <v>45688</v>
      </c>
      <c r="K113" s="2" t="str">
        <f t="shared" si="9"/>
        <v>OK</v>
      </c>
      <c r="L113" s="2" t="str">
        <f t="shared" si="10"/>
        <v>OK</v>
      </c>
      <c r="M113" s="2" t="str">
        <f t="shared" si="11"/>
        <v>OK</v>
      </c>
      <c r="N113" s="2" t="str">
        <f t="shared" si="12"/>
        <v>MATCH</v>
      </c>
      <c r="O113" s="2" t="str">
        <f t="shared" si="13"/>
        <v>OK</v>
      </c>
      <c r="P113" s="2">
        <f t="shared" si="14"/>
        <v>0</v>
      </c>
      <c r="Q113" s="2" t="str">
        <f t="shared" si="15"/>
        <v>2025-01</v>
      </c>
      <c r="R113" s="3" t="s">
        <v>54</v>
      </c>
      <c r="S113" s="2">
        <f>IF(tblChecks[[#This Row],[AnyError]]="ERROR",1,0)</f>
        <v>0</v>
      </c>
      <c r="T113" s="2">
        <f>IF(tblChecks[[#This Row],[MissingStreet]]="MISSING",1,0)</f>
        <v>0</v>
      </c>
      <c r="U113" t="str">
        <f t="shared" si="8"/>
        <v>OK</v>
      </c>
    </row>
    <row r="114" spans="1:21" x14ac:dyDescent="0.3">
      <c r="A114" s="1" t="str">
        <f>CleanedData!F114</f>
        <v>PROP00113</v>
      </c>
      <c r="B114" s="2" t="str">
        <f>CleanedData!A114</f>
        <v>FranceToulouse, France</v>
      </c>
      <c r="C114" s="2" t="str">
        <f>CleanedData!D114</f>
        <v>France</v>
      </c>
      <c r="D114" s="2" t="str">
        <f>CleanedData!E114</f>
        <v>Toulouse</v>
      </c>
      <c r="E114" s="2" t="str">
        <f>CleanedData!O114</f>
        <v>Toulouse</v>
      </c>
      <c r="F114" s="2" t="str">
        <f>CleanedData!M114</f>
        <v>France</v>
      </c>
      <c r="G114" s="2" t="str">
        <f>CleanedData!B114</f>
        <v>87563</v>
      </c>
      <c r="H114" s="2" t="str">
        <f>CleanedData!C114</f>
        <v>+6-196700498</v>
      </c>
      <c r="I114" s="2" t="str">
        <f>CleanedData!G114</f>
        <v>Active</v>
      </c>
      <c r="J114" s="14">
        <f>CleanedData!H114</f>
        <v>45788</v>
      </c>
      <c r="K114" s="2" t="str">
        <f t="shared" si="9"/>
        <v>OK</v>
      </c>
      <c r="L114" s="2" t="str">
        <f t="shared" si="10"/>
        <v>OK</v>
      </c>
      <c r="M114" s="2" t="str">
        <f t="shared" si="11"/>
        <v>OK</v>
      </c>
      <c r="N114" s="2" t="str">
        <f t="shared" si="12"/>
        <v>MATCH</v>
      </c>
      <c r="O114" s="2" t="str">
        <f t="shared" si="13"/>
        <v>OK</v>
      </c>
      <c r="P114" s="2">
        <f t="shared" si="14"/>
        <v>0</v>
      </c>
      <c r="Q114" s="2" t="str">
        <f t="shared" si="15"/>
        <v>2025-05</v>
      </c>
      <c r="R114" s="3" t="s">
        <v>33</v>
      </c>
      <c r="S114" s="2">
        <f>IF(tblChecks[[#This Row],[AnyError]]="ERROR",1,0)</f>
        <v>0</v>
      </c>
      <c r="T114" s="2">
        <f>IF(tblChecks[[#This Row],[MissingStreet]]="MISSING",1,0)</f>
        <v>0</v>
      </c>
      <c r="U114" t="str">
        <f t="shared" si="8"/>
        <v>OK</v>
      </c>
    </row>
    <row r="115" spans="1:21" x14ac:dyDescent="0.3">
      <c r="A115" s="1" t="str">
        <f>CleanedData!F115</f>
        <v>PROP00114</v>
      </c>
      <c r="B115" s="2" t="str">
        <f>CleanedData!A115</f>
        <v>Hanson Shore 281, Rome</v>
      </c>
      <c r="C115" s="2" t="str">
        <f>CleanedData!D115</f>
        <v>Italy</v>
      </c>
      <c r="D115" s="2" t="str">
        <f>CleanedData!E115</f>
        <v>Rome</v>
      </c>
      <c r="E115" s="2" t="str">
        <f>CleanedData!O115</f>
        <v>Rome</v>
      </c>
      <c r="F115" s="2" t="str">
        <f>CleanedData!M115</f>
        <v>Hanson Shore 281</v>
      </c>
      <c r="G115" s="2" t="str">
        <f>CleanedData!B115</f>
        <v>16835</v>
      </c>
      <c r="H115" s="2" t="str">
        <f>CleanedData!C115</f>
        <v>+81-745948280</v>
      </c>
      <c r="I115" s="2" t="str">
        <f>CleanedData!G115</f>
        <v>Inactive</v>
      </c>
      <c r="J115" s="14">
        <f>CleanedData!H115</f>
        <v>45954</v>
      </c>
      <c r="K115" s="2" t="str">
        <f t="shared" si="9"/>
        <v>OK</v>
      </c>
      <c r="L115" s="2" t="str">
        <f t="shared" si="10"/>
        <v>OK</v>
      </c>
      <c r="M115" s="2" t="str">
        <f t="shared" si="11"/>
        <v>OK</v>
      </c>
      <c r="N115" s="2" t="str">
        <f t="shared" si="12"/>
        <v>MATCH</v>
      </c>
      <c r="O115" s="2" t="str">
        <f t="shared" si="13"/>
        <v>OK</v>
      </c>
      <c r="P115" s="2">
        <f t="shared" si="14"/>
        <v>0</v>
      </c>
      <c r="Q115" s="2" t="str">
        <f t="shared" si="15"/>
        <v>2025-10</v>
      </c>
      <c r="R115" s="3" t="s">
        <v>16</v>
      </c>
      <c r="S115" s="2">
        <f>IF(tblChecks[[#This Row],[AnyError]]="ERROR",1,0)</f>
        <v>0</v>
      </c>
      <c r="T115" s="2">
        <f>IF(tblChecks[[#This Row],[MissingStreet]]="MISSING",1,0)</f>
        <v>0</v>
      </c>
      <c r="U115" t="str">
        <f t="shared" si="8"/>
        <v>OK</v>
      </c>
    </row>
    <row r="116" spans="1:21" x14ac:dyDescent="0.3">
      <c r="A116" s="1" t="str">
        <f>CleanedData!F116</f>
        <v>PROP00115</v>
      </c>
      <c r="B116" s="2" t="str">
        <f>CleanedData!A116</f>
        <v>JapanKyotoHunter Shores166</v>
      </c>
      <c r="C116" s="2" t="str">
        <f>CleanedData!D116</f>
        <v>Japan</v>
      </c>
      <c r="D116" s="2" t="str">
        <f>CleanedData!E116</f>
        <v>Kyoto</v>
      </c>
      <c r="E116" s="2" t="str">
        <f>CleanedData!O116</f>
        <v>Kyoto</v>
      </c>
      <c r="F116" s="2" t="str">
        <f>CleanedData!M116</f>
        <v>JapanKyotoHunter Shores166</v>
      </c>
      <c r="G116" s="2" t="str">
        <f>CleanedData!B116</f>
        <v>54029</v>
      </c>
      <c r="H116" s="2" t="str">
        <f>CleanedData!C116</f>
        <v>+80-858743865</v>
      </c>
      <c r="I116" s="2" t="str">
        <f>CleanedData!G116</f>
        <v>Active</v>
      </c>
      <c r="J116" s="14">
        <f>CleanedData!H116</f>
        <v>45006</v>
      </c>
      <c r="K116" s="2" t="str">
        <f t="shared" si="9"/>
        <v>OK</v>
      </c>
      <c r="L116" s="2" t="str">
        <f t="shared" si="10"/>
        <v>OK</v>
      </c>
      <c r="M116" s="2" t="str">
        <f t="shared" si="11"/>
        <v>OK</v>
      </c>
      <c r="N116" s="2" t="str">
        <f t="shared" si="12"/>
        <v>MATCH</v>
      </c>
      <c r="O116" s="2" t="str">
        <f t="shared" si="13"/>
        <v>OK</v>
      </c>
      <c r="P116" s="2">
        <f t="shared" si="14"/>
        <v>0</v>
      </c>
      <c r="Q116" s="2" t="str">
        <f t="shared" si="15"/>
        <v>2023-03</v>
      </c>
      <c r="R116" s="3" t="s">
        <v>16</v>
      </c>
      <c r="S116" s="2">
        <f>IF(tblChecks[[#This Row],[AnyError]]="ERROR",1,0)</f>
        <v>0</v>
      </c>
      <c r="T116" s="2">
        <f>IF(tblChecks[[#This Row],[MissingStreet]]="MISSING",1,0)</f>
        <v>0</v>
      </c>
      <c r="U116" t="str">
        <f t="shared" si="8"/>
        <v>OK</v>
      </c>
    </row>
    <row r="117" spans="1:21" x14ac:dyDescent="0.3">
      <c r="A117" s="1" t="str">
        <f>CleanedData!F117</f>
        <v>PROP00116</v>
      </c>
      <c r="B117" s="2" t="str">
        <f>CleanedData!A117</f>
        <v>Spain, Seville, Powell Hill 285</v>
      </c>
      <c r="C117" s="2" t="str">
        <f>CleanedData!D117</f>
        <v>Spain</v>
      </c>
      <c r="D117" s="2" t="str">
        <f>CleanedData!E117</f>
        <v>Seville</v>
      </c>
      <c r="E117" s="2" t="str">
        <f>CleanedData!O117</f>
        <v>Seville</v>
      </c>
      <c r="F117" s="2" t="str">
        <f>CleanedData!M117</f>
        <v>Powell Hill 285</v>
      </c>
      <c r="G117" s="2" t="str">
        <f>CleanedData!B117</f>
        <v>73168</v>
      </c>
      <c r="H117" s="2" t="str">
        <f>CleanedData!C117</f>
        <v>+85-635524815</v>
      </c>
      <c r="I117" s="2" t="str">
        <f>CleanedData!G117</f>
        <v>Active</v>
      </c>
      <c r="J117" s="14">
        <f>CleanedData!H117</f>
        <v>44925</v>
      </c>
      <c r="K117" s="2" t="str">
        <f t="shared" si="9"/>
        <v>OK</v>
      </c>
      <c r="L117" s="2" t="str">
        <f t="shared" si="10"/>
        <v>OK</v>
      </c>
      <c r="M117" s="2" t="str">
        <f t="shared" si="11"/>
        <v>OK</v>
      </c>
      <c r="N117" s="2" t="str">
        <f t="shared" si="12"/>
        <v>MATCH</v>
      </c>
      <c r="O117" s="2" t="str">
        <f t="shared" si="13"/>
        <v>OK</v>
      </c>
      <c r="P117" s="2">
        <f t="shared" si="14"/>
        <v>0</v>
      </c>
      <c r="Q117" s="2" t="str">
        <f t="shared" si="15"/>
        <v>2022-12</v>
      </c>
      <c r="R117" s="3" t="s">
        <v>54</v>
      </c>
      <c r="S117" s="2">
        <f>IF(tblChecks[[#This Row],[AnyError]]="ERROR",1,0)</f>
        <v>0</v>
      </c>
      <c r="T117" s="2">
        <f>IF(tblChecks[[#This Row],[MissingStreet]]="MISSING",1,0)</f>
        <v>0</v>
      </c>
      <c r="U117" t="str">
        <f t="shared" si="8"/>
        <v>OK</v>
      </c>
    </row>
    <row r="118" spans="1:21" x14ac:dyDescent="0.3">
      <c r="A118" s="1" t="str">
        <f>CleanedData!F118</f>
        <v>PROP00117</v>
      </c>
      <c r="B118" s="2" t="str">
        <f>CleanedData!A118</f>
        <v>USAPhoenix, USA</v>
      </c>
      <c r="C118" s="2" t="str">
        <f>CleanedData!D118</f>
        <v>USA</v>
      </c>
      <c r="D118" s="2" t="str">
        <f>CleanedData!E118</f>
        <v>Phoenix</v>
      </c>
      <c r="E118" s="2" t="str">
        <f>CleanedData!O118</f>
        <v>Phoenix</v>
      </c>
      <c r="F118" s="2" t="str">
        <f>CleanedData!M118</f>
        <v>USA</v>
      </c>
      <c r="G118" s="2" t="str">
        <f>CleanedData!B118</f>
        <v>50196</v>
      </c>
      <c r="H118" s="2" t="str">
        <f>CleanedData!C118</f>
        <v>+15-826883571</v>
      </c>
      <c r="I118" s="2" t="str">
        <f>CleanedData!G118</f>
        <v>Inactive</v>
      </c>
      <c r="J118" s="14">
        <f>CleanedData!H118</f>
        <v>45405</v>
      </c>
      <c r="K118" s="2" t="str">
        <f t="shared" si="9"/>
        <v>OK</v>
      </c>
      <c r="L118" s="2" t="str">
        <f t="shared" si="10"/>
        <v>OK</v>
      </c>
      <c r="M118" s="2" t="str">
        <f t="shared" si="11"/>
        <v>OK</v>
      </c>
      <c r="N118" s="2" t="str">
        <f t="shared" si="12"/>
        <v>MATCH</v>
      </c>
      <c r="O118" s="2" t="str">
        <f t="shared" si="13"/>
        <v>OK</v>
      </c>
      <c r="P118" s="2">
        <f t="shared" si="14"/>
        <v>0</v>
      </c>
      <c r="Q118" s="2" t="str">
        <f t="shared" si="15"/>
        <v>2024-04</v>
      </c>
      <c r="R118" s="3" t="s">
        <v>54</v>
      </c>
      <c r="S118" s="2">
        <f>IF(tblChecks[[#This Row],[AnyError]]="ERROR",1,0)</f>
        <v>0</v>
      </c>
      <c r="T118" s="2">
        <f>IF(tblChecks[[#This Row],[MissingStreet]]="MISSING",1,0)</f>
        <v>0</v>
      </c>
      <c r="U118" t="str">
        <f t="shared" si="8"/>
        <v>OK</v>
      </c>
    </row>
    <row r="119" spans="1:21" x14ac:dyDescent="0.3">
      <c r="A119" s="1" t="str">
        <f>CleanedData!F119</f>
        <v>PROP00118</v>
      </c>
      <c r="B119" s="2" t="str">
        <f>CleanedData!A119</f>
        <v>FrankfurtChristina Hollow154, Germany</v>
      </c>
      <c r="C119" s="2" t="str">
        <f>CleanedData!D119</f>
        <v>Germany</v>
      </c>
      <c r="D119" s="2" t="str">
        <f>CleanedData!E119</f>
        <v>Frankfurt</v>
      </c>
      <c r="E119" s="2" t="str">
        <f>CleanedData!O119</f>
        <v>Frankfurt</v>
      </c>
      <c r="F119" s="2" t="str">
        <f>CleanedData!M119</f>
        <v>FrankfurtChristina Hollow154</v>
      </c>
      <c r="G119" s="2" t="str">
        <f>CleanedData!B119</f>
        <v>53726</v>
      </c>
      <c r="H119" s="2" t="str">
        <f>CleanedData!C119</f>
        <v>+48-456049222</v>
      </c>
      <c r="I119" s="2" t="str">
        <f>CleanedData!G119</f>
        <v>Inactive</v>
      </c>
      <c r="J119" s="14">
        <f>CleanedData!H119</f>
        <v>45266</v>
      </c>
      <c r="K119" s="2" t="str">
        <f t="shared" si="9"/>
        <v>OK</v>
      </c>
      <c r="L119" s="2" t="str">
        <f t="shared" si="10"/>
        <v>OK</v>
      </c>
      <c r="M119" s="2" t="str">
        <f t="shared" si="11"/>
        <v>OK</v>
      </c>
      <c r="N119" s="2" t="str">
        <f t="shared" si="12"/>
        <v>MATCH</v>
      </c>
      <c r="O119" s="2" t="str">
        <f t="shared" si="13"/>
        <v>OK</v>
      </c>
      <c r="P119" s="2">
        <f t="shared" si="14"/>
        <v>0</v>
      </c>
      <c r="Q119" s="2" t="str">
        <f t="shared" si="15"/>
        <v>2023-12</v>
      </c>
      <c r="R119" s="3" t="s">
        <v>54</v>
      </c>
      <c r="S119" s="2">
        <f>IF(tblChecks[[#This Row],[AnyError]]="ERROR",1,0)</f>
        <v>0</v>
      </c>
      <c r="T119" s="2">
        <f>IF(tblChecks[[#This Row],[MissingStreet]]="MISSING",1,0)</f>
        <v>0</v>
      </c>
      <c r="U119" t="str">
        <f t="shared" si="8"/>
        <v>OK</v>
      </c>
    </row>
    <row r="120" spans="1:21" x14ac:dyDescent="0.3">
      <c r="A120" s="1" t="str">
        <f>CleanedData!F120</f>
        <v>PROP00119</v>
      </c>
      <c r="B120" s="2" t="str">
        <f>CleanedData!A120</f>
        <v>Los AngelesKevin Fords89, USA</v>
      </c>
      <c r="C120" s="2" t="str">
        <f>CleanedData!D120</f>
        <v>USA</v>
      </c>
      <c r="D120" s="2" t="str">
        <f>CleanedData!E120</f>
        <v>Los Angeles</v>
      </c>
      <c r="E120" s="2" t="str">
        <f>CleanedData!O120</f>
        <v>Los Angeles</v>
      </c>
      <c r="F120" s="2" t="str">
        <f>CleanedData!M120</f>
        <v>Los AngelesKevin Fords89</v>
      </c>
      <c r="G120" s="2" t="str">
        <f>CleanedData!B120</f>
        <v>56847</v>
      </c>
      <c r="H120" s="2" t="str">
        <f>CleanedData!C120</f>
        <v>+21-647847567</v>
      </c>
      <c r="I120" s="2" t="str">
        <f>CleanedData!G120</f>
        <v>Inactive</v>
      </c>
      <c r="J120" s="14">
        <f>CleanedData!H120</f>
        <v>45805</v>
      </c>
      <c r="K120" s="2" t="str">
        <f t="shared" si="9"/>
        <v>OK</v>
      </c>
      <c r="L120" s="2" t="str">
        <f t="shared" si="10"/>
        <v>OK</v>
      </c>
      <c r="M120" s="2" t="str">
        <f t="shared" si="11"/>
        <v>OK</v>
      </c>
      <c r="N120" s="2" t="str">
        <f t="shared" si="12"/>
        <v>MATCH</v>
      </c>
      <c r="O120" s="2" t="str">
        <f t="shared" si="13"/>
        <v>OK</v>
      </c>
      <c r="P120" s="2">
        <f t="shared" si="14"/>
        <v>0</v>
      </c>
      <c r="Q120" s="2" t="str">
        <f t="shared" si="15"/>
        <v>2025-05</v>
      </c>
      <c r="R120" s="3" t="s">
        <v>23</v>
      </c>
      <c r="S120" s="2">
        <f>IF(tblChecks[[#This Row],[AnyError]]="ERROR",1,0)</f>
        <v>0</v>
      </c>
      <c r="T120" s="2">
        <f>IF(tblChecks[[#This Row],[MissingStreet]]="MISSING",1,0)</f>
        <v>0</v>
      </c>
      <c r="U120" t="str">
        <f t="shared" si="8"/>
        <v>OK</v>
      </c>
    </row>
    <row r="121" spans="1:21" x14ac:dyDescent="0.3">
      <c r="A121" s="1" t="str">
        <f>CleanedData!F121</f>
        <v>PROP00120</v>
      </c>
      <c r="B121" s="2" t="str">
        <f>CleanedData!A121</f>
        <v>Italy, Turin</v>
      </c>
      <c r="C121" s="2" t="str">
        <f>CleanedData!D121</f>
        <v>Italy</v>
      </c>
      <c r="D121" s="2" t="str">
        <f>CleanedData!E121</f>
        <v>Turin</v>
      </c>
      <c r="E121" s="2" t="str">
        <f>CleanedData!O121</f>
        <v>Turin</v>
      </c>
      <c r="F121" s="2" t="str">
        <f>CleanedData!M121</f>
        <v>Turin</v>
      </c>
      <c r="G121" s="2" t="str">
        <f>CleanedData!B121</f>
        <v>89056</v>
      </c>
      <c r="H121" s="2" t="str">
        <f>CleanedData!C121</f>
        <v>+2-128497429</v>
      </c>
      <c r="I121" s="2" t="str">
        <f>CleanedData!G121</f>
        <v>Inactive</v>
      </c>
      <c r="J121" s="14">
        <f>CleanedData!H121</f>
        <v>45510</v>
      </c>
      <c r="K121" s="2" t="str">
        <f t="shared" si="9"/>
        <v>OK</v>
      </c>
      <c r="L121" s="2" t="str">
        <f t="shared" si="10"/>
        <v>OK</v>
      </c>
      <c r="M121" s="2" t="str">
        <f t="shared" si="11"/>
        <v>OK</v>
      </c>
      <c r="N121" s="2" t="str">
        <f t="shared" si="12"/>
        <v>MATCH</v>
      </c>
      <c r="O121" s="2" t="str">
        <f t="shared" si="13"/>
        <v>OK</v>
      </c>
      <c r="P121" s="2">
        <f t="shared" si="14"/>
        <v>0</v>
      </c>
      <c r="Q121" s="2" t="str">
        <f t="shared" si="15"/>
        <v>2024-08</v>
      </c>
      <c r="R121" s="3" t="s">
        <v>54</v>
      </c>
      <c r="S121" s="2">
        <f>IF(tblChecks[[#This Row],[AnyError]]="ERROR",1,0)</f>
        <v>0</v>
      </c>
      <c r="T121" s="2">
        <f>IF(tblChecks[[#This Row],[MissingStreet]]="MISSING",1,0)</f>
        <v>0</v>
      </c>
      <c r="U121" t="str">
        <f t="shared" si="8"/>
        <v>OK</v>
      </c>
    </row>
    <row r="122" spans="1:21" x14ac:dyDescent="0.3">
      <c r="A122" s="1" t="str">
        <f>CleanedData!F122</f>
        <v>PROP00121</v>
      </c>
      <c r="B122" s="2" t="str">
        <f>CleanedData!A122</f>
        <v>UK, Birmingham, William Underpass 179</v>
      </c>
      <c r="C122" s="2" t="str">
        <f>CleanedData!D122</f>
        <v>UK</v>
      </c>
      <c r="D122" s="2" t="str">
        <f>CleanedData!E122</f>
        <v>Birmingham</v>
      </c>
      <c r="E122" s="2" t="str">
        <f>CleanedData!O122</f>
        <v>Birmingham</v>
      </c>
      <c r="F122" s="2" t="str">
        <f>CleanedData!M122</f>
        <v>William Underpass 179</v>
      </c>
      <c r="G122" s="2" t="str">
        <f>CleanedData!B122</f>
        <v>96964</v>
      </c>
      <c r="H122" s="2" t="str">
        <f>CleanedData!C122</f>
        <v>+43-487423151</v>
      </c>
      <c r="I122" s="2" t="str">
        <f>CleanedData!G122</f>
        <v>Inactive</v>
      </c>
      <c r="J122" s="14">
        <f>CleanedData!H122</f>
        <v>45134</v>
      </c>
      <c r="K122" s="2" t="str">
        <f t="shared" si="9"/>
        <v>OK</v>
      </c>
      <c r="L122" s="2" t="str">
        <f t="shared" si="10"/>
        <v>OK</v>
      </c>
      <c r="M122" s="2" t="str">
        <f t="shared" si="11"/>
        <v>OK</v>
      </c>
      <c r="N122" s="2" t="str">
        <f t="shared" si="12"/>
        <v>MATCH</v>
      </c>
      <c r="O122" s="2" t="str">
        <f t="shared" si="13"/>
        <v>OK</v>
      </c>
      <c r="P122" s="2">
        <f t="shared" si="14"/>
        <v>0</v>
      </c>
      <c r="Q122" s="2" t="str">
        <f t="shared" si="15"/>
        <v>2023-07</v>
      </c>
      <c r="R122" s="3" t="s">
        <v>54</v>
      </c>
      <c r="S122" s="2">
        <f>IF(tblChecks[[#This Row],[AnyError]]="ERROR",1,0)</f>
        <v>0</v>
      </c>
      <c r="T122" s="2">
        <f>IF(tblChecks[[#This Row],[MissingStreet]]="MISSING",1,0)</f>
        <v>0</v>
      </c>
      <c r="U122" t="str">
        <f t="shared" si="8"/>
        <v>OK</v>
      </c>
    </row>
    <row r="123" spans="1:21" x14ac:dyDescent="0.3">
      <c r="A123" s="1" t="str">
        <f>CleanedData!F123</f>
        <v>PROP00122</v>
      </c>
      <c r="B123" s="2" t="str">
        <f>CleanedData!A123</f>
        <v>AdelaideDonna Haven193, Australia</v>
      </c>
      <c r="C123" s="2" t="str">
        <f>CleanedData!D123</f>
        <v>Australia</v>
      </c>
      <c r="D123" s="2" t="str">
        <f>CleanedData!E123</f>
        <v>Adelaide</v>
      </c>
      <c r="E123" s="2" t="str">
        <f>CleanedData!O123</f>
        <v>Adelaide</v>
      </c>
      <c r="F123" s="2" t="str">
        <f>CleanedData!M123</f>
        <v>AdelaideDonna Haven193</v>
      </c>
      <c r="G123" s="2" t="str">
        <f>CleanedData!B123</f>
        <v>68062</v>
      </c>
      <c r="H123" s="2" t="str">
        <f>CleanedData!C123</f>
        <v>+90-826650780</v>
      </c>
      <c r="I123" s="2" t="str">
        <f>CleanedData!G123</f>
        <v>Active</v>
      </c>
      <c r="J123" s="14">
        <f>CleanedData!H123</f>
        <v>45369</v>
      </c>
      <c r="K123" s="2" t="str">
        <f t="shared" si="9"/>
        <v>OK</v>
      </c>
      <c r="L123" s="2" t="str">
        <f t="shared" si="10"/>
        <v>OK</v>
      </c>
      <c r="M123" s="2" t="str">
        <f t="shared" si="11"/>
        <v>OK</v>
      </c>
      <c r="N123" s="2" t="str">
        <f t="shared" si="12"/>
        <v>MATCH</v>
      </c>
      <c r="O123" s="2" t="str">
        <f t="shared" si="13"/>
        <v>OK</v>
      </c>
      <c r="P123" s="2">
        <f t="shared" si="14"/>
        <v>0</v>
      </c>
      <c r="Q123" s="2" t="str">
        <f t="shared" si="15"/>
        <v>2024-03</v>
      </c>
      <c r="R123" s="3" t="s">
        <v>33</v>
      </c>
      <c r="S123" s="2">
        <f>IF(tblChecks[[#This Row],[AnyError]]="ERROR",1,0)</f>
        <v>0</v>
      </c>
      <c r="T123" s="2">
        <f>IF(tblChecks[[#This Row],[MissingStreet]]="MISSING",1,0)</f>
        <v>0</v>
      </c>
      <c r="U123" t="str">
        <f t="shared" si="8"/>
        <v>OK</v>
      </c>
    </row>
    <row r="124" spans="1:21" x14ac:dyDescent="0.3">
      <c r="A124" s="1" t="str">
        <f>CleanedData!F124</f>
        <v>PROP00123</v>
      </c>
      <c r="B124" s="2" t="str">
        <f>CleanedData!A124</f>
        <v>CanadaToronto</v>
      </c>
      <c r="C124" s="2" t="str">
        <f>CleanedData!D124</f>
        <v>Canada</v>
      </c>
      <c r="D124" s="2" t="str">
        <f>CleanedData!E124</f>
        <v>Toronto</v>
      </c>
      <c r="E124" s="2" t="str">
        <f>CleanedData!O124</f>
        <v>Toronto</v>
      </c>
      <c r="F124" s="2" t="str">
        <f>CleanedData!M124</f>
        <v/>
      </c>
      <c r="G124" s="2" t="str">
        <f>CleanedData!B124</f>
        <v>31285</v>
      </c>
      <c r="H124" s="2" t="str">
        <f>CleanedData!C124</f>
        <v>+19-116255518</v>
      </c>
      <c r="I124" s="2" t="str">
        <f>CleanedData!G124</f>
        <v>Active</v>
      </c>
      <c r="J124" s="14">
        <f>CleanedData!H124</f>
        <v>45949</v>
      </c>
      <c r="K124" s="2" t="str">
        <f t="shared" si="9"/>
        <v>MISSING</v>
      </c>
      <c r="L124" s="2" t="str">
        <f t="shared" si="10"/>
        <v>OK</v>
      </c>
      <c r="M124" s="2" t="str">
        <f t="shared" si="11"/>
        <v>OK</v>
      </c>
      <c r="N124" s="2" t="str">
        <f t="shared" si="12"/>
        <v>MATCH</v>
      </c>
      <c r="O124" s="2" t="str">
        <f t="shared" si="13"/>
        <v>ERROR</v>
      </c>
      <c r="P124" s="2">
        <f t="shared" si="14"/>
        <v>1</v>
      </c>
      <c r="Q124" s="2" t="str">
        <f t="shared" si="15"/>
        <v>2025-10</v>
      </c>
      <c r="R124" s="3" t="s">
        <v>39</v>
      </c>
      <c r="S124" s="2">
        <f>IF(tblChecks[[#This Row],[AnyError]]="ERROR",1,0)</f>
        <v>1</v>
      </c>
      <c r="T124" s="2">
        <f>IF(tblChecks[[#This Row],[MissingStreet]]="MISSING",1,0)</f>
        <v>1</v>
      </c>
      <c r="U124" t="str">
        <f t="shared" si="8"/>
        <v>MissingStreet</v>
      </c>
    </row>
    <row r="125" spans="1:21" x14ac:dyDescent="0.3">
      <c r="A125" s="1" t="str">
        <f>CleanedData!F125</f>
        <v>PROP00124</v>
      </c>
      <c r="B125" s="2" t="str">
        <f>CleanedData!A125</f>
        <v>CanadaCalgaryWalker Flat187</v>
      </c>
      <c r="C125" s="2" t="str">
        <f>CleanedData!D125</f>
        <v>Canada</v>
      </c>
      <c r="D125" s="2" t="str">
        <f>CleanedData!E125</f>
        <v>Calgary</v>
      </c>
      <c r="E125" s="2" t="str">
        <f>CleanedData!O125</f>
        <v>Calgary</v>
      </c>
      <c r="F125" s="2" t="str">
        <f>CleanedData!M125</f>
        <v>CanadaCalgaryWalker Flat187</v>
      </c>
      <c r="G125" s="2" t="str">
        <f>CleanedData!B125</f>
        <v>19814</v>
      </c>
      <c r="H125" s="2" t="str">
        <f>CleanedData!C125</f>
        <v>+58-446650963</v>
      </c>
      <c r="I125" s="2" t="str">
        <f>CleanedData!G125</f>
        <v>Inactive</v>
      </c>
      <c r="J125" s="14">
        <f>CleanedData!H125</f>
        <v>45655</v>
      </c>
      <c r="K125" s="2" t="str">
        <f t="shared" si="9"/>
        <v>OK</v>
      </c>
      <c r="L125" s="2" t="str">
        <f t="shared" si="10"/>
        <v>OK</v>
      </c>
      <c r="M125" s="2" t="str">
        <f t="shared" si="11"/>
        <v>OK</v>
      </c>
      <c r="N125" s="2" t="str">
        <f t="shared" si="12"/>
        <v>MATCH</v>
      </c>
      <c r="O125" s="2" t="str">
        <f t="shared" si="13"/>
        <v>OK</v>
      </c>
      <c r="P125" s="2">
        <f t="shared" si="14"/>
        <v>0</v>
      </c>
      <c r="Q125" s="2" t="str">
        <f t="shared" si="15"/>
        <v>2024-12</v>
      </c>
      <c r="R125" s="3" t="s">
        <v>39</v>
      </c>
      <c r="S125" s="2">
        <f>IF(tblChecks[[#This Row],[AnyError]]="ERROR",1,0)</f>
        <v>0</v>
      </c>
      <c r="T125" s="2">
        <f>IF(tblChecks[[#This Row],[MissingStreet]]="MISSING",1,0)</f>
        <v>0</v>
      </c>
      <c r="U125" t="str">
        <f t="shared" si="8"/>
        <v>OK</v>
      </c>
    </row>
    <row r="126" spans="1:21" x14ac:dyDescent="0.3">
      <c r="A126" s="1" t="str">
        <f>CleanedData!F126</f>
        <v>PROP00125</v>
      </c>
      <c r="B126" s="2" t="str">
        <f>CleanedData!A126</f>
        <v>Brandon Mountains103, Frankfurt, Germany</v>
      </c>
      <c r="C126" s="2" t="str">
        <f>CleanedData!D126</f>
        <v>Germany</v>
      </c>
      <c r="D126" s="2" t="str">
        <f>CleanedData!E126</f>
        <v>Frankfurt</v>
      </c>
      <c r="E126" s="2" t="str">
        <f>CleanedData!O126</f>
        <v>Frankfurt</v>
      </c>
      <c r="F126" s="2" t="str">
        <f>CleanedData!M126</f>
        <v>Brandon Mountains103</v>
      </c>
      <c r="G126" s="2" t="str">
        <f>CleanedData!B126</f>
        <v>80621</v>
      </c>
      <c r="H126" s="2" t="str">
        <f>CleanedData!C126</f>
        <v>+69-873739504</v>
      </c>
      <c r="I126" s="2" t="str">
        <f>CleanedData!G126</f>
        <v>Inactive</v>
      </c>
      <c r="J126" s="14">
        <f>CleanedData!H126</f>
        <v>45227</v>
      </c>
      <c r="K126" s="2" t="str">
        <f t="shared" si="9"/>
        <v>OK</v>
      </c>
      <c r="L126" s="2" t="str">
        <f t="shared" si="10"/>
        <v>OK</v>
      </c>
      <c r="M126" s="2" t="str">
        <f t="shared" si="11"/>
        <v>OK</v>
      </c>
      <c r="N126" s="2" t="str">
        <f t="shared" si="12"/>
        <v>MATCH</v>
      </c>
      <c r="O126" s="2" t="str">
        <f t="shared" si="13"/>
        <v>OK</v>
      </c>
      <c r="P126" s="2">
        <f t="shared" si="14"/>
        <v>0</v>
      </c>
      <c r="Q126" s="2" t="str">
        <f t="shared" si="15"/>
        <v>2023-10</v>
      </c>
      <c r="R126" s="3" t="s">
        <v>16</v>
      </c>
      <c r="S126" s="2">
        <f>IF(tblChecks[[#This Row],[AnyError]]="ERROR",1,0)</f>
        <v>0</v>
      </c>
      <c r="T126" s="2">
        <f>IF(tblChecks[[#This Row],[MissingStreet]]="MISSING",1,0)</f>
        <v>0</v>
      </c>
      <c r="U126" t="str">
        <f t="shared" si="8"/>
        <v>OK</v>
      </c>
    </row>
    <row r="127" spans="1:21" x14ac:dyDescent="0.3">
      <c r="A127" s="1" t="str">
        <f>CleanedData!F127</f>
        <v>PROP00126</v>
      </c>
      <c r="B127" s="2" t="str">
        <f>CleanedData!A127</f>
        <v>Germany, Cologne</v>
      </c>
      <c r="C127" s="2" t="str">
        <f>CleanedData!D127</f>
        <v>Germany</v>
      </c>
      <c r="D127" s="2" t="str">
        <f>CleanedData!E127</f>
        <v>Cologne</v>
      </c>
      <c r="E127" s="2" t="str">
        <f>CleanedData!O127</f>
        <v>Cologne</v>
      </c>
      <c r="F127" s="2" t="str">
        <f>CleanedData!M127</f>
        <v>Cologne</v>
      </c>
      <c r="G127" s="2" t="str">
        <f>CleanedData!B127</f>
        <v>75955</v>
      </c>
      <c r="H127" s="2" t="str">
        <f>CleanedData!C127</f>
        <v>+5-889502567</v>
      </c>
      <c r="I127" s="2" t="str">
        <f>CleanedData!G127</f>
        <v>Active</v>
      </c>
      <c r="J127" s="14">
        <f>CleanedData!H127</f>
        <v>45147</v>
      </c>
      <c r="K127" s="2" t="str">
        <f t="shared" si="9"/>
        <v>OK</v>
      </c>
      <c r="L127" s="2" t="str">
        <f t="shared" si="10"/>
        <v>OK</v>
      </c>
      <c r="M127" s="2" t="str">
        <f t="shared" si="11"/>
        <v>OK</v>
      </c>
      <c r="N127" s="2" t="str">
        <f t="shared" si="12"/>
        <v>MATCH</v>
      </c>
      <c r="O127" s="2" t="str">
        <f t="shared" si="13"/>
        <v>OK</v>
      </c>
      <c r="P127" s="2">
        <f t="shared" si="14"/>
        <v>0</v>
      </c>
      <c r="Q127" s="2" t="str">
        <f t="shared" si="15"/>
        <v>2023-08</v>
      </c>
      <c r="R127" s="3" t="s">
        <v>54</v>
      </c>
      <c r="S127" s="2">
        <f>IF(tblChecks[[#This Row],[AnyError]]="ERROR",1,0)</f>
        <v>0</v>
      </c>
      <c r="T127" s="2">
        <f>IF(tblChecks[[#This Row],[MissingStreet]]="MISSING",1,0)</f>
        <v>0</v>
      </c>
      <c r="U127" t="str">
        <f t="shared" si="8"/>
        <v>OK</v>
      </c>
    </row>
    <row r="128" spans="1:21" x14ac:dyDescent="0.3">
      <c r="A128" s="1" t="str">
        <f>CleanedData!F128</f>
        <v>PROP00127</v>
      </c>
      <c r="B128" s="2" t="str">
        <f>CleanedData!A128</f>
        <v>Jennifer Lights 173, Spain, Madrid</v>
      </c>
      <c r="C128" s="2" t="str">
        <f>CleanedData!D128</f>
        <v>Spain</v>
      </c>
      <c r="D128" s="2" t="str">
        <f>CleanedData!E128</f>
        <v>Madrid</v>
      </c>
      <c r="E128" s="2" t="str">
        <f>CleanedData!O128</f>
        <v>Madrid</v>
      </c>
      <c r="F128" s="2" t="str">
        <f>CleanedData!M128</f>
        <v>Jennifer Lights 173</v>
      </c>
      <c r="G128" s="2" t="str">
        <f>CleanedData!B128</f>
        <v>65300</v>
      </c>
      <c r="H128" s="2" t="str">
        <f>CleanedData!C128</f>
        <v>+89-498991772</v>
      </c>
      <c r="I128" s="2" t="str">
        <f>CleanedData!G128</f>
        <v>Active</v>
      </c>
      <c r="J128" s="14">
        <f>CleanedData!H128</f>
        <v>44993</v>
      </c>
      <c r="K128" s="2" t="str">
        <f t="shared" si="9"/>
        <v>OK</v>
      </c>
      <c r="L128" s="2" t="str">
        <f t="shared" si="10"/>
        <v>OK</v>
      </c>
      <c r="M128" s="2" t="str">
        <f t="shared" si="11"/>
        <v>OK</v>
      </c>
      <c r="N128" s="2" t="str">
        <f t="shared" si="12"/>
        <v>MATCH</v>
      </c>
      <c r="O128" s="2" t="str">
        <f t="shared" si="13"/>
        <v>OK</v>
      </c>
      <c r="P128" s="2">
        <f t="shared" si="14"/>
        <v>0</v>
      </c>
      <c r="Q128" s="2" t="str">
        <f t="shared" si="15"/>
        <v>2023-03</v>
      </c>
      <c r="R128" s="3" t="s">
        <v>54</v>
      </c>
      <c r="S128" s="2">
        <f>IF(tblChecks[[#This Row],[AnyError]]="ERROR",1,0)</f>
        <v>0</v>
      </c>
      <c r="T128" s="2">
        <f>IF(tblChecks[[#This Row],[MissingStreet]]="MISSING",1,0)</f>
        <v>0</v>
      </c>
      <c r="U128" t="str">
        <f t="shared" si="8"/>
        <v>OK</v>
      </c>
    </row>
    <row r="129" spans="1:21" x14ac:dyDescent="0.3">
      <c r="A129" s="1" t="str">
        <f>CleanedData!F129</f>
        <v>PROP00128</v>
      </c>
      <c r="B129" s="2" t="str">
        <f>CleanedData!A129</f>
        <v>Madrid, Sanchez Shoal 29, Spain</v>
      </c>
      <c r="C129" s="2" t="str">
        <f>CleanedData!D129</f>
        <v>Spain</v>
      </c>
      <c r="D129" s="2" t="str">
        <f>CleanedData!E129</f>
        <v>Madrid</v>
      </c>
      <c r="E129" s="2" t="str">
        <f>CleanedData!O129</f>
        <v>Madrid</v>
      </c>
      <c r="F129" s="2" t="str">
        <f>CleanedData!M129</f>
        <v>Sanchez Shoal 29</v>
      </c>
      <c r="G129" s="2" t="str">
        <f>CleanedData!B129</f>
        <v>90629</v>
      </c>
      <c r="H129" s="2" t="str">
        <f>CleanedData!C129</f>
        <v>+80-703163769</v>
      </c>
      <c r="I129" s="2" t="str">
        <f>CleanedData!G129</f>
        <v>Inactive</v>
      </c>
      <c r="J129" s="14">
        <f>CleanedData!H129</f>
        <v>45256</v>
      </c>
      <c r="K129" s="2" t="str">
        <f t="shared" si="9"/>
        <v>OK</v>
      </c>
      <c r="L129" s="2" t="str">
        <f t="shared" si="10"/>
        <v>OK</v>
      </c>
      <c r="M129" s="2" t="str">
        <f t="shared" si="11"/>
        <v>OK</v>
      </c>
      <c r="N129" s="2" t="str">
        <f t="shared" si="12"/>
        <v>MATCH</v>
      </c>
      <c r="O129" s="2" t="str">
        <f t="shared" si="13"/>
        <v>OK</v>
      </c>
      <c r="P129" s="2">
        <f t="shared" si="14"/>
        <v>0</v>
      </c>
      <c r="Q129" s="2" t="str">
        <f t="shared" si="15"/>
        <v>2023-11</v>
      </c>
      <c r="R129" s="3" t="s">
        <v>23</v>
      </c>
      <c r="S129" s="2">
        <f>IF(tblChecks[[#This Row],[AnyError]]="ERROR",1,0)</f>
        <v>0</v>
      </c>
      <c r="T129" s="2">
        <f>IF(tblChecks[[#This Row],[MissingStreet]]="MISSING",1,0)</f>
        <v>0</v>
      </c>
      <c r="U129" t="str">
        <f t="shared" si="8"/>
        <v>OK</v>
      </c>
    </row>
    <row r="130" spans="1:21" x14ac:dyDescent="0.3">
      <c r="A130" s="1" t="str">
        <f>CleanedData!F130</f>
        <v>PROP00129</v>
      </c>
      <c r="B130" s="2" t="str">
        <f>CleanedData!A130</f>
        <v>Patricia Wall 102, Canada, Calgary</v>
      </c>
      <c r="C130" s="2" t="str">
        <f>CleanedData!D130</f>
        <v>Canada</v>
      </c>
      <c r="D130" s="2" t="str">
        <f>CleanedData!E130</f>
        <v>Calgary</v>
      </c>
      <c r="E130" s="2" t="str">
        <f>CleanedData!O130</f>
        <v>Calgary</v>
      </c>
      <c r="F130" s="2" t="str">
        <f>CleanedData!M130</f>
        <v>Patricia Wall 102</v>
      </c>
      <c r="G130" s="2" t="str">
        <f>CleanedData!B130</f>
        <v>14471</v>
      </c>
      <c r="H130" s="2" t="str">
        <f>CleanedData!C130</f>
        <v>+80-517588526</v>
      </c>
      <c r="I130" s="2" t="str">
        <f>CleanedData!G130</f>
        <v>Inactive</v>
      </c>
      <c r="J130" s="14">
        <f>CleanedData!H130</f>
        <v>45981</v>
      </c>
      <c r="K130" s="2" t="str">
        <f t="shared" si="9"/>
        <v>OK</v>
      </c>
      <c r="L130" s="2" t="str">
        <f t="shared" si="10"/>
        <v>OK</v>
      </c>
      <c r="M130" s="2" t="str">
        <f t="shared" si="11"/>
        <v>OK</v>
      </c>
      <c r="N130" s="2" t="str">
        <f t="shared" si="12"/>
        <v>MATCH</v>
      </c>
      <c r="O130" s="2" t="str">
        <f t="shared" si="13"/>
        <v>OK</v>
      </c>
      <c r="P130" s="2">
        <f t="shared" si="14"/>
        <v>0</v>
      </c>
      <c r="Q130" s="2" t="str">
        <f t="shared" si="15"/>
        <v>2025-11</v>
      </c>
      <c r="R130" s="3" t="s">
        <v>33</v>
      </c>
      <c r="S130" s="2">
        <f>IF(tblChecks[[#This Row],[AnyError]]="ERROR",1,0)</f>
        <v>0</v>
      </c>
      <c r="T130" s="2">
        <f>IF(tblChecks[[#This Row],[MissingStreet]]="MISSING",1,0)</f>
        <v>0</v>
      </c>
      <c r="U130" t="str">
        <f t="shared" ref="U130:U193" si="16">IF(K130="MISSING","MissingStreet",
IF(L130="INVALID","PostalCode_INVALID",
IF(M130="INVALID","Phone_INVALID","OK")))</f>
        <v>OK</v>
      </c>
    </row>
    <row r="131" spans="1:21" x14ac:dyDescent="0.3">
      <c r="A131" s="1" t="str">
        <f>CleanedData!F131</f>
        <v>PROP00130</v>
      </c>
      <c r="B131" s="2" t="str">
        <f>CleanedData!A131</f>
        <v>MilanRobinson Unions166, Italy</v>
      </c>
      <c r="C131" s="2" t="str">
        <f>CleanedData!D131</f>
        <v>Italy</v>
      </c>
      <c r="D131" s="2" t="str">
        <f>CleanedData!E131</f>
        <v>Milan</v>
      </c>
      <c r="E131" s="2" t="str">
        <f>CleanedData!O131</f>
        <v>Milan</v>
      </c>
      <c r="F131" s="2" t="str">
        <f>CleanedData!M131</f>
        <v>MilanRobinson Unions166</v>
      </c>
      <c r="G131" s="2" t="str">
        <f>CleanedData!B131</f>
        <v>91715</v>
      </c>
      <c r="H131" s="2" t="str">
        <f>CleanedData!C131</f>
        <v>+85-187213398</v>
      </c>
      <c r="I131" s="2" t="str">
        <f>CleanedData!G131</f>
        <v>Active</v>
      </c>
      <c r="J131" s="14">
        <f>CleanedData!H131</f>
        <v>45399</v>
      </c>
      <c r="K131" s="2" t="str">
        <f t="shared" ref="K131:K194" si="17">IF(TRIM(F131)="","MISSING","OK")</f>
        <v>OK</v>
      </c>
      <c r="L131" s="2" t="str">
        <f t="shared" ref="L131:L194" si="18">IF(LEN(TRIM(G131))&lt;3,"INVALID","OK")</f>
        <v>OK</v>
      </c>
      <c r="M131" s="2" t="str">
        <f t="shared" ref="M131:M194" si="19">IF(LEN(SUBSTITUTE(SUBSTITUTE(H131," ",""),"-",""))&gt;=7,"OK","INVALID")</f>
        <v>OK</v>
      </c>
      <c r="N131" s="2" t="str">
        <f t="shared" ref="N131:N194" si="20">IF(E131="","NO_EXTRACT",
 IF(LOWER(TRIM(E131))=LOWER(TRIM(D131)),"MATCH","CHECK"))</f>
        <v>MATCH</v>
      </c>
      <c r="O131" s="2" t="str">
        <f t="shared" ref="O131:O194" si="21">IF(OR(K131="MISSING",L131="INVALID",M131="INVALID"),"ERROR","OK")</f>
        <v>OK</v>
      </c>
      <c r="P131" s="2">
        <f t="shared" ref="P131:P194" si="22">(K131="MISSING")*1 + (L131="INVALID")*1 + (M131="INVALID")*1</f>
        <v>0</v>
      </c>
      <c r="Q131" s="2" t="str">
        <f t="shared" ref="Q131:Q194" si="23">YEAR(J131) &amp; "-" &amp; TEXT(MONTH(J131),"00")</f>
        <v>2024-04</v>
      </c>
      <c r="R131" s="3" t="s">
        <v>39</v>
      </c>
      <c r="S131" s="2">
        <f>IF(tblChecks[[#This Row],[AnyError]]="ERROR",1,0)</f>
        <v>0</v>
      </c>
      <c r="T131" s="2">
        <f>IF(tblChecks[[#This Row],[MissingStreet]]="MISSING",1,0)</f>
        <v>0</v>
      </c>
      <c r="U131" t="str">
        <f t="shared" si="16"/>
        <v>OK</v>
      </c>
    </row>
    <row r="132" spans="1:21" x14ac:dyDescent="0.3">
      <c r="A132" s="1" t="str">
        <f>CleanedData!F132</f>
        <v>PROP00131</v>
      </c>
      <c r="B132" s="2" t="str">
        <f>CleanedData!A132</f>
        <v>Williams Gateway29, Naples, Italy</v>
      </c>
      <c r="C132" s="2" t="str">
        <f>CleanedData!D132</f>
        <v>Italy</v>
      </c>
      <c r="D132" s="2" t="str">
        <f>CleanedData!E132</f>
        <v>Naples</v>
      </c>
      <c r="E132" s="2" t="str">
        <f>CleanedData!O132</f>
        <v>Naples</v>
      </c>
      <c r="F132" s="2" t="str">
        <f>CleanedData!M132</f>
        <v>Williams Gateway29</v>
      </c>
      <c r="G132" s="2" t="str">
        <f>CleanedData!B132</f>
        <v>16407</v>
      </c>
      <c r="H132" s="2" t="str">
        <f>CleanedData!C132</f>
        <v>+23-121419408</v>
      </c>
      <c r="I132" s="2" t="str">
        <f>CleanedData!G132</f>
        <v>Active</v>
      </c>
      <c r="J132" s="14">
        <f>CleanedData!H132</f>
        <v>45278</v>
      </c>
      <c r="K132" s="2" t="str">
        <f t="shared" si="17"/>
        <v>OK</v>
      </c>
      <c r="L132" s="2" t="str">
        <f t="shared" si="18"/>
        <v>OK</v>
      </c>
      <c r="M132" s="2" t="str">
        <f t="shared" si="19"/>
        <v>OK</v>
      </c>
      <c r="N132" s="2" t="str">
        <f t="shared" si="20"/>
        <v>MATCH</v>
      </c>
      <c r="O132" s="2" t="str">
        <f t="shared" si="21"/>
        <v>OK</v>
      </c>
      <c r="P132" s="2">
        <f t="shared" si="22"/>
        <v>0</v>
      </c>
      <c r="Q132" s="2" t="str">
        <f t="shared" si="23"/>
        <v>2023-12</v>
      </c>
      <c r="R132" s="3" t="s">
        <v>33</v>
      </c>
      <c r="S132" s="2">
        <f>IF(tblChecks[[#This Row],[AnyError]]="ERROR",1,0)</f>
        <v>0</v>
      </c>
      <c r="T132" s="2">
        <f>IF(tblChecks[[#This Row],[MissingStreet]]="MISSING",1,0)</f>
        <v>0</v>
      </c>
      <c r="U132" t="str">
        <f t="shared" si="16"/>
        <v>OK</v>
      </c>
    </row>
    <row r="133" spans="1:21" x14ac:dyDescent="0.3">
      <c r="A133" s="1" t="str">
        <f>CleanedData!F133</f>
        <v>PROP00132</v>
      </c>
      <c r="B133" s="2" t="str">
        <f>CleanedData!A133</f>
        <v>USAChicagoAnderson Mountain52</v>
      </c>
      <c r="C133" s="2" t="str">
        <f>CleanedData!D133</f>
        <v>USA</v>
      </c>
      <c r="D133" s="2" t="str">
        <f>CleanedData!E133</f>
        <v>Chicago</v>
      </c>
      <c r="E133" s="2" t="str">
        <f>CleanedData!O133</f>
        <v>Chicago</v>
      </c>
      <c r="F133" s="2" t="str">
        <f>CleanedData!M133</f>
        <v>USAChicagoAnderson Mountain52</v>
      </c>
      <c r="G133" s="2" t="str">
        <f>CleanedData!B133</f>
        <v>88001</v>
      </c>
      <c r="H133" s="2" t="str">
        <f>CleanedData!C133</f>
        <v>+23-132311626</v>
      </c>
      <c r="I133" s="2" t="str">
        <f>CleanedData!G133</f>
        <v>Active</v>
      </c>
      <c r="J133" s="14">
        <f>CleanedData!H133</f>
        <v>45394</v>
      </c>
      <c r="K133" s="2" t="str">
        <f t="shared" si="17"/>
        <v>OK</v>
      </c>
      <c r="L133" s="2" t="str">
        <f t="shared" si="18"/>
        <v>OK</v>
      </c>
      <c r="M133" s="2" t="str">
        <f t="shared" si="19"/>
        <v>OK</v>
      </c>
      <c r="N133" s="2" t="str">
        <f t="shared" si="20"/>
        <v>MATCH</v>
      </c>
      <c r="O133" s="2" t="str">
        <f t="shared" si="21"/>
        <v>OK</v>
      </c>
      <c r="P133" s="2">
        <f t="shared" si="22"/>
        <v>0</v>
      </c>
      <c r="Q133" s="2" t="str">
        <f t="shared" si="23"/>
        <v>2024-04</v>
      </c>
      <c r="R133" s="3" t="s">
        <v>39</v>
      </c>
      <c r="S133" s="2">
        <f>IF(tblChecks[[#This Row],[AnyError]]="ERROR",1,0)</f>
        <v>0</v>
      </c>
      <c r="T133" s="2">
        <f>IF(tblChecks[[#This Row],[MissingStreet]]="MISSING",1,0)</f>
        <v>0</v>
      </c>
      <c r="U133" t="str">
        <f t="shared" si="16"/>
        <v>OK</v>
      </c>
    </row>
    <row r="134" spans="1:21" x14ac:dyDescent="0.3">
      <c r="A134" s="1" t="str">
        <f>CleanedData!F134</f>
        <v>PROP00133</v>
      </c>
      <c r="B134" s="2" t="str">
        <f>CleanedData!A134</f>
        <v>USAHoustonDodson Mills228</v>
      </c>
      <c r="C134" s="2" t="str">
        <f>CleanedData!D134</f>
        <v>USA</v>
      </c>
      <c r="D134" s="2" t="str">
        <f>CleanedData!E134</f>
        <v>Houston</v>
      </c>
      <c r="E134" s="2" t="str">
        <f>CleanedData!O134</f>
        <v>Houston</v>
      </c>
      <c r="F134" s="2" t="str">
        <f>CleanedData!M134</f>
        <v>USAHoustonDodson Mills228</v>
      </c>
      <c r="G134" s="2" t="str">
        <f>CleanedData!B134</f>
        <v>80802</v>
      </c>
      <c r="H134" s="2" t="str">
        <f>CleanedData!C134</f>
        <v>+47-191495881</v>
      </c>
      <c r="I134" s="2" t="str">
        <f>CleanedData!G134</f>
        <v>Inactive</v>
      </c>
      <c r="J134" s="14">
        <f>CleanedData!H134</f>
        <v>45889</v>
      </c>
      <c r="K134" s="2" t="str">
        <f t="shared" si="17"/>
        <v>OK</v>
      </c>
      <c r="L134" s="2" t="str">
        <f t="shared" si="18"/>
        <v>OK</v>
      </c>
      <c r="M134" s="2" t="str">
        <f t="shared" si="19"/>
        <v>OK</v>
      </c>
      <c r="N134" s="2" t="str">
        <f t="shared" si="20"/>
        <v>MATCH</v>
      </c>
      <c r="O134" s="2" t="str">
        <f t="shared" si="21"/>
        <v>OK</v>
      </c>
      <c r="P134" s="2">
        <f t="shared" si="22"/>
        <v>0</v>
      </c>
      <c r="Q134" s="2" t="str">
        <f t="shared" si="23"/>
        <v>2025-08</v>
      </c>
      <c r="R134" s="3" t="s">
        <v>39</v>
      </c>
      <c r="S134" s="2">
        <f>IF(tblChecks[[#This Row],[AnyError]]="ERROR",1,0)</f>
        <v>0</v>
      </c>
      <c r="T134" s="2">
        <f>IF(tblChecks[[#This Row],[MissingStreet]]="MISSING",1,0)</f>
        <v>0</v>
      </c>
      <c r="U134" t="str">
        <f t="shared" si="16"/>
        <v>OK</v>
      </c>
    </row>
    <row r="135" spans="1:21" x14ac:dyDescent="0.3">
      <c r="A135" s="1" t="str">
        <f>CleanedData!F135</f>
        <v>PROP00134</v>
      </c>
      <c r="B135" s="2" t="str">
        <f>CleanedData!A135</f>
        <v>Canada, Ottawa</v>
      </c>
      <c r="C135" s="2" t="str">
        <f>CleanedData!D135</f>
        <v>Canada</v>
      </c>
      <c r="D135" s="2" t="str">
        <f>CleanedData!E135</f>
        <v>Ottawa</v>
      </c>
      <c r="E135" s="2" t="str">
        <f>CleanedData!O135</f>
        <v>Ottawa</v>
      </c>
      <c r="F135" s="2" t="str">
        <f>CleanedData!M135</f>
        <v>Ottawa</v>
      </c>
      <c r="G135" s="2" t="str">
        <f>CleanedData!B135</f>
        <v>58947</v>
      </c>
      <c r="H135" s="2" t="str">
        <f>CleanedData!C135</f>
        <v>+5-516397814</v>
      </c>
      <c r="I135" s="2" t="str">
        <f>CleanedData!G135</f>
        <v>Inactive</v>
      </c>
      <c r="J135" s="14">
        <f>CleanedData!H135</f>
        <v>45929</v>
      </c>
      <c r="K135" s="2" t="str">
        <f t="shared" si="17"/>
        <v>OK</v>
      </c>
      <c r="L135" s="2" t="str">
        <f t="shared" si="18"/>
        <v>OK</v>
      </c>
      <c r="M135" s="2" t="str">
        <f t="shared" si="19"/>
        <v>OK</v>
      </c>
      <c r="N135" s="2" t="str">
        <f t="shared" si="20"/>
        <v>MATCH</v>
      </c>
      <c r="O135" s="2" t="str">
        <f t="shared" si="21"/>
        <v>OK</v>
      </c>
      <c r="P135" s="2">
        <f t="shared" si="22"/>
        <v>0</v>
      </c>
      <c r="Q135" s="2" t="str">
        <f t="shared" si="23"/>
        <v>2025-09</v>
      </c>
      <c r="R135" s="3" t="s">
        <v>54</v>
      </c>
      <c r="S135" s="2">
        <f>IF(tblChecks[[#This Row],[AnyError]]="ERROR",1,0)</f>
        <v>0</v>
      </c>
      <c r="T135" s="2">
        <f>IF(tblChecks[[#This Row],[MissingStreet]]="MISSING",1,0)</f>
        <v>0</v>
      </c>
      <c r="U135" t="str">
        <f t="shared" si="16"/>
        <v>OK</v>
      </c>
    </row>
    <row r="136" spans="1:21" x14ac:dyDescent="0.3">
      <c r="A136" s="1" t="str">
        <f>CleanedData!F136</f>
        <v>PROP00135</v>
      </c>
      <c r="B136" s="2" t="str">
        <f>CleanedData!A136</f>
        <v>Spain, Seville, Julia Mountains 298</v>
      </c>
      <c r="C136" s="2" t="str">
        <f>CleanedData!D136</f>
        <v>Spain</v>
      </c>
      <c r="D136" s="2" t="str">
        <f>CleanedData!E136</f>
        <v>Seville</v>
      </c>
      <c r="E136" s="2" t="str">
        <f>CleanedData!O136</f>
        <v>Seville</v>
      </c>
      <c r="F136" s="2" t="str">
        <f>CleanedData!M136</f>
        <v>Julia Mountains 298</v>
      </c>
      <c r="G136" s="2" t="str">
        <f>CleanedData!B136</f>
        <v>59492</v>
      </c>
      <c r="H136" s="2" t="str">
        <f>CleanedData!C136</f>
        <v>+14-942083879</v>
      </c>
      <c r="I136" s="2" t="str">
        <f>CleanedData!G136</f>
        <v>Active</v>
      </c>
      <c r="J136" s="14">
        <f>CleanedData!H136</f>
        <v>45696</v>
      </c>
      <c r="K136" s="2" t="str">
        <f t="shared" si="17"/>
        <v>OK</v>
      </c>
      <c r="L136" s="2" t="str">
        <f t="shared" si="18"/>
        <v>OK</v>
      </c>
      <c r="M136" s="2" t="str">
        <f t="shared" si="19"/>
        <v>OK</v>
      </c>
      <c r="N136" s="2" t="str">
        <f t="shared" si="20"/>
        <v>MATCH</v>
      </c>
      <c r="O136" s="2" t="str">
        <f t="shared" si="21"/>
        <v>OK</v>
      </c>
      <c r="P136" s="2">
        <f t="shared" si="22"/>
        <v>0</v>
      </c>
      <c r="Q136" s="2" t="str">
        <f t="shared" si="23"/>
        <v>2025-02</v>
      </c>
      <c r="R136" s="3" t="s">
        <v>16</v>
      </c>
      <c r="S136" s="2">
        <f>IF(tblChecks[[#This Row],[AnyError]]="ERROR",1,0)</f>
        <v>0</v>
      </c>
      <c r="T136" s="2">
        <f>IF(tblChecks[[#This Row],[MissingStreet]]="MISSING",1,0)</f>
        <v>0</v>
      </c>
      <c r="U136" t="str">
        <f t="shared" si="16"/>
        <v>OK</v>
      </c>
    </row>
    <row r="137" spans="1:21" x14ac:dyDescent="0.3">
      <c r="A137" s="1" t="str">
        <f>CleanedData!F137</f>
        <v>PROP00136</v>
      </c>
      <c r="B137" s="2" t="str">
        <f>CleanedData!A137</f>
        <v>SpainMadridWalton Ville241</v>
      </c>
      <c r="C137" s="2" t="str">
        <f>CleanedData!D137</f>
        <v>Spain</v>
      </c>
      <c r="D137" s="2" t="str">
        <f>CleanedData!E137</f>
        <v>Madrid</v>
      </c>
      <c r="E137" s="2" t="str">
        <f>CleanedData!O137</f>
        <v>Madrid</v>
      </c>
      <c r="F137" s="2" t="str">
        <f>CleanedData!M137</f>
        <v>SpainMadridWalton Ville241</v>
      </c>
      <c r="G137" s="2" t="str">
        <f>CleanedData!B137</f>
        <v>84080</v>
      </c>
      <c r="H137" s="2" t="str">
        <f>CleanedData!C137</f>
        <v>+83-852326601</v>
      </c>
      <c r="I137" s="2" t="str">
        <f>CleanedData!G137</f>
        <v>Active</v>
      </c>
      <c r="J137" s="14">
        <f>CleanedData!H137</f>
        <v>45376</v>
      </c>
      <c r="K137" s="2" t="str">
        <f t="shared" si="17"/>
        <v>OK</v>
      </c>
      <c r="L137" s="2" t="str">
        <f t="shared" si="18"/>
        <v>OK</v>
      </c>
      <c r="M137" s="2" t="str">
        <f t="shared" si="19"/>
        <v>OK</v>
      </c>
      <c r="N137" s="2" t="str">
        <f t="shared" si="20"/>
        <v>MATCH</v>
      </c>
      <c r="O137" s="2" t="str">
        <f t="shared" si="21"/>
        <v>OK</v>
      </c>
      <c r="P137" s="2">
        <f t="shared" si="22"/>
        <v>0</v>
      </c>
      <c r="Q137" s="2" t="str">
        <f t="shared" si="23"/>
        <v>2024-03</v>
      </c>
      <c r="R137" s="3" t="s">
        <v>39</v>
      </c>
      <c r="S137" s="2">
        <f>IF(tblChecks[[#This Row],[AnyError]]="ERROR",1,0)</f>
        <v>0</v>
      </c>
      <c r="T137" s="2">
        <f>IF(tblChecks[[#This Row],[MissingStreet]]="MISSING",1,0)</f>
        <v>0</v>
      </c>
      <c r="U137" t="str">
        <f t="shared" si="16"/>
        <v>OK</v>
      </c>
    </row>
    <row r="138" spans="1:21" x14ac:dyDescent="0.3">
      <c r="A138" s="1" t="str">
        <f>CleanedData!F138</f>
        <v>PROP00137</v>
      </c>
      <c r="B138" s="2" t="str">
        <f>CleanedData!A138</f>
        <v>Spain, Bilbao, Cannon Pike 266</v>
      </c>
      <c r="C138" s="2" t="str">
        <f>CleanedData!D138</f>
        <v>Spain</v>
      </c>
      <c r="D138" s="2" t="str">
        <f>CleanedData!E138</f>
        <v>Bilbao</v>
      </c>
      <c r="E138" s="2" t="str">
        <f>CleanedData!O138</f>
        <v>Bilbao</v>
      </c>
      <c r="F138" s="2" t="str">
        <f>CleanedData!M138</f>
        <v>Cannon Pike 266</v>
      </c>
      <c r="G138" s="2" t="str">
        <f>CleanedData!B138</f>
        <v>64018</v>
      </c>
      <c r="H138" s="2" t="str">
        <f>CleanedData!C138</f>
        <v>+73-366323179</v>
      </c>
      <c r="I138" s="2" t="str">
        <f>CleanedData!G138</f>
        <v>Active</v>
      </c>
      <c r="J138" s="14">
        <f>CleanedData!H138</f>
        <v>44931</v>
      </c>
      <c r="K138" s="2" t="str">
        <f t="shared" si="17"/>
        <v>OK</v>
      </c>
      <c r="L138" s="2" t="str">
        <f t="shared" si="18"/>
        <v>OK</v>
      </c>
      <c r="M138" s="2" t="str">
        <f t="shared" si="19"/>
        <v>OK</v>
      </c>
      <c r="N138" s="2" t="str">
        <f t="shared" si="20"/>
        <v>MATCH</v>
      </c>
      <c r="O138" s="2" t="str">
        <f t="shared" si="21"/>
        <v>OK</v>
      </c>
      <c r="P138" s="2">
        <f t="shared" si="22"/>
        <v>0</v>
      </c>
      <c r="Q138" s="2" t="str">
        <f t="shared" si="23"/>
        <v>2023-01</v>
      </c>
      <c r="R138" s="3" t="s">
        <v>39</v>
      </c>
      <c r="S138" s="2">
        <f>IF(tblChecks[[#This Row],[AnyError]]="ERROR",1,0)</f>
        <v>0</v>
      </c>
      <c r="T138" s="2">
        <f>IF(tblChecks[[#This Row],[MissingStreet]]="MISSING",1,0)</f>
        <v>0</v>
      </c>
      <c r="U138" t="str">
        <f t="shared" si="16"/>
        <v>OK</v>
      </c>
    </row>
    <row r="139" spans="1:21" x14ac:dyDescent="0.3">
      <c r="A139" s="1" t="str">
        <f>CleanedData!F139</f>
        <v>PROP00138</v>
      </c>
      <c r="B139" s="2" t="str">
        <f>CleanedData!A139</f>
        <v>FranceLyon, France</v>
      </c>
      <c r="C139" s="2" t="str">
        <f>CleanedData!D139</f>
        <v>France</v>
      </c>
      <c r="D139" s="2" t="str">
        <f>CleanedData!E139</f>
        <v>Lyon</v>
      </c>
      <c r="E139" s="2" t="str">
        <f>CleanedData!O139</f>
        <v>Lyon</v>
      </c>
      <c r="F139" s="2" t="str">
        <f>CleanedData!M139</f>
        <v>France</v>
      </c>
      <c r="G139" s="2" t="str">
        <f>CleanedData!B139</f>
        <v>94026</v>
      </c>
      <c r="H139" s="2" t="str">
        <f>CleanedData!C139</f>
        <v>+68-508787981</v>
      </c>
      <c r="I139" s="2" t="str">
        <f>CleanedData!G139</f>
        <v>Active</v>
      </c>
      <c r="J139" s="14">
        <f>CleanedData!H139</f>
        <v>45657</v>
      </c>
      <c r="K139" s="2" t="str">
        <f t="shared" si="17"/>
        <v>OK</v>
      </c>
      <c r="L139" s="2" t="str">
        <f t="shared" si="18"/>
        <v>OK</v>
      </c>
      <c r="M139" s="2" t="str">
        <f t="shared" si="19"/>
        <v>OK</v>
      </c>
      <c r="N139" s="2" t="str">
        <f t="shared" si="20"/>
        <v>MATCH</v>
      </c>
      <c r="O139" s="2" t="str">
        <f t="shared" si="21"/>
        <v>OK</v>
      </c>
      <c r="P139" s="2">
        <f t="shared" si="22"/>
        <v>0</v>
      </c>
      <c r="Q139" s="2" t="str">
        <f t="shared" si="23"/>
        <v>2024-12</v>
      </c>
      <c r="R139" s="3" t="s">
        <v>39</v>
      </c>
      <c r="S139" s="2">
        <f>IF(tblChecks[[#This Row],[AnyError]]="ERROR",1,0)</f>
        <v>0</v>
      </c>
      <c r="T139" s="2">
        <f>IF(tblChecks[[#This Row],[MissingStreet]]="MISSING",1,0)</f>
        <v>0</v>
      </c>
      <c r="U139" t="str">
        <f t="shared" si="16"/>
        <v>OK</v>
      </c>
    </row>
    <row r="140" spans="1:21" x14ac:dyDescent="0.3">
      <c r="A140" s="1" t="str">
        <f>CleanedData!F140</f>
        <v>PROP00139</v>
      </c>
      <c r="B140" s="2" t="str">
        <f>CleanedData!A140</f>
        <v>Young Isle 76, Naples</v>
      </c>
      <c r="C140" s="2" t="str">
        <f>CleanedData!D140</f>
        <v>Italy</v>
      </c>
      <c r="D140" s="2" t="str">
        <f>CleanedData!E140</f>
        <v>Naples</v>
      </c>
      <c r="E140" s="2" t="str">
        <f>CleanedData!O140</f>
        <v>Naples</v>
      </c>
      <c r="F140" s="2" t="str">
        <f>CleanedData!M140</f>
        <v>Young Isle 76</v>
      </c>
      <c r="G140" s="2" t="str">
        <f>CleanedData!B140</f>
        <v>42405</v>
      </c>
      <c r="H140" s="2" t="str">
        <f>CleanedData!C140</f>
        <v>+79-834932727</v>
      </c>
      <c r="I140" s="2" t="str">
        <f>CleanedData!G140</f>
        <v>Inactive</v>
      </c>
      <c r="J140" s="14">
        <f>CleanedData!H140</f>
        <v>45222</v>
      </c>
      <c r="K140" s="2" t="str">
        <f t="shared" si="17"/>
        <v>OK</v>
      </c>
      <c r="L140" s="2" t="str">
        <f t="shared" si="18"/>
        <v>OK</v>
      </c>
      <c r="M140" s="2" t="str">
        <f t="shared" si="19"/>
        <v>OK</v>
      </c>
      <c r="N140" s="2" t="str">
        <f t="shared" si="20"/>
        <v>MATCH</v>
      </c>
      <c r="O140" s="2" t="str">
        <f t="shared" si="21"/>
        <v>OK</v>
      </c>
      <c r="P140" s="2">
        <f t="shared" si="22"/>
        <v>0</v>
      </c>
      <c r="Q140" s="2" t="str">
        <f t="shared" si="23"/>
        <v>2023-10</v>
      </c>
      <c r="R140" s="3" t="s">
        <v>16</v>
      </c>
      <c r="S140" s="2">
        <f>IF(tblChecks[[#This Row],[AnyError]]="ERROR",1,0)</f>
        <v>0</v>
      </c>
      <c r="T140" s="2">
        <f>IF(tblChecks[[#This Row],[MissingStreet]]="MISSING",1,0)</f>
        <v>0</v>
      </c>
      <c r="U140" t="str">
        <f t="shared" si="16"/>
        <v>OK</v>
      </c>
    </row>
    <row r="141" spans="1:21" x14ac:dyDescent="0.3">
      <c r="A141" s="1" t="str">
        <f>CleanedData!F141</f>
        <v>PROP00140</v>
      </c>
      <c r="B141" s="2" t="str">
        <f>CleanedData!A141</f>
        <v>Brazil, Salvador</v>
      </c>
      <c r="C141" s="2" t="str">
        <f>CleanedData!D141</f>
        <v>Brazil</v>
      </c>
      <c r="D141" s="2" t="str">
        <f>CleanedData!E141</f>
        <v>Salvador</v>
      </c>
      <c r="E141" s="2" t="str">
        <f>CleanedData!O141</f>
        <v>Salvador</v>
      </c>
      <c r="F141" s="2" t="str">
        <f>CleanedData!M141</f>
        <v>Salvador</v>
      </c>
      <c r="G141" s="2" t="str">
        <f>CleanedData!B141</f>
        <v>50706</v>
      </c>
      <c r="H141" s="2" t="str">
        <f>CleanedData!C141</f>
        <v>+67-482257059</v>
      </c>
      <c r="I141" s="2" t="str">
        <f>CleanedData!G141</f>
        <v>Active</v>
      </c>
      <c r="J141" s="14">
        <f>CleanedData!H141</f>
        <v>45550</v>
      </c>
      <c r="K141" s="2" t="str">
        <f t="shared" si="17"/>
        <v>OK</v>
      </c>
      <c r="L141" s="2" t="str">
        <f t="shared" si="18"/>
        <v>OK</v>
      </c>
      <c r="M141" s="2" t="str">
        <f t="shared" si="19"/>
        <v>OK</v>
      </c>
      <c r="N141" s="2" t="str">
        <f t="shared" si="20"/>
        <v>MATCH</v>
      </c>
      <c r="O141" s="2" t="str">
        <f t="shared" si="21"/>
        <v>OK</v>
      </c>
      <c r="P141" s="2">
        <f t="shared" si="22"/>
        <v>0</v>
      </c>
      <c r="Q141" s="2" t="str">
        <f t="shared" si="23"/>
        <v>2024-09</v>
      </c>
      <c r="R141" s="3" t="s">
        <v>54</v>
      </c>
      <c r="S141" s="2">
        <f>IF(tblChecks[[#This Row],[AnyError]]="ERROR",1,0)</f>
        <v>0</v>
      </c>
      <c r="T141" s="2">
        <f>IF(tblChecks[[#This Row],[MissingStreet]]="MISSING",1,0)</f>
        <v>0</v>
      </c>
      <c r="U141" t="str">
        <f t="shared" si="16"/>
        <v>OK</v>
      </c>
    </row>
    <row r="142" spans="1:21" x14ac:dyDescent="0.3">
      <c r="A142" s="1" t="str">
        <f>CleanedData!F142</f>
        <v>PROP00141</v>
      </c>
      <c r="B142" s="2" t="str">
        <f>CleanedData!A142</f>
        <v>Jasmine Circles 123, Brazil, Rio de Janeiro</v>
      </c>
      <c r="C142" s="2" t="str">
        <f>CleanedData!D142</f>
        <v>Brazil</v>
      </c>
      <c r="D142" s="2" t="str">
        <f>CleanedData!E142</f>
        <v>Rio de Janeiro</v>
      </c>
      <c r="E142" s="2" t="str">
        <f>CleanedData!O142</f>
        <v>Rio de Janeiro</v>
      </c>
      <c r="F142" s="2" t="str">
        <f>CleanedData!M142</f>
        <v>Jasmine Circles 123</v>
      </c>
      <c r="G142" s="2" t="str">
        <f>CleanedData!B142</f>
        <v>54878</v>
      </c>
      <c r="H142" s="2" t="str">
        <f>CleanedData!C142</f>
        <v>+16-934525024</v>
      </c>
      <c r="I142" s="2" t="str">
        <f>CleanedData!G142</f>
        <v>Inactive</v>
      </c>
      <c r="J142" s="14">
        <f>CleanedData!H142</f>
        <v>45251</v>
      </c>
      <c r="K142" s="2" t="str">
        <f t="shared" si="17"/>
        <v>OK</v>
      </c>
      <c r="L142" s="2" t="str">
        <f t="shared" si="18"/>
        <v>OK</v>
      </c>
      <c r="M142" s="2" t="str">
        <f t="shared" si="19"/>
        <v>OK</v>
      </c>
      <c r="N142" s="2" t="str">
        <f t="shared" si="20"/>
        <v>MATCH</v>
      </c>
      <c r="O142" s="2" t="str">
        <f t="shared" si="21"/>
        <v>OK</v>
      </c>
      <c r="P142" s="2">
        <f t="shared" si="22"/>
        <v>0</v>
      </c>
      <c r="Q142" s="2" t="str">
        <f t="shared" si="23"/>
        <v>2023-11</v>
      </c>
      <c r="R142" s="3" t="s">
        <v>33</v>
      </c>
      <c r="S142" s="2">
        <f>IF(tblChecks[[#This Row],[AnyError]]="ERROR",1,0)</f>
        <v>0</v>
      </c>
      <c r="T142" s="2">
        <f>IF(tblChecks[[#This Row],[MissingStreet]]="MISSING",1,0)</f>
        <v>0</v>
      </c>
      <c r="U142" t="str">
        <f t="shared" si="16"/>
        <v>OK</v>
      </c>
    </row>
    <row r="143" spans="1:21" x14ac:dyDescent="0.3">
      <c r="A143" s="1" t="str">
        <f>CleanedData!F143</f>
        <v>PROP00142</v>
      </c>
      <c r="B143" s="2" t="str">
        <f>CleanedData!A143</f>
        <v>AustraliaMelbourneRivera Mountain270</v>
      </c>
      <c r="C143" s="2" t="str">
        <f>CleanedData!D143</f>
        <v>Australia</v>
      </c>
      <c r="D143" s="2" t="str">
        <f>CleanedData!E143</f>
        <v>Melbourne</v>
      </c>
      <c r="E143" s="2" t="str">
        <f>CleanedData!O143</f>
        <v>Melbourne</v>
      </c>
      <c r="F143" s="2" t="str">
        <f>CleanedData!M143</f>
        <v>AustraliaMelbourneRivera Mountain270</v>
      </c>
      <c r="G143" s="2" t="str">
        <f>CleanedData!B143</f>
        <v>54997</v>
      </c>
      <c r="H143" s="2" t="str">
        <f>CleanedData!C143</f>
        <v>+17-645793987</v>
      </c>
      <c r="I143" s="2" t="str">
        <f>CleanedData!G143</f>
        <v>Inactive</v>
      </c>
      <c r="J143" s="14">
        <f>CleanedData!H143</f>
        <v>45458</v>
      </c>
      <c r="K143" s="2" t="str">
        <f t="shared" si="17"/>
        <v>OK</v>
      </c>
      <c r="L143" s="2" t="str">
        <f t="shared" si="18"/>
        <v>OK</v>
      </c>
      <c r="M143" s="2" t="str">
        <f t="shared" si="19"/>
        <v>OK</v>
      </c>
      <c r="N143" s="2" t="str">
        <f t="shared" si="20"/>
        <v>MATCH</v>
      </c>
      <c r="O143" s="2" t="str">
        <f t="shared" si="21"/>
        <v>OK</v>
      </c>
      <c r="P143" s="2">
        <f t="shared" si="22"/>
        <v>0</v>
      </c>
      <c r="Q143" s="2" t="str">
        <f t="shared" si="23"/>
        <v>2024-06</v>
      </c>
      <c r="R143" s="3" t="s">
        <v>54</v>
      </c>
      <c r="S143" s="2">
        <f>IF(tblChecks[[#This Row],[AnyError]]="ERROR",1,0)</f>
        <v>0</v>
      </c>
      <c r="T143" s="2">
        <f>IF(tblChecks[[#This Row],[MissingStreet]]="MISSING",1,0)</f>
        <v>0</v>
      </c>
      <c r="U143" t="str">
        <f t="shared" si="16"/>
        <v>OK</v>
      </c>
    </row>
    <row r="144" spans="1:21" x14ac:dyDescent="0.3">
      <c r="A144" s="1" t="str">
        <f>CleanedData!F144</f>
        <v>PROP00143</v>
      </c>
      <c r="B144" s="2" t="str">
        <f>CleanedData!A144</f>
        <v>Jamie Manor 135, UK, Liverpool</v>
      </c>
      <c r="C144" s="2" t="str">
        <f>CleanedData!D144</f>
        <v>UK</v>
      </c>
      <c r="D144" s="2" t="str">
        <f>CleanedData!E144</f>
        <v>Liverpool</v>
      </c>
      <c r="E144" s="2" t="str">
        <f>CleanedData!O144</f>
        <v>Liverpool</v>
      </c>
      <c r="F144" s="2" t="str">
        <f>CleanedData!M144</f>
        <v>Jamie Manor 135</v>
      </c>
      <c r="G144" s="2" t="str">
        <f>CleanedData!B144</f>
        <v>51550</v>
      </c>
      <c r="H144" s="2" t="str">
        <f>CleanedData!C144</f>
        <v>+83-108169633</v>
      </c>
      <c r="I144" s="2" t="str">
        <f>CleanedData!G144</f>
        <v>Active</v>
      </c>
      <c r="J144" s="14">
        <f>CleanedData!H144</f>
        <v>45304</v>
      </c>
      <c r="K144" s="2" t="str">
        <f t="shared" si="17"/>
        <v>OK</v>
      </c>
      <c r="L144" s="2" t="str">
        <f t="shared" si="18"/>
        <v>OK</v>
      </c>
      <c r="M144" s="2" t="str">
        <f t="shared" si="19"/>
        <v>OK</v>
      </c>
      <c r="N144" s="2" t="str">
        <f t="shared" si="20"/>
        <v>MATCH</v>
      </c>
      <c r="O144" s="2" t="str">
        <f t="shared" si="21"/>
        <v>OK</v>
      </c>
      <c r="P144" s="2">
        <f t="shared" si="22"/>
        <v>0</v>
      </c>
      <c r="Q144" s="2" t="str">
        <f t="shared" si="23"/>
        <v>2024-01</v>
      </c>
      <c r="R144" s="3" t="s">
        <v>39</v>
      </c>
      <c r="S144" s="2">
        <f>IF(tblChecks[[#This Row],[AnyError]]="ERROR",1,0)</f>
        <v>0</v>
      </c>
      <c r="T144" s="2">
        <f>IF(tblChecks[[#This Row],[MissingStreet]]="MISSING",1,0)</f>
        <v>0</v>
      </c>
      <c r="U144" t="str">
        <f t="shared" si="16"/>
        <v>OK</v>
      </c>
    </row>
    <row r="145" spans="1:21" x14ac:dyDescent="0.3">
      <c r="A145" s="1" t="str">
        <f>CleanedData!F145</f>
        <v>PROP00144</v>
      </c>
      <c r="B145" s="2" t="str">
        <f>CleanedData!A145</f>
        <v>USANew York, USA</v>
      </c>
      <c r="C145" s="2" t="str">
        <f>CleanedData!D145</f>
        <v>USA</v>
      </c>
      <c r="D145" s="2" t="str">
        <f>CleanedData!E145</f>
        <v>New York</v>
      </c>
      <c r="E145" s="2" t="str">
        <f>CleanedData!O145</f>
        <v>New York</v>
      </c>
      <c r="F145" s="2" t="str">
        <f>CleanedData!M145</f>
        <v>USA</v>
      </c>
      <c r="G145" s="2" t="str">
        <f>CleanedData!B145</f>
        <v>75957</v>
      </c>
      <c r="H145" s="2" t="str">
        <f>CleanedData!C145</f>
        <v>+37-200858169</v>
      </c>
      <c r="I145" s="2" t="str">
        <f>CleanedData!G145</f>
        <v>Active</v>
      </c>
      <c r="J145" s="14">
        <f>CleanedData!H145</f>
        <v>45012</v>
      </c>
      <c r="K145" s="2" t="str">
        <f t="shared" si="17"/>
        <v>OK</v>
      </c>
      <c r="L145" s="2" t="str">
        <f t="shared" si="18"/>
        <v>OK</v>
      </c>
      <c r="M145" s="2" t="str">
        <f t="shared" si="19"/>
        <v>OK</v>
      </c>
      <c r="N145" s="2" t="str">
        <f t="shared" si="20"/>
        <v>MATCH</v>
      </c>
      <c r="O145" s="2" t="str">
        <f t="shared" si="21"/>
        <v>OK</v>
      </c>
      <c r="P145" s="2">
        <f t="shared" si="22"/>
        <v>0</v>
      </c>
      <c r="Q145" s="2" t="str">
        <f t="shared" si="23"/>
        <v>2023-03</v>
      </c>
      <c r="R145" s="3" t="s">
        <v>39</v>
      </c>
      <c r="S145" s="2">
        <f>IF(tblChecks[[#This Row],[AnyError]]="ERROR",1,0)</f>
        <v>0</v>
      </c>
      <c r="T145" s="2">
        <f>IF(tblChecks[[#This Row],[MissingStreet]]="MISSING",1,0)</f>
        <v>0</v>
      </c>
      <c r="U145" t="str">
        <f t="shared" si="16"/>
        <v>OK</v>
      </c>
    </row>
    <row r="146" spans="1:21" x14ac:dyDescent="0.3">
      <c r="A146" s="1" t="str">
        <f>CleanedData!F146</f>
        <v>PROP00145</v>
      </c>
      <c r="B146" s="2" t="str">
        <f>CleanedData!A146</f>
        <v>Woods Knoll 289, Manchester</v>
      </c>
      <c r="C146" s="2" t="str">
        <f>CleanedData!D146</f>
        <v>UK</v>
      </c>
      <c r="D146" s="2" t="str">
        <f>CleanedData!E146</f>
        <v>Manchester</v>
      </c>
      <c r="E146" s="2" t="str">
        <f>CleanedData!O146</f>
        <v>Manchester</v>
      </c>
      <c r="F146" s="2" t="str">
        <f>CleanedData!M146</f>
        <v>Woods Knoll 289</v>
      </c>
      <c r="G146" s="2" t="str">
        <f>CleanedData!B146</f>
        <v>39640</v>
      </c>
      <c r="H146" s="2" t="str">
        <f>CleanedData!C146</f>
        <v>+37-332793491</v>
      </c>
      <c r="I146" s="2" t="str">
        <f>CleanedData!G146</f>
        <v>Active</v>
      </c>
      <c r="J146" s="14">
        <f>CleanedData!H146</f>
        <v>45935</v>
      </c>
      <c r="K146" s="2" t="str">
        <f t="shared" si="17"/>
        <v>OK</v>
      </c>
      <c r="L146" s="2" t="str">
        <f t="shared" si="18"/>
        <v>OK</v>
      </c>
      <c r="M146" s="2" t="str">
        <f t="shared" si="19"/>
        <v>OK</v>
      </c>
      <c r="N146" s="2" t="str">
        <f t="shared" si="20"/>
        <v>MATCH</v>
      </c>
      <c r="O146" s="2" t="str">
        <f t="shared" si="21"/>
        <v>OK</v>
      </c>
      <c r="P146" s="2">
        <f t="shared" si="22"/>
        <v>0</v>
      </c>
      <c r="Q146" s="2" t="str">
        <f t="shared" si="23"/>
        <v>2025-10</v>
      </c>
      <c r="R146" s="3" t="s">
        <v>54</v>
      </c>
      <c r="S146" s="2">
        <f>IF(tblChecks[[#This Row],[AnyError]]="ERROR",1,0)</f>
        <v>0</v>
      </c>
      <c r="T146" s="2">
        <f>IF(tblChecks[[#This Row],[MissingStreet]]="MISSING",1,0)</f>
        <v>0</v>
      </c>
      <c r="U146" t="str">
        <f t="shared" si="16"/>
        <v>OK</v>
      </c>
    </row>
    <row r="147" spans="1:21" x14ac:dyDescent="0.3">
      <c r="A147" s="1" t="str">
        <f>CleanedData!F147</f>
        <v>PROP00146</v>
      </c>
      <c r="B147" s="2" t="str">
        <f>CleanedData!A147</f>
        <v>Brazil, Fortaleza, Castaneda Village 261</v>
      </c>
      <c r="C147" s="2" t="str">
        <f>CleanedData!D147</f>
        <v>Brazil</v>
      </c>
      <c r="D147" s="2" t="str">
        <f>CleanedData!E147</f>
        <v>Fortaleza</v>
      </c>
      <c r="E147" s="2" t="str">
        <f>CleanedData!O147</f>
        <v>Fortaleza</v>
      </c>
      <c r="F147" s="2" t="str">
        <f>CleanedData!M147</f>
        <v>Castaneda Village 261</v>
      </c>
      <c r="G147" s="2" t="str">
        <f>CleanedData!B147</f>
        <v>55422</v>
      </c>
      <c r="H147" s="2" t="str">
        <f>CleanedData!C147</f>
        <v>+28-587754655</v>
      </c>
      <c r="I147" s="2" t="str">
        <f>CleanedData!G147</f>
        <v>Inactive</v>
      </c>
      <c r="J147" s="14">
        <f>CleanedData!H147</f>
        <v>45485</v>
      </c>
      <c r="K147" s="2" t="str">
        <f t="shared" si="17"/>
        <v>OK</v>
      </c>
      <c r="L147" s="2" t="str">
        <f t="shared" si="18"/>
        <v>OK</v>
      </c>
      <c r="M147" s="2" t="str">
        <f t="shared" si="19"/>
        <v>OK</v>
      </c>
      <c r="N147" s="2" t="str">
        <f t="shared" si="20"/>
        <v>MATCH</v>
      </c>
      <c r="O147" s="2" t="str">
        <f t="shared" si="21"/>
        <v>OK</v>
      </c>
      <c r="P147" s="2">
        <f t="shared" si="22"/>
        <v>0</v>
      </c>
      <c r="Q147" s="2" t="str">
        <f t="shared" si="23"/>
        <v>2024-07</v>
      </c>
      <c r="R147" s="3" t="s">
        <v>33</v>
      </c>
      <c r="S147" s="2">
        <f>IF(tblChecks[[#This Row],[AnyError]]="ERROR",1,0)</f>
        <v>0</v>
      </c>
      <c r="T147" s="2">
        <f>IF(tblChecks[[#This Row],[MissingStreet]]="MISSING",1,0)</f>
        <v>0</v>
      </c>
      <c r="U147" t="str">
        <f t="shared" si="16"/>
        <v>OK</v>
      </c>
    </row>
    <row r="148" spans="1:21" x14ac:dyDescent="0.3">
      <c r="A148" s="1" t="str">
        <f>CleanedData!F148</f>
        <v>PROP00147</v>
      </c>
      <c r="B148" s="2" t="str">
        <f>CleanedData!A148</f>
        <v>Tracy Groves 81, Australia, Sydney</v>
      </c>
      <c r="C148" s="2" t="str">
        <f>CleanedData!D148</f>
        <v>Australia</v>
      </c>
      <c r="D148" s="2" t="str">
        <f>CleanedData!E148</f>
        <v>Sydney</v>
      </c>
      <c r="E148" s="2" t="str">
        <f>CleanedData!O148</f>
        <v>Sydney</v>
      </c>
      <c r="F148" s="2" t="str">
        <f>CleanedData!M148</f>
        <v>Tracy Groves 81</v>
      </c>
      <c r="G148" s="2" t="str">
        <f>CleanedData!B148</f>
        <v>57626</v>
      </c>
      <c r="H148" s="2" t="str">
        <f>CleanedData!C148</f>
        <v>+37-502213749</v>
      </c>
      <c r="I148" s="2" t="str">
        <f>CleanedData!G148</f>
        <v>Active</v>
      </c>
      <c r="J148" s="14">
        <f>CleanedData!H148</f>
        <v>45414</v>
      </c>
      <c r="K148" s="2" t="str">
        <f t="shared" si="17"/>
        <v>OK</v>
      </c>
      <c r="L148" s="2" t="str">
        <f t="shared" si="18"/>
        <v>OK</v>
      </c>
      <c r="M148" s="2" t="str">
        <f t="shared" si="19"/>
        <v>OK</v>
      </c>
      <c r="N148" s="2" t="str">
        <f t="shared" si="20"/>
        <v>MATCH</v>
      </c>
      <c r="O148" s="2" t="str">
        <f t="shared" si="21"/>
        <v>OK</v>
      </c>
      <c r="P148" s="2">
        <f t="shared" si="22"/>
        <v>0</v>
      </c>
      <c r="Q148" s="2" t="str">
        <f t="shared" si="23"/>
        <v>2024-05</v>
      </c>
      <c r="R148" s="3" t="s">
        <v>39</v>
      </c>
      <c r="S148" s="2">
        <f>IF(tblChecks[[#This Row],[AnyError]]="ERROR",1,0)</f>
        <v>0</v>
      </c>
      <c r="T148" s="2">
        <f>IF(tblChecks[[#This Row],[MissingStreet]]="MISSING",1,0)</f>
        <v>0</v>
      </c>
      <c r="U148" t="str">
        <f t="shared" si="16"/>
        <v>OK</v>
      </c>
    </row>
    <row r="149" spans="1:21" x14ac:dyDescent="0.3">
      <c r="A149" s="1" t="str">
        <f>CleanedData!F149</f>
        <v>PROP00148</v>
      </c>
      <c r="B149" s="2" t="str">
        <f>CleanedData!A149</f>
        <v>JapanTokyoJohnson Junction110</v>
      </c>
      <c r="C149" s="2" t="str">
        <f>CleanedData!D149</f>
        <v>Japan</v>
      </c>
      <c r="D149" s="2" t="str">
        <f>CleanedData!E149</f>
        <v>Tokyo</v>
      </c>
      <c r="E149" s="2" t="str">
        <f>CleanedData!O149</f>
        <v>Tokyo</v>
      </c>
      <c r="F149" s="2" t="str">
        <f>CleanedData!M149</f>
        <v>JapanTokyoJohnson Junction110</v>
      </c>
      <c r="G149" s="2" t="str">
        <f>CleanedData!B149</f>
        <v>88171</v>
      </c>
      <c r="H149" s="2" t="str">
        <f>CleanedData!C149</f>
        <v>+33-581304057</v>
      </c>
      <c r="I149" s="2" t="str">
        <f>CleanedData!G149</f>
        <v>Inactive</v>
      </c>
      <c r="J149" s="14">
        <f>CleanedData!H149</f>
        <v>45959</v>
      </c>
      <c r="K149" s="2" t="str">
        <f t="shared" si="17"/>
        <v>OK</v>
      </c>
      <c r="L149" s="2" t="str">
        <f t="shared" si="18"/>
        <v>OK</v>
      </c>
      <c r="M149" s="2" t="str">
        <f t="shared" si="19"/>
        <v>OK</v>
      </c>
      <c r="N149" s="2" t="str">
        <f t="shared" si="20"/>
        <v>MATCH</v>
      </c>
      <c r="O149" s="2" t="str">
        <f t="shared" si="21"/>
        <v>OK</v>
      </c>
      <c r="P149" s="2">
        <f t="shared" si="22"/>
        <v>0</v>
      </c>
      <c r="Q149" s="2" t="str">
        <f t="shared" si="23"/>
        <v>2025-10</v>
      </c>
      <c r="R149" s="3" t="s">
        <v>39</v>
      </c>
      <c r="S149" s="2">
        <f>IF(tblChecks[[#This Row],[AnyError]]="ERROR",1,0)</f>
        <v>0</v>
      </c>
      <c r="T149" s="2">
        <f>IF(tblChecks[[#This Row],[MissingStreet]]="MISSING",1,0)</f>
        <v>0</v>
      </c>
      <c r="U149" t="str">
        <f t="shared" si="16"/>
        <v>OK</v>
      </c>
    </row>
    <row r="150" spans="1:21" x14ac:dyDescent="0.3">
      <c r="A150" s="1" t="str">
        <f>CleanedData!F150</f>
        <v>PROP00149</v>
      </c>
      <c r="B150" s="2" t="str">
        <f>CleanedData!A150</f>
        <v>Ramsey Ville 254, Manchester</v>
      </c>
      <c r="C150" s="2" t="str">
        <f>CleanedData!D150</f>
        <v>UK</v>
      </c>
      <c r="D150" s="2" t="str">
        <f>CleanedData!E150</f>
        <v>Manchester</v>
      </c>
      <c r="E150" s="2" t="str">
        <f>CleanedData!O150</f>
        <v>Manchester</v>
      </c>
      <c r="F150" s="2" t="str">
        <f>CleanedData!M150</f>
        <v>Ramsey Ville 254</v>
      </c>
      <c r="G150" s="2" t="str">
        <f>CleanedData!B150</f>
        <v>61762</v>
      </c>
      <c r="H150" s="2" t="str">
        <f>CleanedData!C150</f>
        <v>+23-163122183</v>
      </c>
      <c r="I150" s="2" t="str">
        <f>CleanedData!G150</f>
        <v>Inactive</v>
      </c>
      <c r="J150" s="14">
        <f>CleanedData!H150</f>
        <v>45188</v>
      </c>
      <c r="K150" s="2" t="str">
        <f t="shared" si="17"/>
        <v>OK</v>
      </c>
      <c r="L150" s="2" t="str">
        <f t="shared" si="18"/>
        <v>OK</v>
      </c>
      <c r="M150" s="2" t="str">
        <f t="shared" si="19"/>
        <v>OK</v>
      </c>
      <c r="N150" s="2" t="str">
        <f t="shared" si="20"/>
        <v>MATCH</v>
      </c>
      <c r="O150" s="2" t="str">
        <f t="shared" si="21"/>
        <v>OK</v>
      </c>
      <c r="P150" s="2">
        <f t="shared" si="22"/>
        <v>0</v>
      </c>
      <c r="Q150" s="2" t="str">
        <f t="shared" si="23"/>
        <v>2023-09</v>
      </c>
      <c r="R150" s="3" t="s">
        <v>54</v>
      </c>
      <c r="S150" s="2">
        <f>IF(tblChecks[[#This Row],[AnyError]]="ERROR",1,0)</f>
        <v>0</v>
      </c>
      <c r="T150" s="2">
        <f>IF(tblChecks[[#This Row],[MissingStreet]]="MISSING",1,0)</f>
        <v>0</v>
      </c>
      <c r="U150" t="str">
        <f t="shared" si="16"/>
        <v>OK</v>
      </c>
    </row>
    <row r="151" spans="1:21" x14ac:dyDescent="0.3">
      <c r="A151" s="1" t="str">
        <f>CleanedData!F151</f>
        <v>PROP00150</v>
      </c>
      <c r="B151" s="2" t="str">
        <f>CleanedData!A151</f>
        <v>FranceBordeaux, France</v>
      </c>
      <c r="C151" s="2" t="str">
        <f>CleanedData!D151</f>
        <v>France</v>
      </c>
      <c r="D151" s="2" t="str">
        <f>CleanedData!E151</f>
        <v>Bordeaux</v>
      </c>
      <c r="E151" s="2" t="str">
        <f>CleanedData!O151</f>
        <v>Bordeaux</v>
      </c>
      <c r="F151" s="2" t="str">
        <f>CleanedData!M151</f>
        <v>France</v>
      </c>
      <c r="G151" s="2" t="str">
        <f>CleanedData!B151</f>
        <v>4035</v>
      </c>
      <c r="H151" s="2" t="str">
        <f>CleanedData!C151</f>
        <v>+79-707354583</v>
      </c>
      <c r="I151" s="2" t="str">
        <f>CleanedData!G151</f>
        <v>Active</v>
      </c>
      <c r="J151" s="14">
        <f>CleanedData!H151</f>
        <v>45375</v>
      </c>
      <c r="K151" s="2" t="str">
        <f t="shared" si="17"/>
        <v>OK</v>
      </c>
      <c r="L151" s="2" t="str">
        <f t="shared" si="18"/>
        <v>OK</v>
      </c>
      <c r="M151" s="2" t="str">
        <f t="shared" si="19"/>
        <v>OK</v>
      </c>
      <c r="N151" s="2" t="str">
        <f t="shared" si="20"/>
        <v>MATCH</v>
      </c>
      <c r="O151" s="2" t="str">
        <f t="shared" si="21"/>
        <v>OK</v>
      </c>
      <c r="P151" s="2">
        <f t="shared" si="22"/>
        <v>0</v>
      </c>
      <c r="Q151" s="2" t="str">
        <f t="shared" si="23"/>
        <v>2024-03</v>
      </c>
      <c r="R151" s="3" t="s">
        <v>54</v>
      </c>
      <c r="S151" s="2">
        <f>IF(tblChecks[[#This Row],[AnyError]]="ERROR",1,0)</f>
        <v>0</v>
      </c>
      <c r="T151" s="2">
        <f>IF(tblChecks[[#This Row],[MissingStreet]]="MISSING",1,0)</f>
        <v>0</v>
      </c>
      <c r="U151" t="str">
        <f t="shared" si="16"/>
        <v>OK</v>
      </c>
    </row>
    <row r="152" spans="1:21" x14ac:dyDescent="0.3">
      <c r="A152" s="1" t="str">
        <f>CleanedData!F152</f>
        <v>PROP00151</v>
      </c>
      <c r="B152" s="2" t="str">
        <f>CleanedData!A152</f>
        <v>UKLondon, UK</v>
      </c>
      <c r="C152" s="2" t="str">
        <f>CleanedData!D152</f>
        <v>UK</v>
      </c>
      <c r="D152" s="2" t="str">
        <f>CleanedData!E152</f>
        <v>London</v>
      </c>
      <c r="E152" s="2" t="str">
        <f>CleanedData!O152</f>
        <v>London</v>
      </c>
      <c r="F152" s="2" t="str">
        <f>CleanedData!M152</f>
        <v>UK</v>
      </c>
      <c r="G152" s="2" t="str">
        <f>CleanedData!B152</f>
        <v>4053</v>
      </c>
      <c r="H152" s="2" t="str">
        <f>CleanedData!C152</f>
        <v>+95-108286733</v>
      </c>
      <c r="I152" s="2" t="str">
        <f>CleanedData!G152</f>
        <v>Inactive</v>
      </c>
      <c r="J152" s="14">
        <f>CleanedData!H152</f>
        <v>45222</v>
      </c>
      <c r="K152" s="2" t="str">
        <f t="shared" si="17"/>
        <v>OK</v>
      </c>
      <c r="L152" s="2" t="str">
        <f t="shared" si="18"/>
        <v>OK</v>
      </c>
      <c r="M152" s="2" t="str">
        <f t="shared" si="19"/>
        <v>OK</v>
      </c>
      <c r="N152" s="2" t="str">
        <f t="shared" si="20"/>
        <v>MATCH</v>
      </c>
      <c r="O152" s="2" t="str">
        <f t="shared" si="21"/>
        <v>OK</v>
      </c>
      <c r="P152" s="2">
        <f t="shared" si="22"/>
        <v>0</v>
      </c>
      <c r="Q152" s="2" t="str">
        <f t="shared" si="23"/>
        <v>2023-10</v>
      </c>
      <c r="R152" s="3" t="s">
        <v>16</v>
      </c>
      <c r="S152" s="2">
        <f>IF(tblChecks[[#This Row],[AnyError]]="ERROR",1,0)</f>
        <v>0</v>
      </c>
      <c r="T152" s="2">
        <f>IF(tblChecks[[#This Row],[MissingStreet]]="MISSING",1,0)</f>
        <v>0</v>
      </c>
      <c r="U152" t="str">
        <f t="shared" si="16"/>
        <v>OK</v>
      </c>
    </row>
    <row r="153" spans="1:21" x14ac:dyDescent="0.3">
      <c r="A153" s="1" t="str">
        <f>CleanedData!F153</f>
        <v>PROP00152</v>
      </c>
      <c r="B153" s="2" t="str">
        <f>CleanedData!A153</f>
        <v>AustraliaAdelaide, Australia</v>
      </c>
      <c r="C153" s="2" t="str">
        <f>CleanedData!D153</f>
        <v>Australia</v>
      </c>
      <c r="D153" s="2" t="str">
        <f>CleanedData!E153</f>
        <v>Adelaide</v>
      </c>
      <c r="E153" s="2" t="str">
        <f>CleanedData!O153</f>
        <v>Adelaide</v>
      </c>
      <c r="F153" s="2" t="str">
        <f>CleanedData!M153</f>
        <v>Australia</v>
      </c>
      <c r="G153" s="2" t="str">
        <f>CleanedData!B153</f>
        <v>61016</v>
      </c>
      <c r="H153" s="2" t="str">
        <f>CleanedData!C153</f>
        <v>+90-374333719</v>
      </c>
      <c r="I153" s="2" t="str">
        <f>CleanedData!G153</f>
        <v>Inactive</v>
      </c>
      <c r="J153" s="14">
        <f>CleanedData!H153</f>
        <v>45785</v>
      </c>
      <c r="K153" s="2" t="str">
        <f t="shared" si="17"/>
        <v>OK</v>
      </c>
      <c r="L153" s="2" t="str">
        <f t="shared" si="18"/>
        <v>OK</v>
      </c>
      <c r="M153" s="2" t="str">
        <f t="shared" si="19"/>
        <v>OK</v>
      </c>
      <c r="N153" s="2" t="str">
        <f t="shared" si="20"/>
        <v>MATCH</v>
      </c>
      <c r="O153" s="2" t="str">
        <f t="shared" si="21"/>
        <v>OK</v>
      </c>
      <c r="P153" s="2">
        <f t="shared" si="22"/>
        <v>0</v>
      </c>
      <c r="Q153" s="2" t="str">
        <f t="shared" si="23"/>
        <v>2025-05</v>
      </c>
      <c r="R153" s="3" t="s">
        <v>39</v>
      </c>
      <c r="S153" s="2">
        <f>IF(tblChecks[[#This Row],[AnyError]]="ERROR",1,0)</f>
        <v>0</v>
      </c>
      <c r="T153" s="2">
        <f>IF(tblChecks[[#This Row],[MissingStreet]]="MISSING",1,0)</f>
        <v>0</v>
      </c>
      <c r="U153" t="str">
        <f t="shared" si="16"/>
        <v>OK</v>
      </c>
    </row>
    <row r="154" spans="1:21" x14ac:dyDescent="0.3">
      <c r="A154" s="1" t="str">
        <f>CleanedData!F154</f>
        <v>PROP00153</v>
      </c>
      <c r="B154" s="2" t="str">
        <f>CleanedData!A154</f>
        <v>Brent Light290, Sapporo, Japan</v>
      </c>
      <c r="C154" s="2" t="str">
        <f>CleanedData!D154</f>
        <v>Japan</v>
      </c>
      <c r="D154" s="2" t="str">
        <f>CleanedData!E154</f>
        <v>Sapporo</v>
      </c>
      <c r="E154" s="2" t="str">
        <f>CleanedData!O154</f>
        <v>Sapporo</v>
      </c>
      <c r="F154" s="2" t="str">
        <f>CleanedData!M154</f>
        <v>Brent Light290</v>
      </c>
      <c r="G154" s="2" t="str">
        <f>CleanedData!B154</f>
        <v>43407</v>
      </c>
      <c r="H154" s="2" t="str">
        <f>CleanedData!C154</f>
        <v>+10-754763110</v>
      </c>
      <c r="I154" s="2" t="str">
        <f>CleanedData!G154</f>
        <v>Active</v>
      </c>
      <c r="J154" s="14">
        <f>CleanedData!H154</f>
        <v>45380</v>
      </c>
      <c r="K154" s="2" t="str">
        <f t="shared" si="17"/>
        <v>OK</v>
      </c>
      <c r="L154" s="2" t="str">
        <f t="shared" si="18"/>
        <v>OK</v>
      </c>
      <c r="M154" s="2" t="str">
        <f t="shared" si="19"/>
        <v>OK</v>
      </c>
      <c r="N154" s="2" t="str">
        <f t="shared" si="20"/>
        <v>MATCH</v>
      </c>
      <c r="O154" s="2" t="str">
        <f t="shared" si="21"/>
        <v>OK</v>
      </c>
      <c r="P154" s="2">
        <f t="shared" si="22"/>
        <v>0</v>
      </c>
      <c r="Q154" s="2" t="str">
        <f t="shared" si="23"/>
        <v>2024-03</v>
      </c>
      <c r="R154" s="3" t="s">
        <v>23</v>
      </c>
      <c r="S154" s="2">
        <f>IF(tblChecks[[#This Row],[AnyError]]="ERROR",1,0)</f>
        <v>0</v>
      </c>
      <c r="T154" s="2">
        <f>IF(tblChecks[[#This Row],[MissingStreet]]="MISSING",1,0)</f>
        <v>0</v>
      </c>
      <c r="U154" t="str">
        <f t="shared" si="16"/>
        <v>OK</v>
      </c>
    </row>
    <row r="155" spans="1:21" x14ac:dyDescent="0.3">
      <c r="A155" s="1" t="str">
        <f>CleanedData!F155</f>
        <v>PROP00154</v>
      </c>
      <c r="B155" s="2" t="str">
        <f>CleanedData!A155</f>
        <v>Canada, Montreal</v>
      </c>
      <c r="C155" s="2" t="str">
        <f>CleanedData!D155</f>
        <v>Canada</v>
      </c>
      <c r="D155" s="2" t="str">
        <f>CleanedData!E155</f>
        <v>Montreal</v>
      </c>
      <c r="E155" s="2" t="str">
        <f>CleanedData!O155</f>
        <v>Montreal</v>
      </c>
      <c r="F155" s="2" t="str">
        <f>CleanedData!M155</f>
        <v>Montreal</v>
      </c>
      <c r="G155" s="2" t="str">
        <f>CleanedData!B155</f>
        <v>50193</v>
      </c>
      <c r="H155" s="2" t="str">
        <f>CleanedData!C155</f>
        <v>+36-440407257</v>
      </c>
      <c r="I155" s="2" t="str">
        <f>CleanedData!G155</f>
        <v>Active</v>
      </c>
      <c r="J155" s="14">
        <f>CleanedData!H155</f>
        <v>45745</v>
      </c>
      <c r="K155" s="2" t="str">
        <f t="shared" si="17"/>
        <v>OK</v>
      </c>
      <c r="L155" s="2" t="str">
        <f t="shared" si="18"/>
        <v>OK</v>
      </c>
      <c r="M155" s="2" t="str">
        <f t="shared" si="19"/>
        <v>OK</v>
      </c>
      <c r="N155" s="2" t="str">
        <f t="shared" si="20"/>
        <v>MATCH</v>
      </c>
      <c r="O155" s="2" t="str">
        <f t="shared" si="21"/>
        <v>OK</v>
      </c>
      <c r="P155" s="2">
        <f t="shared" si="22"/>
        <v>0</v>
      </c>
      <c r="Q155" s="2" t="str">
        <f t="shared" si="23"/>
        <v>2025-03</v>
      </c>
      <c r="R155" s="3" t="s">
        <v>23</v>
      </c>
      <c r="S155" s="2">
        <f>IF(tblChecks[[#This Row],[AnyError]]="ERROR",1,0)</f>
        <v>0</v>
      </c>
      <c r="T155" s="2">
        <f>IF(tblChecks[[#This Row],[MissingStreet]]="MISSING",1,0)</f>
        <v>0</v>
      </c>
      <c r="U155" t="str">
        <f t="shared" si="16"/>
        <v>OK</v>
      </c>
    </row>
    <row r="156" spans="1:21" x14ac:dyDescent="0.3">
      <c r="A156" s="1" t="str">
        <f>CleanedData!F156</f>
        <v>PROP00155</v>
      </c>
      <c r="B156" s="2" t="str">
        <f>CleanedData!A156</f>
        <v>Vancouver, Walton Village 45, Canada</v>
      </c>
      <c r="C156" s="2" t="str">
        <f>CleanedData!D156</f>
        <v>Canada</v>
      </c>
      <c r="D156" s="2" t="str">
        <f>CleanedData!E156</f>
        <v>Vancouver</v>
      </c>
      <c r="E156" s="2" t="str">
        <f>CleanedData!O156</f>
        <v>Vancouver</v>
      </c>
      <c r="F156" s="2" t="str">
        <f>CleanedData!M156</f>
        <v>Walton Village 45</v>
      </c>
      <c r="G156" s="2" t="str">
        <f>CleanedData!B156</f>
        <v>55756</v>
      </c>
      <c r="H156" s="2" t="str">
        <f>CleanedData!C156</f>
        <v>+5-827536535</v>
      </c>
      <c r="I156" s="2" t="str">
        <f>CleanedData!G156</f>
        <v>Inactive</v>
      </c>
      <c r="J156" s="14">
        <f>CleanedData!H156</f>
        <v>45059</v>
      </c>
      <c r="K156" s="2" t="str">
        <f t="shared" si="17"/>
        <v>OK</v>
      </c>
      <c r="L156" s="2" t="str">
        <f t="shared" si="18"/>
        <v>OK</v>
      </c>
      <c r="M156" s="2" t="str">
        <f t="shared" si="19"/>
        <v>OK</v>
      </c>
      <c r="N156" s="2" t="str">
        <f t="shared" si="20"/>
        <v>MATCH</v>
      </c>
      <c r="O156" s="2" t="str">
        <f t="shared" si="21"/>
        <v>OK</v>
      </c>
      <c r="P156" s="2">
        <f t="shared" si="22"/>
        <v>0</v>
      </c>
      <c r="Q156" s="2" t="str">
        <f t="shared" si="23"/>
        <v>2023-05</v>
      </c>
      <c r="R156" s="3" t="s">
        <v>39</v>
      </c>
      <c r="S156" s="2">
        <f>IF(tblChecks[[#This Row],[AnyError]]="ERROR",1,0)</f>
        <v>0</v>
      </c>
      <c r="T156" s="2">
        <f>IF(tblChecks[[#This Row],[MissingStreet]]="MISSING",1,0)</f>
        <v>0</v>
      </c>
      <c r="U156" t="str">
        <f t="shared" si="16"/>
        <v>OK</v>
      </c>
    </row>
    <row r="157" spans="1:21" x14ac:dyDescent="0.3">
      <c r="A157" s="1" t="str">
        <f>CleanedData!F157</f>
        <v>PROP00156</v>
      </c>
      <c r="B157" s="2" t="str">
        <f>CleanedData!A157</f>
        <v>Conley Mountains 230, Canada, Vancouver</v>
      </c>
      <c r="C157" s="2" t="str">
        <f>CleanedData!D157</f>
        <v>Canada</v>
      </c>
      <c r="D157" s="2" t="str">
        <f>CleanedData!E157</f>
        <v>Vancouver</v>
      </c>
      <c r="E157" s="2" t="str">
        <f>CleanedData!O157</f>
        <v>Vancouver</v>
      </c>
      <c r="F157" s="2" t="str">
        <f>CleanedData!M157</f>
        <v>Conley Mountains 230</v>
      </c>
      <c r="G157" s="2" t="str">
        <f>CleanedData!B157</f>
        <v>3041</v>
      </c>
      <c r="H157" s="2" t="str">
        <f>CleanedData!C157</f>
        <v>+43-884502073</v>
      </c>
      <c r="I157" s="2" t="str">
        <f>CleanedData!G157</f>
        <v>Active</v>
      </c>
      <c r="J157" s="14">
        <f>CleanedData!H157</f>
        <v>45349</v>
      </c>
      <c r="K157" s="2" t="str">
        <f t="shared" si="17"/>
        <v>OK</v>
      </c>
      <c r="L157" s="2" t="str">
        <f t="shared" si="18"/>
        <v>OK</v>
      </c>
      <c r="M157" s="2" t="str">
        <f t="shared" si="19"/>
        <v>OK</v>
      </c>
      <c r="N157" s="2" t="str">
        <f t="shared" si="20"/>
        <v>MATCH</v>
      </c>
      <c r="O157" s="2" t="str">
        <f t="shared" si="21"/>
        <v>OK</v>
      </c>
      <c r="P157" s="2">
        <f t="shared" si="22"/>
        <v>0</v>
      </c>
      <c r="Q157" s="2" t="str">
        <f t="shared" si="23"/>
        <v>2024-02</v>
      </c>
      <c r="R157" s="3" t="s">
        <v>33</v>
      </c>
      <c r="S157" s="2">
        <f>IF(tblChecks[[#This Row],[AnyError]]="ERROR",1,0)</f>
        <v>0</v>
      </c>
      <c r="T157" s="2">
        <f>IF(tblChecks[[#This Row],[MissingStreet]]="MISSING",1,0)</f>
        <v>0</v>
      </c>
      <c r="U157" t="str">
        <f t="shared" si="16"/>
        <v>OK</v>
      </c>
    </row>
    <row r="158" spans="1:21" x14ac:dyDescent="0.3">
      <c r="A158" s="1" t="str">
        <f>CleanedData!F158</f>
        <v>PROP00157</v>
      </c>
      <c r="B158" s="2" t="str">
        <f>CleanedData!A158</f>
        <v>GermanyFrankfurtZoe Keys48</v>
      </c>
      <c r="C158" s="2" t="str">
        <f>CleanedData!D158</f>
        <v>Germany</v>
      </c>
      <c r="D158" s="2" t="str">
        <f>CleanedData!E158</f>
        <v>Frankfurt</v>
      </c>
      <c r="E158" s="2" t="str">
        <f>CleanedData!O158</f>
        <v>Frankfurt</v>
      </c>
      <c r="F158" s="2" t="str">
        <f>CleanedData!M158</f>
        <v>GermanyFrankfurtZoe Keys48</v>
      </c>
      <c r="G158" s="2" t="str">
        <f>CleanedData!B158</f>
        <v>29890</v>
      </c>
      <c r="H158" s="2" t="str">
        <f>CleanedData!C158</f>
        <v>+47-300275203</v>
      </c>
      <c r="I158" s="2" t="str">
        <f>CleanedData!G158</f>
        <v>Inactive</v>
      </c>
      <c r="J158" s="14">
        <f>CleanedData!H158</f>
        <v>45147</v>
      </c>
      <c r="K158" s="2" t="str">
        <f t="shared" si="17"/>
        <v>OK</v>
      </c>
      <c r="L158" s="2" t="str">
        <f t="shared" si="18"/>
        <v>OK</v>
      </c>
      <c r="M158" s="2" t="str">
        <f t="shared" si="19"/>
        <v>OK</v>
      </c>
      <c r="N158" s="2" t="str">
        <f t="shared" si="20"/>
        <v>MATCH</v>
      </c>
      <c r="O158" s="2" t="str">
        <f t="shared" si="21"/>
        <v>OK</v>
      </c>
      <c r="P158" s="2">
        <f t="shared" si="22"/>
        <v>0</v>
      </c>
      <c r="Q158" s="2" t="str">
        <f t="shared" si="23"/>
        <v>2023-08</v>
      </c>
      <c r="R158" s="3" t="s">
        <v>16</v>
      </c>
      <c r="S158" s="2">
        <f>IF(tblChecks[[#This Row],[AnyError]]="ERROR",1,0)</f>
        <v>0</v>
      </c>
      <c r="T158" s="2">
        <f>IF(tblChecks[[#This Row],[MissingStreet]]="MISSING",1,0)</f>
        <v>0</v>
      </c>
      <c r="U158" t="str">
        <f t="shared" si="16"/>
        <v>OK</v>
      </c>
    </row>
    <row r="159" spans="1:21" x14ac:dyDescent="0.3">
      <c r="A159" s="1" t="str">
        <f>CleanedData!F159</f>
        <v>PROP00158</v>
      </c>
      <c r="B159" s="2" t="str">
        <f>CleanedData!A159</f>
        <v>GermanyMunichKimberly Run59</v>
      </c>
      <c r="C159" s="2" t="str">
        <f>CleanedData!D159</f>
        <v>Germany</v>
      </c>
      <c r="D159" s="2" t="str">
        <f>CleanedData!E159</f>
        <v>Munich</v>
      </c>
      <c r="E159" s="2" t="str">
        <f>CleanedData!O159</f>
        <v>Munich</v>
      </c>
      <c r="F159" s="2" t="str">
        <f>CleanedData!M159</f>
        <v>GermanyMunichKimberly Run59</v>
      </c>
      <c r="G159" s="2" t="str">
        <f>CleanedData!B159</f>
        <v>5777</v>
      </c>
      <c r="H159" s="2" t="str">
        <f>CleanedData!C159</f>
        <v>+13-757468846</v>
      </c>
      <c r="I159" s="2" t="str">
        <f>CleanedData!G159</f>
        <v>Active</v>
      </c>
      <c r="J159" s="14">
        <f>CleanedData!H159</f>
        <v>45309</v>
      </c>
      <c r="K159" s="2" t="str">
        <f t="shared" si="17"/>
        <v>OK</v>
      </c>
      <c r="L159" s="2" t="str">
        <f t="shared" si="18"/>
        <v>OK</v>
      </c>
      <c r="M159" s="2" t="str">
        <f t="shared" si="19"/>
        <v>OK</v>
      </c>
      <c r="N159" s="2" t="str">
        <f t="shared" si="20"/>
        <v>MATCH</v>
      </c>
      <c r="O159" s="2" t="str">
        <f t="shared" si="21"/>
        <v>OK</v>
      </c>
      <c r="P159" s="2">
        <f t="shared" si="22"/>
        <v>0</v>
      </c>
      <c r="Q159" s="2" t="str">
        <f t="shared" si="23"/>
        <v>2024-01</v>
      </c>
      <c r="R159" s="3" t="s">
        <v>23</v>
      </c>
      <c r="S159" s="2">
        <f>IF(tblChecks[[#This Row],[AnyError]]="ERROR",1,0)</f>
        <v>0</v>
      </c>
      <c r="T159" s="2">
        <f>IF(tblChecks[[#This Row],[MissingStreet]]="MISSING",1,0)</f>
        <v>0</v>
      </c>
      <c r="U159" t="str">
        <f t="shared" si="16"/>
        <v>OK</v>
      </c>
    </row>
    <row r="160" spans="1:21" x14ac:dyDescent="0.3">
      <c r="A160" s="1" t="str">
        <f>CleanedData!F160</f>
        <v>PROP00159</v>
      </c>
      <c r="B160" s="2" t="str">
        <f>CleanedData!A160</f>
        <v>Stefanie Flats 67, Paris</v>
      </c>
      <c r="C160" s="2" t="str">
        <f>CleanedData!D160</f>
        <v>France</v>
      </c>
      <c r="D160" s="2" t="str">
        <f>CleanedData!E160</f>
        <v>Paris</v>
      </c>
      <c r="E160" s="2" t="str">
        <f>CleanedData!O160</f>
        <v>Paris</v>
      </c>
      <c r="F160" s="2" t="str">
        <f>CleanedData!M160</f>
        <v>Stefanie Flats 67</v>
      </c>
      <c r="G160" s="2" t="str">
        <f>CleanedData!B160</f>
        <v>3172</v>
      </c>
      <c r="H160" s="2" t="str">
        <f>CleanedData!C160</f>
        <v>+55-574095858</v>
      </c>
      <c r="I160" s="2" t="str">
        <f>CleanedData!G160</f>
        <v>Inactive</v>
      </c>
      <c r="J160" s="14">
        <f>CleanedData!H160</f>
        <v>45437</v>
      </c>
      <c r="K160" s="2" t="str">
        <f t="shared" si="17"/>
        <v>OK</v>
      </c>
      <c r="L160" s="2" t="str">
        <f t="shared" si="18"/>
        <v>OK</v>
      </c>
      <c r="M160" s="2" t="str">
        <f t="shared" si="19"/>
        <v>OK</v>
      </c>
      <c r="N160" s="2" t="str">
        <f t="shared" si="20"/>
        <v>MATCH</v>
      </c>
      <c r="O160" s="2" t="str">
        <f t="shared" si="21"/>
        <v>OK</v>
      </c>
      <c r="P160" s="2">
        <f t="shared" si="22"/>
        <v>0</v>
      </c>
      <c r="Q160" s="2" t="str">
        <f t="shared" si="23"/>
        <v>2024-05</v>
      </c>
      <c r="R160" s="3" t="s">
        <v>23</v>
      </c>
      <c r="S160" s="2">
        <f>IF(tblChecks[[#This Row],[AnyError]]="ERROR",1,0)</f>
        <v>0</v>
      </c>
      <c r="T160" s="2">
        <f>IF(tblChecks[[#This Row],[MissingStreet]]="MISSING",1,0)</f>
        <v>0</v>
      </c>
      <c r="U160" t="str">
        <f t="shared" si="16"/>
        <v>OK</v>
      </c>
    </row>
    <row r="161" spans="1:21" x14ac:dyDescent="0.3">
      <c r="A161" s="1" t="str">
        <f>CleanedData!F161</f>
        <v>PROP00160</v>
      </c>
      <c r="B161" s="2" t="str">
        <f>CleanedData!A161</f>
        <v>USA, Phoenix</v>
      </c>
      <c r="C161" s="2" t="str">
        <f>CleanedData!D161</f>
        <v>USA</v>
      </c>
      <c r="D161" s="2" t="str">
        <f>CleanedData!E161</f>
        <v>Phoenix</v>
      </c>
      <c r="E161" s="2" t="str">
        <f>CleanedData!O161</f>
        <v>Phoenix</v>
      </c>
      <c r="F161" s="2" t="str">
        <f>CleanedData!M161</f>
        <v>Phoenix</v>
      </c>
      <c r="G161" s="2" t="str">
        <f>CleanedData!B161</f>
        <v>88248</v>
      </c>
      <c r="H161" s="2" t="str">
        <f>CleanedData!C161</f>
        <v>+69-151093772</v>
      </c>
      <c r="I161" s="2" t="str">
        <f>CleanedData!G161</f>
        <v>Active</v>
      </c>
      <c r="J161" s="14">
        <f>CleanedData!H161</f>
        <v>45413</v>
      </c>
      <c r="K161" s="2" t="str">
        <f t="shared" si="17"/>
        <v>OK</v>
      </c>
      <c r="L161" s="2" t="str">
        <f t="shared" si="18"/>
        <v>OK</v>
      </c>
      <c r="M161" s="2" t="str">
        <f t="shared" si="19"/>
        <v>OK</v>
      </c>
      <c r="N161" s="2" t="str">
        <f t="shared" si="20"/>
        <v>MATCH</v>
      </c>
      <c r="O161" s="2" t="str">
        <f t="shared" si="21"/>
        <v>OK</v>
      </c>
      <c r="P161" s="2">
        <f t="shared" si="22"/>
        <v>0</v>
      </c>
      <c r="Q161" s="2" t="str">
        <f t="shared" si="23"/>
        <v>2024-05</v>
      </c>
      <c r="R161" s="3" t="s">
        <v>54</v>
      </c>
      <c r="S161" s="2">
        <f>IF(tblChecks[[#This Row],[AnyError]]="ERROR",1,0)</f>
        <v>0</v>
      </c>
      <c r="T161" s="2">
        <f>IF(tblChecks[[#This Row],[MissingStreet]]="MISSING",1,0)</f>
        <v>0</v>
      </c>
      <c r="U161" t="str">
        <f t="shared" si="16"/>
        <v>OK</v>
      </c>
    </row>
    <row r="162" spans="1:21" x14ac:dyDescent="0.3">
      <c r="A162" s="1" t="str">
        <f>CleanedData!F162</f>
        <v>PROP00161</v>
      </c>
      <c r="B162" s="2" t="str">
        <f>CleanedData!A162</f>
        <v>JapanTokyo</v>
      </c>
      <c r="C162" s="2" t="str">
        <f>CleanedData!D162</f>
        <v>Japan</v>
      </c>
      <c r="D162" s="2" t="str">
        <f>CleanedData!E162</f>
        <v>Tokyo</v>
      </c>
      <c r="E162" s="2" t="str">
        <f>CleanedData!O162</f>
        <v>Tokyo</v>
      </c>
      <c r="F162" s="2" t="str">
        <f>CleanedData!M162</f>
        <v/>
      </c>
      <c r="G162" s="2" t="str">
        <f>CleanedData!B162</f>
        <v>61453</v>
      </c>
      <c r="H162" s="2" t="str">
        <f>CleanedData!C162</f>
        <v>+5-298206860</v>
      </c>
      <c r="I162" s="2" t="str">
        <f>CleanedData!G162</f>
        <v>Active</v>
      </c>
      <c r="J162" s="14">
        <f>CleanedData!H162</f>
        <v>45171</v>
      </c>
      <c r="K162" s="2" t="str">
        <f t="shared" si="17"/>
        <v>MISSING</v>
      </c>
      <c r="L162" s="2" t="str">
        <f t="shared" si="18"/>
        <v>OK</v>
      </c>
      <c r="M162" s="2" t="str">
        <f t="shared" si="19"/>
        <v>OK</v>
      </c>
      <c r="N162" s="2" t="str">
        <f t="shared" si="20"/>
        <v>MATCH</v>
      </c>
      <c r="O162" s="2" t="str">
        <f t="shared" si="21"/>
        <v>ERROR</v>
      </c>
      <c r="P162" s="2">
        <f t="shared" si="22"/>
        <v>1</v>
      </c>
      <c r="Q162" s="2" t="str">
        <f t="shared" si="23"/>
        <v>2023-09</v>
      </c>
      <c r="R162" s="3" t="s">
        <v>23</v>
      </c>
      <c r="S162" s="2">
        <f>IF(tblChecks[[#This Row],[AnyError]]="ERROR",1,0)</f>
        <v>1</v>
      </c>
      <c r="T162" s="2">
        <f>IF(tblChecks[[#This Row],[MissingStreet]]="MISSING",1,0)</f>
        <v>1</v>
      </c>
      <c r="U162" t="str">
        <f t="shared" si="16"/>
        <v>MissingStreet</v>
      </c>
    </row>
    <row r="163" spans="1:21" x14ac:dyDescent="0.3">
      <c r="A163" s="1" t="str">
        <f>CleanedData!F163</f>
        <v>PROP00162</v>
      </c>
      <c r="B163" s="2" t="str">
        <f>CleanedData!A163</f>
        <v>Wang Expressway 245, Manchester</v>
      </c>
      <c r="C163" s="2" t="str">
        <f>CleanedData!D163</f>
        <v>UK</v>
      </c>
      <c r="D163" s="2" t="str">
        <f>CleanedData!E163</f>
        <v>Manchester</v>
      </c>
      <c r="E163" s="2" t="str">
        <f>CleanedData!O163</f>
        <v>Manchester</v>
      </c>
      <c r="F163" s="2" t="str">
        <f>CleanedData!M163</f>
        <v>Wang Expressway 245</v>
      </c>
      <c r="G163" s="2" t="str">
        <f>CleanedData!B163</f>
        <v>79916</v>
      </c>
      <c r="H163" s="2" t="str">
        <f>CleanedData!C163</f>
        <v>+91-113005321</v>
      </c>
      <c r="I163" s="2" t="str">
        <f>CleanedData!G163</f>
        <v>Inactive</v>
      </c>
      <c r="J163" s="14">
        <f>CleanedData!H163</f>
        <v>45254</v>
      </c>
      <c r="K163" s="2" t="str">
        <f t="shared" si="17"/>
        <v>OK</v>
      </c>
      <c r="L163" s="2" t="str">
        <f t="shared" si="18"/>
        <v>OK</v>
      </c>
      <c r="M163" s="2" t="str">
        <f t="shared" si="19"/>
        <v>OK</v>
      </c>
      <c r="N163" s="2" t="str">
        <f t="shared" si="20"/>
        <v>MATCH</v>
      </c>
      <c r="O163" s="2" t="str">
        <f t="shared" si="21"/>
        <v>OK</v>
      </c>
      <c r="P163" s="2">
        <f t="shared" si="22"/>
        <v>0</v>
      </c>
      <c r="Q163" s="2" t="str">
        <f t="shared" si="23"/>
        <v>2023-11</v>
      </c>
      <c r="R163" s="3" t="s">
        <v>54</v>
      </c>
      <c r="S163" s="2">
        <f>IF(tblChecks[[#This Row],[AnyError]]="ERROR",1,0)</f>
        <v>0</v>
      </c>
      <c r="T163" s="2">
        <f>IF(tblChecks[[#This Row],[MissingStreet]]="MISSING",1,0)</f>
        <v>0</v>
      </c>
      <c r="U163" t="str">
        <f t="shared" si="16"/>
        <v>OK</v>
      </c>
    </row>
    <row r="164" spans="1:21" x14ac:dyDescent="0.3">
      <c r="A164" s="1" t="str">
        <f>CleanedData!F164</f>
        <v>PROP00163</v>
      </c>
      <c r="B164" s="2" t="str">
        <f>CleanedData!A164</f>
        <v>Valencia, Kimberly Estates 253, Spain</v>
      </c>
      <c r="C164" s="2" t="str">
        <f>CleanedData!D164</f>
        <v>Spain</v>
      </c>
      <c r="D164" s="2" t="str">
        <f>CleanedData!E164</f>
        <v>Valencia</v>
      </c>
      <c r="E164" s="2" t="str">
        <f>CleanedData!O164</f>
        <v>Valencia</v>
      </c>
      <c r="F164" s="2" t="str">
        <f>CleanedData!M164</f>
        <v>Kimberly Estates 253</v>
      </c>
      <c r="G164" s="2" t="str">
        <f>CleanedData!B164</f>
        <v>41269</v>
      </c>
      <c r="H164" s="2" t="str">
        <f>CleanedData!C164</f>
        <v>+8-707427867</v>
      </c>
      <c r="I164" s="2" t="str">
        <f>CleanedData!G164</f>
        <v>Inactive</v>
      </c>
      <c r="J164" s="14">
        <f>CleanedData!H164</f>
        <v>45587</v>
      </c>
      <c r="K164" s="2" t="str">
        <f t="shared" si="17"/>
        <v>OK</v>
      </c>
      <c r="L164" s="2" t="str">
        <f t="shared" si="18"/>
        <v>OK</v>
      </c>
      <c r="M164" s="2" t="str">
        <f t="shared" si="19"/>
        <v>OK</v>
      </c>
      <c r="N164" s="2" t="str">
        <f t="shared" si="20"/>
        <v>MATCH</v>
      </c>
      <c r="O164" s="2" t="str">
        <f t="shared" si="21"/>
        <v>OK</v>
      </c>
      <c r="P164" s="2">
        <f t="shared" si="22"/>
        <v>0</v>
      </c>
      <c r="Q164" s="2" t="str">
        <f t="shared" si="23"/>
        <v>2024-10</v>
      </c>
      <c r="R164" s="3" t="s">
        <v>39</v>
      </c>
      <c r="S164" s="2">
        <f>IF(tblChecks[[#This Row],[AnyError]]="ERROR",1,0)</f>
        <v>0</v>
      </c>
      <c r="T164" s="2">
        <f>IF(tblChecks[[#This Row],[MissingStreet]]="MISSING",1,0)</f>
        <v>0</v>
      </c>
      <c r="U164" t="str">
        <f t="shared" si="16"/>
        <v>OK</v>
      </c>
    </row>
    <row r="165" spans="1:21" x14ac:dyDescent="0.3">
      <c r="A165" s="1" t="str">
        <f>CleanedData!F165</f>
        <v>PROP00164</v>
      </c>
      <c r="B165" s="2" t="str">
        <f>CleanedData!A165</f>
        <v>Japan, Osaka</v>
      </c>
      <c r="C165" s="2" t="str">
        <f>CleanedData!D165</f>
        <v>Japan</v>
      </c>
      <c r="D165" s="2" t="str">
        <f>CleanedData!E165</f>
        <v>Osaka</v>
      </c>
      <c r="E165" s="2" t="str">
        <f>CleanedData!O165</f>
        <v>Osaka</v>
      </c>
      <c r="F165" s="2" t="str">
        <f>CleanedData!M165</f>
        <v>Osaka</v>
      </c>
      <c r="G165" s="2" t="str">
        <f>CleanedData!B165</f>
        <v>75971</v>
      </c>
      <c r="H165" s="2" t="str">
        <f>CleanedData!C165</f>
        <v>+34-967616944</v>
      </c>
      <c r="I165" s="2" t="str">
        <f>CleanedData!G165</f>
        <v>Active</v>
      </c>
      <c r="J165" s="14">
        <f>CleanedData!H165</f>
        <v>45299</v>
      </c>
      <c r="K165" s="2" t="str">
        <f t="shared" si="17"/>
        <v>OK</v>
      </c>
      <c r="L165" s="2" t="str">
        <f t="shared" si="18"/>
        <v>OK</v>
      </c>
      <c r="M165" s="2" t="str">
        <f t="shared" si="19"/>
        <v>OK</v>
      </c>
      <c r="N165" s="2" t="str">
        <f t="shared" si="20"/>
        <v>MATCH</v>
      </c>
      <c r="O165" s="2" t="str">
        <f t="shared" si="21"/>
        <v>OK</v>
      </c>
      <c r="P165" s="2">
        <f t="shared" si="22"/>
        <v>0</v>
      </c>
      <c r="Q165" s="2" t="str">
        <f t="shared" si="23"/>
        <v>2024-01</v>
      </c>
      <c r="R165" s="3" t="s">
        <v>23</v>
      </c>
      <c r="S165" s="2">
        <f>IF(tblChecks[[#This Row],[AnyError]]="ERROR",1,0)</f>
        <v>0</v>
      </c>
      <c r="T165" s="2">
        <f>IF(tblChecks[[#This Row],[MissingStreet]]="MISSING",1,0)</f>
        <v>0</v>
      </c>
      <c r="U165" t="str">
        <f t="shared" si="16"/>
        <v>OK</v>
      </c>
    </row>
    <row r="166" spans="1:21" x14ac:dyDescent="0.3">
      <c r="A166" s="1" t="str">
        <f>CleanedData!F166</f>
        <v>PROP00165</v>
      </c>
      <c r="B166" s="2" t="str">
        <f>CleanedData!A166</f>
        <v>Sanders Stravenue 68, Milan</v>
      </c>
      <c r="C166" s="2" t="str">
        <f>CleanedData!D166</f>
        <v>Italy</v>
      </c>
      <c r="D166" s="2" t="str">
        <f>CleanedData!E166</f>
        <v>Milan</v>
      </c>
      <c r="E166" s="2" t="str">
        <f>CleanedData!O166</f>
        <v>Milan</v>
      </c>
      <c r="F166" s="2" t="str">
        <f>CleanedData!M166</f>
        <v>Sanders Stravenue 68</v>
      </c>
      <c r="G166" s="2" t="str">
        <f>CleanedData!B166</f>
        <v>26496</v>
      </c>
      <c r="H166" s="2" t="str">
        <f>CleanedData!C166</f>
        <v>+61-194615280</v>
      </c>
      <c r="I166" s="2" t="str">
        <f>CleanedData!G166</f>
        <v>Active</v>
      </c>
      <c r="J166" s="14">
        <f>CleanedData!H166</f>
        <v>45817</v>
      </c>
      <c r="K166" s="2" t="str">
        <f t="shared" si="17"/>
        <v>OK</v>
      </c>
      <c r="L166" s="2" t="str">
        <f t="shared" si="18"/>
        <v>OK</v>
      </c>
      <c r="M166" s="2" t="str">
        <f t="shared" si="19"/>
        <v>OK</v>
      </c>
      <c r="N166" s="2" t="str">
        <f t="shared" si="20"/>
        <v>MATCH</v>
      </c>
      <c r="O166" s="2" t="str">
        <f t="shared" si="21"/>
        <v>OK</v>
      </c>
      <c r="P166" s="2">
        <f t="shared" si="22"/>
        <v>0</v>
      </c>
      <c r="Q166" s="2" t="str">
        <f t="shared" si="23"/>
        <v>2025-06</v>
      </c>
      <c r="R166" s="3" t="s">
        <v>39</v>
      </c>
      <c r="S166" s="2">
        <f>IF(tblChecks[[#This Row],[AnyError]]="ERROR",1,0)</f>
        <v>0</v>
      </c>
      <c r="T166" s="2">
        <f>IF(tblChecks[[#This Row],[MissingStreet]]="MISSING",1,0)</f>
        <v>0</v>
      </c>
      <c r="U166" t="str">
        <f t="shared" si="16"/>
        <v>OK</v>
      </c>
    </row>
    <row r="167" spans="1:21" x14ac:dyDescent="0.3">
      <c r="A167" s="1" t="str">
        <f>CleanedData!F167</f>
        <v>PROP00166</v>
      </c>
      <c r="B167" s="2" t="str">
        <f>CleanedData!A167</f>
        <v>CanadaVancouver</v>
      </c>
      <c r="C167" s="2" t="str">
        <f>CleanedData!D167</f>
        <v>Canada</v>
      </c>
      <c r="D167" s="2" t="str">
        <f>CleanedData!E167</f>
        <v>Vancouver</v>
      </c>
      <c r="E167" s="2" t="str">
        <f>CleanedData!O167</f>
        <v>Vancouver</v>
      </c>
      <c r="F167" s="2" t="str">
        <f>CleanedData!M167</f>
        <v/>
      </c>
      <c r="G167" s="2" t="str">
        <f>CleanedData!B167</f>
        <v>82714</v>
      </c>
      <c r="H167" s="2" t="str">
        <f>CleanedData!C167</f>
        <v>+19-180045678</v>
      </c>
      <c r="I167" s="2" t="str">
        <f>CleanedData!G167</f>
        <v>Active</v>
      </c>
      <c r="J167" s="14">
        <f>CleanedData!H167</f>
        <v>45286</v>
      </c>
      <c r="K167" s="2" t="str">
        <f t="shared" si="17"/>
        <v>MISSING</v>
      </c>
      <c r="L167" s="2" t="str">
        <f t="shared" si="18"/>
        <v>OK</v>
      </c>
      <c r="M167" s="2" t="str">
        <f t="shared" si="19"/>
        <v>OK</v>
      </c>
      <c r="N167" s="2" t="str">
        <f t="shared" si="20"/>
        <v>MATCH</v>
      </c>
      <c r="O167" s="2" t="str">
        <f t="shared" si="21"/>
        <v>ERROR</v>
      </c>
      <c r="P167" s="2">
        <f t="shared" si="22"/>
        <v>1</v>
      </c>
      <c r="Q167" s="2" t="str">
        <f t="shared" si="23"/>
        <v>2023-12</v>
      </c>
      <c r="R167" s="3" t="s">
        <v>33</v>
      </c>
      <c r="S167" s="2">
        <f>IF(tblChecks[[#This Row],[AnyError]]="ERROR",1,0)</f>
        <v>1</v>
      </c>
      <c r="T167" s="2">
        <f>IF(tblChecks[[#This Row],[MissingStreet]]="MISSING",1,0)</f>
        <v>1</v>
      </c>
      <c r="U167" t="str">
        <f t="shared" si="16"/>
        <v>MissingStreet</v>
      </c>
    </row>
    <row r="168" spans="1:21" x14ac:dyDescent="0.3">
      <c r="A168" s="1" t="str">
        <f>CleanedData!F168</f>
        <v>PROP00167</v>
      </c>
      <c r="B168" s="2" t="str">
        <f>CleanedData!A168</f>
        <v>ItalyMilan</v>
      </c>
      <c r="C168" s="2" t="str">
        <f>CleanedData!D168</f>
        <v>Italy</v>
      </c>
      <c r="D168" s="2" t="str">
        <f>CleanedData!E168</f>
        <v>Milan</v>
      </c>
      <c r="E168" s="2" t="str">
        <f>CleanedData!O168</f>
        <v>Milan</v>
      </c>
      <c r="F168" s="2" t="str">
        <f>CleanedData!M168</f>
        <v/>
      </c>
      <c r="G168" s="2" t="str">
        <f>CleanedData!B168</f>
        <v>40030</v>
      </c>
      <c r="H168" s="2" t="str">
        <f>CleanedData!C168</f>
        <v>+95-885665642</v>
      </c>
      <c r="I168" s="2" t="str">
        <f>CleanedData!G168</f>
        <v>Inactive</v>
      </c>
      <c r="J168" s="14">
        <f>CleanedData!H168</f>
        <v>45124</v>
      </c>
      <c r="K168" s="2" t="str">
        <f t="shared" si="17"/>
        <v>MISSING</v>
      </c>
      <c r="L168" s="2" t="str">
        <f t="shared" si="18"/>
        <v>OK</v>
      </c>
      <c r="M168" s="2" t="str">
        <f t="shared" si="19"/>
        <v>OK</v>
      </c>
      <c r="N168" s="2" t="str">
        <f t="shared" si="20"/>
        <v>MATCH</v>
      </c>
      <c r="O168" s="2" t="str">
        <f t="shared" si="21"/>
        <v>ERROR</v>
      </c>
      <c r="P168" s="2">
        <f t="shared" si="22"/>
        <v>1</v>
      </c>
      <c r="Q168" s="2" t="str">
        <f t="shared" si="23"/>
        <v>2023-07</v>
      </c>
      <c r="R168" s="3" t="s">
        <v>23</v>
      </c>
      <c r="S168" s="2">
        <f>IF(tblChecks[[#This Row],[AnyError]]="ERROR",1,0)</f>
        <v>1</v>
      </c>
      <c r="T168" s="2">
        <f>IF(tblChecks[[#This Row],[MissingStreet]]="MISSING",1,0)</f>
        <v>1</v>
      </c>
      <c r="U168" t="str">
        <f t="shared" si="16"/>
        <v>MissingStreet</v>
      </c>
    </row>
    <row r="169" spans="1:21" x14ac:dyDescent="0.3">
      <c r="A169" s="1" t="str">
        <f>CleanedData!F169</f>
        <v>PROP00168</v>
      </c>
      <c r="B169" s="2" t="str">
        <f>CleanedData!A169</f>
        <v>BerlinLaura Port45, Germany</v>
      </c>
      <c r="C169" s="2" t="str">
        <f>CleanedData!D169</f>
        <v>Germany</v>
      </c>
      <c r="D169" s="2" t="str">
        <f>CleanedData!E169</f>
        <v>Berlin</v>
      </c>
      <c r="E169" s="2" t="str">
        <f>CleanedData!O169</f>
        <v>Berlin</v>
      </c>
      <c r="F169" s="2" t="str">
        <f>CleanedData!M169</f>
        <v>BerlinLaura Port45</v>
      </c>
      <c r="G169" s="2" t="str">
        <f>CleanedData!B169</f>
        <v>5884</v>
      </c>
      <c r="H169" s="2" t="str">
        <f>CleanedData!C169</f>
        <v>+54-199128355</v>
      </c>
      <c r="I169" s="2" t="str">
        <f>CleanedData!G169</f>
        <v>Inactive</v>
      </c>
      <c r="J169" s="14">
        <f>CleanedData!H169</f>
        <v>45822</v>
      </c>
      <c r="K169" s="2" t="str">
        <f t="shared" si="17"/>
        <v>OK</v>
      </c>
      <c r="L169" s="2" t="str">
        <f t="shared" si="18"/>
        <v>OK</v>
      </c>
      <c r="M169" s="2" t="str">
        <f t="shared" si="19"/>
        <v>OK</v>
      </c>
      <c r="N169" s="2" t="str">
        <f t="shared" si="20"/>
        <v>MATCH</v>
      </c>
      <c r="O169" s="2" t="str">
        <f t="shared" si="21"/>
        <v>OK</v>
      </c>
      <c r="P169" s="2">
        <f t="shared" si="22"/>
        <v>0</v>
      </c>
      <c r="Q169" s="2" t="str">
        <f t="shared" si="23"/>
        <v>2025-06</v>
      </c>
      <c r="R169" s="3" t="s">
        <v>23</v>
      </c>
      <c r="S169" s="2">
        <f>IF(tblChecks[[#This Row],[AnyError]]="ERROR",1,0)</f>
        <v>0</v>
      </c>
      <c r="T169" s="2">
        <f>IF(tblChecks[[#This Row],[MissingStreet]]="MISSING",1,0)</f>
        <v>0</v>
      </c>
      <c r="U169" t="str">
        <f t="shared" si="16"/>
        <v>OK</v>
      </c>
    </row>
    <row r="170" spans="1:21" x14ac:dyDescent="0.3">
      <c r="A170" s="1" t="str">
        <f>CleanedData!F170</f>
        <v>PROP00169</v>
      </c>
      <c r="B170" s="2" t="str">
        <f>CleanedData!A170</f>
        <v>Canada, Calgary, Patel Shore 168</v>
      </c>
      <c r="C170" s="2" t="str">
        <f>CleanedData!D170</f>
        <v>Canada</v>
      </c>
      <c r="D170" s="2" t="str">
        <f>CleanedData!E170</f>
        <v>Calgary</v>
      </c>
      <c r="E170" s="2" t="str">
        <f>CleanedData!O170</f>
        <v>Calgary</v>
      </c>
      <c r="F170" s="2" t="str">
        <f>CleanedData!M170</f>
        <v>Patel Shore 168</v>
      </c>
      <c r="G170" s="2" t="str">
        <f>CleanedData!B170</f>
        <v>49072</v>
      </c>
      <c r="H170" s="2" t="str">
        <f>CleanedData!C170</f>
        <v>+66-969287118</v>
      </c>
      <c r="I170" s="2" t="str">
        <f>CleanedData!G170</f>
        <v>Active</v>
      </c>
      <c r="J170" s="14">
        <f>CleanedData!H170</f>
        <v>45502</v>
      </c>
      <c r="K170" s="2" t="str">
        <f t="shared" si="17"/>
        <v>OK</v>
      </c>
      <c r="L170" s="2" t="str">
        <f t="shared" si="18"/>
        <v>OK</v>
      </c>
      <c r="M170" s="2" t="str">
        <f t="shared" si="19"/>
        <v>OK</v>
      </c>
      <c r="N170" s="2" t="str">
        <f t="shared" si="20"/>
        <v>MATCH</v>
      </c>
      <c r="O170" s="2" t="str">
        <f t="shared" si="21"/>
        <v>OK</v>
      </c>
      <c r="P170" s="2">
        <f t="shared" si="22"/>
        <v>0</v>
      </c>
      <c r="Q170" s="2" t="str">
        <f t="shared" si="23"/>
        <v>2024-07</v>
      </c>
      <c r="R170" s="3" t="s">
        <v>16</v>
      </c>
      <c r="S170" s="2">
        <f>IF(tblChecks[[#This Row],[AnyError]]="ERROR",1,0)</f>
        <v>0</v>
      </c>
      <c r="T170" s="2">
        <f>IF(tblChecks[[#This Row],[MissingStreet]]="MISSING",1,0)</f>
        <v>0</v>
      </c>
      <c r="U170" t="str">
        <f t="shared" si="16"/>
        <v>OK</v>
      </c>
    </row>
    <row r="171" spans="1:21" x14ac:dyDescent="0.3">
      <c r="A171" s="1" t="str">
        <f>CleanedData!F171</f>
        <v>PROP00170</v>
      </c>
      <c r="B171" s="2" t="str">
        <f>CleanedData!A171</f>
        <v>Australia, Adelaide, William Junctions 150</v>
      </c>
      <c r="C171" s="2" t="str">
        <f>CleanedData!D171</f>
        <v>Australia</v>
      </c>
      <c r="D171" s="2" t="str">
        <f>CleanedData!E171</f>
        <v>Adelaide</v>
      </c>
      <c r="E171" s="2" t="str">
        <f>CleanedData!O171</f>
        <v>Adelaide</v>
      </c>
      <c r="F171" s="2" t="str">
        <f>CleanedData!M171</f>
        <v>William Junctions 150</v>
      </c>
      <c r="G171" s="2" t="str">
        <f>CleanedData!B171</f>
        <v>2159</v>
      </c>
      <c r="H171" s="2" t="str">
        <f>CleanedData!C171</f>
        <v>+99-643719850</v>
      </c>
      <c r="I171" s="2" t="str">
        <f>CleanedData!G171</f>
        <v>Inactive</v>
      </c>
      <c r="J171" s="14">
        <f>CleanedData!H171</f>
        <v>45739</v>
      </c>
      <c r="K171" s="2" t="str">
        <f t="shared" si="17"/>
        <v>OK</v>
      </c>
      <c r="L171" s="2" t="str">
        <f t="shared" si="18"/>
        <v>OK</v>
      </c>
      <c r="M171" s="2" t="str">
        <f t="shared" si="19"/>
        <v>OK</v>
      </c>
      <c r="N171" s="2" t="str">
        <f t="shared" si="20"/>
        <v>MATCH</v>
      </c>
      <c r="O171" s="2" t="str">
        <f t="shared" si="21"/>
        <v>OK</v>
      </c>
      <c r="P171" s="2">
        <f t="shared" si="22"/>
        <v>0</v>
      </c>
      <c r="Q171" s="2" t="str">
        <f t="shared" si="23"/>
        <v>2025-03</v>
      </c>
      <c r="R171" s="3" t="s">
        <v>54</v>
      </c>
      <c r="S171" s="2">
        <f>IF(tblChecks[[#This Row],[AnyError]]="ERROR",1,0)</f>
        <v>0</v>
      </c>
      <c r="T171" s="2">
        <f>IF(tblChecks[[#This Row],[MissingStreet]]="MISSING",1,0)</f>
        <v>0</v>
      </c>
      <c r="U171" t="str">
        <f t="shared" si="16"/>
        <v>OK</v>
      </c>
    </row>
    <row r="172" spans="1:21" x14ac:dyDescent="0.3">
      <c r="A172" s="1" t="str">
        <f>CleanedData!F172</f>
        <v>PROP00171</v>
      </c>
      <c r="B172" s="2" t="str">
        <f>CleanedData!A172</f>
        <v>Short Coves178, Birmingham, UK</v>
      </c>
      <c r="C172" s="2" t="str">
        <f>CleanedData!D172</f>
        <v>UK</v>
      </c>
      <c r="D172" s="2" t="str">
        <f>CleanedData!E172</f>
        <v>Birmingham</v>
      </c>
      <c r="E172" s="2" t="str">
        <f>CleanedData!O172</f>
        <v>Birmingham</v>
      </c>
      <c r="F172" s="2" t="str">
        <f>CleanedData!M172</f>
        <v>Short Coves178</v>
      </c>
      <c r="G172" s="2" t="str">
        <f>CleanedData!B172</f>
        <v>57323</v>
      </c>
      <c r="H172" s="2" t="str">
        <f>CleanedData!C172</f>
        <v>+1-345382503</v>
      </c>
      <c r="I172" s="2" t="str">
        <f>CleanedData!G172</f>
        <v>Active</v>
      </c>
      <c r="J172" s="14">
        <f>CleanedData!H172</f>
        <v>45120</v>
      </c>
      <c r="K172" s="2" t="str">
        <f t="shared" si="17"/>
        <v>OK</v>
      </c>
      <c r="L172" s="2" t="str">
        <f t="shared" si="18"/>
        <v>OK</v>
      </c>
      <c r="M172" s="2" t="str">
        <f t="shared" si="19"/>
        <v>OK</v>
      </c>
      <c r="N172" s="2" t="str">
        <f t="shared" si="20"/>
        <v>MATCH</v>
      </c>
      <c r="O172" s="2" t="str">
        <f t="shared" si="21"/>
        <v>OK</v>
      </c>
      <c r="P172" s="2">
        <f t="shared" si="22"/>
        <v>0</v>
      </c>
      <c r="Q172" s="2" t="str">
        <f t="shared" si="23"/>
        <v>2023-07</v>
      </c>
      <c r="R172" s="3" t="s">
        <v>54</v>
      </c>
      <c r="S172" s="2">
        <f>IF(tblChecks[[#This Row],[AnyError]]="ERROR",1,0)</f>
        <v>0</v>
      </c>
      <c r="T172" s="2">
        <f>IF(tblChecks[[#This Row],[MissingStreet]]="MISSING",1,0)</f>
        <v>0</v>
      </c>
      <c r="U172" t="str">
        <f t="shared" si="16"/>
        <v>OK</v>
      </c>
    </row>
    <row r="173" spans="1:21" x14ac:dyDescent="0.3">
      <c r="A173" s="1" t="str">
        <f>CleanedData!F173</f>
        <v>PROP00172</v>
      </c>
      <c r="B173" s="2" t="str">
        <f>CleanedData!A173</f>
        <v>Canada, Montreal</v>
      </c>
      <c r="C173" s="2" t="str">
        <f>CleanedData!D173</f>
        <v>Canada</v>
      </c>
      <c r="D173" s="2" t="str">
        <f>CleanedData!E173</f>
        <v>Montreal</v>
      </c>
      <c r="E173" s="2" t="str">
        <f>CleanedData!O173</f>
        <v>Montreal</v>
      </c>
      <c r="F173" s="2" t="str">
        <f>CleanedData!M173</f>
        <v>Montreal</v>
      </c>
      <c r="G173" s="2" t="str">
        <f>CleanedData!B173</f>
        <v>60759</v>
      </c>
      <c r="H173" s="2" t="str">
        <f>CleanedData!C173</f>
        <v>+4-820520242</v>
      </c>
      <c r="I173" s="2" t="str">
        <f>CleanedData!G173</f>
        <v>Inactive</v>
      </c>
      <c r="J173" s="14">
        <f>CleanedData!H173</f>
        <v>45792</v>
      </c>
      <c r="K173" s="2" t="str">
        <f t="shared" si="17"/>
        <v>OK</v>
      </c>
      <c r="L173" s="2" t="str">
        <f t="shared" si="18"/>
        <v>OK</v>
      </c>
      <c r="M173" s="2" t="str">
        <f t="shared" si="19"/>
        <v>OK</v>
      </c>
      <c r="N173" s="2" t="str">
        <f t="shared" si="20"/>
        <v>MATCH</v>
      </c>
      <c r="O173" s="2" t="str">
        <f t="shared" si="21"/>
        <v>OK</v>
      </c>
      <c r="P173" s="2">
        <f t="shared" si="22"/>
        <v>0</v>
      </c>
      <c r="Q173" s="2" t="str">
        <f t="shared" si="23"/>
        <v>2025-05</v>
      </c>
      <c r="R173" s="3" t="s">
        <v>39</v>
      </c>
      <c r="S173" s="2">
        <f>IF(tblChecks[[#This Row],[AnyError]]="ERROR",1,0)</f>
        <v>0</v>
      </c>
      <c r="T173" s="2">
        <f>IF(tblChecks[[#This Row],[MissingStreet]]="MISSING",1,0)</f>
        <v>0</v>
      </c>
      <c r="U173" t="str">
        <f t="shared" si="16"/>
        <v>OK</v>
      </c>
    </row>
    <row r="174" spans="1:21" x14ac:dyDescent="0.3">
      <c r="A174" s="1" t="str">
        <f>CleanedData!F174</f>
        <v>PROP00173</v>
      </c>
      <c r="B174" s="2" t="str">
        <f>CleanedData!A174</f>
        <v>UK, Liverpool</v>
      </c>
      <c r="C174" s="2" t="str">
        <f>CleanedData!D174</f>
        <v>UK</v>
      </c>
      <c r="D174" s="2" t="str">
        <f>CleanedData!E174</f>
        <v>Liverpool</v>
      </c>
      <c r="E174" s="2" t="str">
        <f>CleanedData!O174</f>
        <v>Liverpool</v>
      </c>
      <c r="F174" s="2" t="str">
        <f>CleanedData!M174</f>
        <v>Liverpool</v>
      </c>
      <c r="G174" s="2" t="str">
        <f>CleanedData!B174</f>
        <v>68887</v>
      </c>
      <c r="H174" s="2" t="str">
        <f>CleanedData!C174</f>
        <v>+31-644502432</v>
      </c>
      <c r="I174" s="2" t="str">
        <f>CleanedData!G174</f>
        <v>Active</v>
      </c>
      <c r="J174" s="14">
        <f>CleanedData!H174</f>
        <v>45681</v>
      </c>
      <c r="K174" s="2" t="str">
        <f t="shared" si="17"/>
        <v>OK</v>
      </c>
      <c r="L174" s="2" t="str">
        <f t="shared" si="18"/>
        <v>OK</v>
      </c>
      <c r="M174" s="2" t="str">
        <f t="shared" si="19"/>
        <v>OK</v>
      </c>
      <c r="N174" s="2" t="str">
        <f t="shared" si="20"/>
        <v>MATCH</v>
      </c>
      <c r="O174" s="2" t="str">
        <f t="shared" si="21"/>
        <v>OK</v>
      </c>
      <c r="P174" s="2">
        <f t="shared" si="22"/>
        <v>0</v>
      </c>
      <c r="Q174" s="2" t="str">
        <f t="shared" si="23"/>
        <v>2025-01</v>
      </c>
      <c r="R174" s="3" t="s">
        <v>54</v>
      </c>
      <c r="S174" s="2">
        <f>IF(tblChecks[[#This Row],[AnyError]]="ERROR",1,0)</f>
        <v>0</v>
      </c>
      <c r="T174" s="2">
        <f>IF(tblChecks[[#This Row],[MissingStreet]]="MISSING",1,0)</f>
        <v>0</v>
      </c>
      <c r="U174" t="str">
        <f t="shared" si="16"/>
        <v>OK</v>
      </c>
    </row>
    <row r="175" spans="1:21" x14ac:dyDescent="0.3">
      <c r="A175" s="1" t="str">
        <f>CleanedData!F175</f>
        <v>PROP00174</v>
      </c>
      <c r="B175" s="2" t="str">
        <f>CleanedData!A175</f>
        <v>Australia, Perth, Gilbert Plain 107</v>
      </c>
      <c r="C175" s="2" t="str">
        <f>CleanedData!D175</f>
        <v>Australia</v>
      </c>
      <c r="D175" s="2" t="str">
        <f>CleanedData!E175</f>
        <v>Perth</v>
      </c>
      <c r="E175" s="2" t="str">
        <f>CleanedData!O175</f>
        <v>Perth</v>
      </c>
      <c r="F175" s="2" t="str">
        <f>CleanedData!M175</f>
        <v>Gilbert Plain 107</v>
      </c>
      <c r="G175" s="2" t="str">
        <f>CleanedData!B175</f>
        <v>63873</v>
      </c>
      <c r="H175" s="2" t="str">
        <f>CleanedData!C175</f>
        <v>+81-936361720</v>
      </c>
      <c r="I175" s="2" t="str">
        <f>CleanedData!G175</f>
        <v>Inactive</v>
      </c>
      <c r="J175" s="14">
        <f>CleanedData!H175</f>
        <v>45329</v>
      </c>
      <c r="K175" s="2" t="str">
        <f t="shared" si="17"/>
        <v>OK</v>
      </c>
      <c r="L175" s="2" t="str">
        <f t="shared" si="18"/>
        <v>OK</v>
      </c>
      <c r="M175" s="2" t="str">
        <f t="shared" si="19"/>
        <v>OK</v>
      </c>
      <c r="N175" s="2" t="str">
        <f t="shared" si="20"/>
        <v>MATCH</v>
      </c>
      <c r="O175" s="2" t="str">
        <f t="shared" si="21"/>
        <v>OK</v>
      </c>
      <c r="P175" s="2">
        <f t="shared" si="22"/>
        <v>0</v>
      </c>
      <c r="Q175" s="2" t="str">
        <f t="shared" si="23"/>
        <v>2024-02</v>
      </c>
      <c r="R175" s="3" t="s">
        <v>39</v>
      </c>
      <c r="S175" s="2">
        <f>IF(tblChecks[[#This Row],[AnyError]]="ERROR",1,0)</f>
        <v>0</v>
      </c>
      <c r="T175" s="2">
        <f>IF(tblChecks[[#This Row],[MissingStreet]]="MISSING",1,0)</f>
        <v>0</v>
      </c>
      <c r="U175" t="str">
        <f t="shared" si="16"/>
        <v>OK</v>
      </c>
    </row>
    <row r="176" spans="1:21" x14ac:dyDescent="0.3">
      <c r="A176" s="1" t="str">
        <f>CleanedData!F176</f>
        <v>PROP00175</v>
      </c>
      <c r="B176" s="2" t="str">
        <f>CleanedData!A176</f>
        <v>Cologne, Graham Street 185, Germany</v>
      </c>
      <c r="C176" s="2" t="str">
        <f>CleanedData!D176</f>
        <v>Germany</v>
      </c>
      <c r="D176" s="2" t="str">
        <f>CleanedData!E176</f>
        <v>Cologne</v>
      </c>
      <c r="E176" s="2" t="str">
        <f>CleanedData!O176</f>
        <v>Cologne</v>
      </c>
      <c r="F176" s="2" t="str">
        <f>CleanedData!M176</f>
        <v>Graham Street 185</v>
      </c>
      <c r="G176" s="2" t="str">
        <f>CleanedData!B176</f>
        <v>78157</v>
      </c>
      <c r="H176" s="2" t="str">
        <f>CleanedData!C176</f>
        <v>+95-450424454</v>
      </c>
      <c r="I176" s="2" t="str">
        <f>CleanedData!G176</f>
        <v>Inactive</v>
      </c>
      <c r="J176" s="14">
        <f>CleanedData!H176</f>
        <v>45477</v>
      </c>
      <c r="K176" s="2" t="str">
        <f t="shared" si="17"/>
        <v>OK</v>
      </c>
      <c r="L176" s="2" t="str">
        <f t="shared" si="18"/>
        <v>OK</v>
      </c>
      <c r="M176" s="2" t="str">
        <f t="shared" si="19"/>
        <v>OK</v>
      </c>
      <c r="N176" s="2" t="str">
        <f t="shared" si="20"/>
        <v>MATCH</v>
      </c>
      <c r="O176" s="2" t="str">
        <f t="shared" si="21"/>
        <v>OK</v>
      </c>
      <c r="P176" s="2">
        <f t="shared" si="22"/>
        <v>0</v>
      </c>
      <c r="Q176" s="2" t="str">
        <f t="shared" si="23"/>
        <v>2024-07</v>
      </c>
      <c r="R176" s="3" t="s">
        <v>39</v>
      </c>
      <c r="S176" s="2">
        <f>IF(tblChecks[[#This Row],[AnyError]]="ERROR",1,0)</f>
        <v>0</v>
      </c>
      <c r="T176" s="2">
        <f>IF(tblChecks[[#This Row],[MissingStreet]]="MISSING",1,0)</f>
        <v>0</v>
      </c>
      <c r="U176" t="str">
        <f t="shared" si="16"/>
        <v>OK</v>
      </c>
    </row>
    <row r="177" spans="1:21" x14ac:dyDescent="0.3">
      <c r="A177" s="1" t="str">
        <f>CleanedData!F177</f>
        <v>PROP00176</v>
      </c>
      <c r="B177" s="2" t="str">
        <f>CleanedData!A177</f>
        <v>USALos Angeles</v>
      </c>
      <c r="C177" s="2" t="str">
        <f>CleanedData!D177</f>
        <v>USA</v>
      </c>
      <c r="D177" s="2" t="str">
        <f>CleanedData!E177</f>
        <v>Los Angeles</v>
      </c>
      <c r="E177" s="2" t="str">
        <f>CleanedData!O177</f>
        <v>Los Angeles</v>
      </c>
      <c r="F177" s="2" t="str">
        <f>CleanedData!M177</f>
        <v/>
      </c>
      <c r="G177" s="2" t="str">
        <f>CleanedData!B177</f>
        <v>11860</v>
      </c>
      <c r="H177" s="2" t="str">
        <f>CleanedData!C177</f>
        <v>+49-167302363</v>
      </c>
      <c r="I177" s="2" t="str">
        <f>CleanedData!G177</f>
        <v>Active</v>
      </c>
      <c r="J177" s="14">
        <f>CleanedData!H177</f>
        <v>45143</v>
      </c>
      <c r="K177" s="2" t="str">
        <f t="shared" si="17"/>
        <v>MISSING</v>
      </c>
      <c r="L177" s="2" t="str">
        <f t="shared" si="18"/>
        <v>OK</v>
      </c>
      <c r="M177" s="2" t="str">
        <f t="shared" si="19"/>
        <v>OK</v>
      </c>
      <c r="N177" s="2" t="str">
        <f t="shared" si="20"/>
        <v>MATCH</v>
      </c>
      <c r="O177" s="2" t="str">
        <f t="shared" si="21"/>
        <v>ERROR</v>
      </c>
      <c r="P177" s="2">
        <f t="shared" si="22"/>
        <v>1</v>
      </c>
      <c r="Q177" s="2" t="str">
        <f t="shared" si="23"/>
        <v>2023-08</v>
      </c>
      <c r="R177" s="3" t="s">
        <v>39</v>
      </c>
      <c r="S177" s="2">
        <f>IF(tblChecks[[#This Row],[AnyError]]="ERROR",1,0)</f>
        <v>1</v>
      </c>
      <c r="T177" s="2">
        <f>IF(tblChecks[[#This Row],[MissingStreet]]="MISSING",1,0)</f>
        <v>1</v>
      </c>
      <c r="U177" t="str">
        <f t="shared" si="16"/>
        <v>MissingStreet</v>
      </c>
    </row>
    <row r="178" spans="1:21" x14ac:dyDescent="0.3">
      <c r="A178" s="1" t="str">
        <f>CleanedData!F178</f>
        <v>PROP00177</v>
      </c>
      <c r="B178" s="2" t="str">
        <f>CleanedData!A178</f>
        <v>Germany, Munich</v>
      </c>
      <c r="C178" s="2" t="str">
        <f>CleanedData!D178</f>
        <v>Germany</v>
      </c>
      <c r="D178" s="2" t="str">
        <f>CleanedData!E178</f>
        <v>Munich</v>
      </c>
      <c r="E178" s="2" t="str">
        <f>CleanedData!O178</f>
        <v>Munich</v>
      </c>
      <c r="F178" s="2" t="str">
        <f>CleanedData!M178</f>
        <v>Munich</v>
      </c>
      <c r="G178" s="2" t="str">
        <f>CleanedData!B178</f>
        <v>98867</v>
      </c>
      <c r="H178" s="2" t="str">
        <f>CleanedData!C178</f>
        <v>+92-610541957</v>
      </c>
      <c r="I178" s="2" t="str">
        <f>CleanedData!G178</f>
        <v>Inactive</v>
      </c>
      <c r="J178" s="14">
        <f>CleanedData!H178</f>
        <v>45204</v>
      </c>
      <c r="K178" s="2" t="str">
        <f t="shared" si="17"/>
        <v>OK</v>
      </c>
      <c r="L178" s="2" t="str">
        <f t="shared" si="18"/>
        <v>OK</v>
      </c>
      <c r="M178" s="2" t="str">
        <f t="shared" si="19"/>
        <v>OK</v>
      </c>
      <c r="N178" s="2" t="str">
        <f t="shared" si="20"/>
        <v>MATCH</v>
      </c>
      <c r="O178" s="2" t="str">
        <f t="shared" si="21"/>
        <v>OK</v>
      </c>
      <c r="P178" s="2">
        <f t="shared" si="22"/>
        <v>0</v>
      </c>
      <c r="Q178" s="2" t="str">
        <f t="shared" si="23"/>
        <v>2023-10</v>
      </c>
      <c r="R178" s="3" t="s">
        <v>33</v>
      </c>
      <c r="S178" s="2">
        <f>IF(tblChecks[[#This Row],[AnyError]]="ERROR",1,0)</f>
        <v>0</v>
      </c>
      <c r="T178" s="2">
        <f>IF(tblChecks[[#This Row],[MissingStreet]]="MISSING",1,0)</f>
        <v>0</v>
      </c>
      <c r="U178" t="str">
        <f t="shared" si="16"/>
        <v>OK</v>
      </c>
    </row>
    <row r="179" spans="1:21" x14ac:dyDescent="0.3">
      <c r="A179" s="1" t="str">
        <f>CleanedData!F179</f>
        <v>PROP00178</v>
      </c>
      <c r="B179" s="2" t="str">
        <f>CleanedData!A179</f>
        <v>GermanyHamburg</v>
      </c>
      <c r="C179" s="2" t="str">
        <f>CleanedData!D179</f>
        <v>Germany</v>
      </c>
      <c r="D179" s="2" t="str">
        <f>CleanedData!E179</f>
        <v>Hamburg</v>
      </c>
      <c r="E179" s="2" t="str">
        <f>CleanedData!O179</f>
        <v>Hamburg</v>
      </c>
      <c r="F179" s="2" t="str">
        <f>CleanedData!M179</f>
        <v/>
      </c>
      <c r="G179" s="2" t="str">
        <f>CleanedData!B179</f>
        <v>50175</v>
      </c>
      <c r="H179" s="2" t="str">
        <f>CleanedData!C179</f>
        <v>+86-831939515</v>
      </c>
      <c r="I179" s="2" t="str">
        <f>CleanedData!G179</f>
        <v>Inactive</v>
      </c>
      <c r="J179" s="14">
        <f>CleanedData!H179</f>
        <v>45097</v>
      </c>
      <c r="K179" s="2" t="str">
        <f t="shared" si="17"/>
        <v>MISSING</v>
      </c>
      <c r="L179" s="2" t="str">
        <f t="shared" si="18"/>
        <v>OK</v>
      </c>
      <c r="M179" s="2" t="str">
        <f t="shared" si="19"/>
        <v>OK</v>
      </c>
      <c r="N179" s="2" t="str">
        <f t="shared" si="20"/>
        <v>MATCH</v>
      </c>
      <c r="O179" s="2" t="str">
        <f t="shared" si="21"/>
        <v>ERROR</v>
      </c>
      <c r="P179" s="2">
        <f t="shared" si="22"/>
        <v>1</v>
      </c>
      <c r="Q179" s="2" t="str">
        <f t="shared" si="23"/>
        <v>2023-06</v>
      </c>
      <c r="R179" s="3" t="s">
        <v>23</v>
      </c>
      <c r="S179" s="2">
        <f>IF(tblChecks[[#This Row],[AnyError]]="ERROR",1,0)</f>
        <v>1</v>
      </c>
      <c r="T179" s="2">
        <f>IF(tblChecks[[#This Row],[MissingStreet]]="MISSING",1,0)</f>
        <v>1</v>
      </c>
      <c r="U179" t="str">
        <f t="shared" si="16"/>
        <v>MissingStreet</v>
      </c>
    </row>
    <row r="180" spans="1:21" x14ac:dyDescent="0.3">
      <c r="A180" s="1" t="str">
        <f>CleanedData!F180</f>
        <v>PROP00179</v>
      </c>
      <c r="B180" s="2" t="str">
        <f>CleanedData!A180</f>
        <v>France, Bordeaux, Johnson Vista 118</v>
      </c>
      <c r="C180" s="2" t="str">
        <f>CleanedData!D180</f>
        <v>France</v>
      </c>
      <c r="D180" s="2" t="str">
        <f>CleanedData!E180</f>
        <v>Bordeaux</v>
      </c>
      <c r="E180" s="2" t="str">
        <f>CleanedData!O180</f>
        <v>Bordeaux</v>
      </c>
      <c r="F180" s="2" t="str">
        <f>CleanedData!M180</f>
        <v>Johnson Vista 118</v>
      </c>
      <c r="G180" s="2" t="str">
        <f>CleanedData!B180</f>
        <v>43101</v>
      </c>
      <c r="H180" s="2" t="str">
        <f>CleanedData!C180</f>
        <v>+17-728970616</v>
      </c>
      <c r="I180" s="2" t="str">
        <f>CleanedData!G180</f>
        <v>Active</v>
      </c>
      <c r="J180" s="14">
        <f>CleanedData!H180</f>
        <v>44905</v>
      </c>
      <c r="K180" s="2" t="str">
        <f t="shared" si="17"/>
        <v>OK</v>
      </c>
      <c r="L180" s="2" t="str">
        <f t="shared" si="18"/>
        <v>OK</v>
      </c>
      <c r="M180" s="2" t="str">
        <f t="shared" si="19"/>
        <v>OK</v>
      </c>
      <c r="N180" s="2" t="str">
        <f t="shared" si="20"/>
        <v>MATCH</v>
      </c>
      <c r="O180" s="2" t="str">
        <f t="shared" si="21"/>
        <v>OK</v>
      </c>
      <c r="P180" s="2">
        <f t="shared" si="22"/>
        <v>0</v>
      </c>
      <c r="Q180" s="2" t="str">
        <f t="shared" si="23"/>
        <v>2022-12</v>
      </c>
      <c r="R180" s="3" t="s">
        <v>23</v>
      </c>
      <c r="S180" s="2">
        <f>IF(tblChecks[[#This Row],[AnyError]]="ERROR",1,0)</f>
        <v>0</v>
      </c>
      <c r="T180" s="2">
        <f>IF(tblChecks[[#This Row],[MissingStreet]]="MISSING",1,0)</f>
        <v>0</v>
      </c>
      <c r="U180" t="str">
        <f t="shared" si="16"/>
        <v>OK</v>
      </c>
    </row>
    <row r="181" spans="1:21" x14ac:dyDescent="0.3">
      <c r="A181" s="1" t="str">
        <f>CleanedData!F181</f>
        <v>PROP00180</v>
      </c>
      <c r="B181" s="2" t="str">
        <f>CleanedData!A181</f>
        <v>JapanKyoto, Japan</v>
      </c>
      <c r="C181" s="2" t="str">
        <f>CleanedData!D181</f>
        <v>Japan</v>
      </c>
      <c r="D181" s="2" t="str">
        <f>CleanedData!E181</f>
        <v>Kyoto</v>
      </c>
      <c r="E181" s="2" t="str">
        <f>CleanedData!O181</f>
        <v>Kyoto</v>
      </c>
      <c r="F181" s="2" t="str">
        <f>CleanedData!M181</f>
        <v>Japan</v>
      </c>
      <c r="G181" s="2" t="str">
        <f>CleanedData!B181</f>
        <v>34363</v>
      </c>
      <c r="H181" s="2" t="str">
        <f>CleanedData!C181</f>
        <v>+18-263433455</v>
      </c>
      <c r="I181" s="2" t="str">
        <f>CleanedData!G181</f>
        <v>Inactive</v>
      </c>
      <c r="J181" s="14">
        <f>CleanedData!H181</f>
        <v>45519</v>
      </c>
      <c r="K181" s="2" t="str">
        <f t="shared" si="17"/>
        <v>OK</v>
      </c>
      <c r="L181" s="2" t="str">
        <f t="shared" si="18"/>
        <v>OK</v>
      </c>
      <c r="M181" s="2" t="str">
        <f t="shared" si="19"/>
        <v>OK</v>
      </c>
      <c r="N181" s="2" t="str">
        <f t="shared" si="20"/>
        <v>MATCH</v>
      </c>
      <c r="O181" s="2" t="str">
        <f t="shared" si="21"/>
        <v>OK</v>
      </c>
      <c r="P181" s="2">
        <f t="shared" si="22"/>
        <v>0</v>
      </c>
      <c r="Q181" s="2" t="str">
        <f t="shared" si="23"/>
        <v>2024-08</v>
      </c>
      <c r="R181" s="3" t="s">
        <v>23</v>
      </c>
      <c r="S181" s="2">
        <f>IF(tblChecks[[#This Row],[AnyError]]="ERROR",1,0)</f>
        <v>0</v>
      </c>
      <c r="T181" s="2">
        <f>IF(tblChecks[[#This Row],[MissingStreet]]="MISSING",1,0)</f>
        <v>0</v>
      </c>
      <c r="U181" t="str">
        <f t="shared" si="16"/>
        <v>OK</v>
      </c>
    </row>
    <row r="182" spans="1:21" x14ac:dyDescent="0.3">
      <c r="A182" s="1" t="str">
        <f>CleanedData!F182</f>
        <v>PROP00181</v>
      </c>
      <c r="B182" s="2" t="str">
        <f>CleanedData!A182</f>
        <v>SpainMadridRamirez Ranch192</v>
      </c>
      <c r="C182" s="2" t="str">
        <f>CleanedData!D182</f>
        <v>Spain</v>
      </c>
      <c r="D182" s="2" t="str">
        <f>CleanedData!E182</f>
        <v>Madrid</v>
      </c>
      <c r="E182" s="2" t="str">
        <f>CleanedData!O182</f>
        <v>Madrid</v>
      </c>
      <c r="F182" s="2" t="str">
        <f>CleanedData!M182</f>
        <v>SpainMadridRamirez Ranch192</v>
      </c>
      <c r="G182" s="2" t="str">
        <f>CleanedData!B182</f>
        <v>92406</v>
      </c>
      <c r="H182" s="2" t="str">
        <f>CleanedData!C182</f>
        <v>+18-241015632</v>
      </c>
      <c r="I182" s="2" t="str">
        <f>CleanedData!G182</f>
        <v>Inactive</v>
      </c>
      <c r="J182" s="14">
        <f>CleanedData!H182</f>
        <v>44915</v>
      </c>
      <c r="K182" s="2" t="str">
        <f t="shared" si="17"/>
        <v>OK</v>
      </c>
      <c r="L182" s="2" t="str">
        <f t="shared" si="18"/>
        <v>OK</v>
      </c>
      <c r="M182" s="2" t="str">
        <f t="shared" si="19"/>
        <v>OK</v>
      </c>
      <c r="N182" s="2" t="str">
        <f t="shared" si="20"/>
        <v>MATCH</v>
      </c>
      <c r="O182" s="2" t="str">
        <f t="shared" si="21"/>
        <v>OK</v>
      </c>
      <c r="P182" s="2">
        <f t="shared" si="22"/>
        <v>0</v>
      </c>
      <c r="Q182" s="2" t="str">
        <f t="shared" si="23"/>
        <v>2022-12</v>
      </c>
      <c r="R182" s="3" t="s">
        <v>23</v>
      </c>
      <c r="S182" s="2">
        <f>IF(tblChecks[[#This Row],[AnyError]]="ERROR",1,0)</f>
        <v>0</v>
      </c>
      <c r="T182" s="2">
        <f>IF(tblChecks[[#This Row],[MissingStreet]]="MISSING",1,0)</f>
        <v>0</v>
      </c>
      <c r="U182" t="str">
        <f t="shared" si="16"/>
        <v>OK</v>
      </c>
    </row>
    <row r="183" spans="1:21" x14ac:dyDescent="0.3">
      <c r="A183" s="1" t="str">
        <f>CleanedData!F183</f>
        <v>PROP00182</v>
      </c>
      <c r="B183" s="2" t="str">
        <f>CleanedData!A183</f>
        <v>Japan, Osaka</v>
      </c>
      <c r="C183" s="2" t="str">
        <f>CleanedData!D183</f>
        <v>Japan</v>
      </c>
      <c r="D183" s="2" t="str">
        <f>CleanedData!E183</f>
        <v>Osaka</v>
      </c>
      <c r="E183" s="2" t="str">
        <f>CleanedData!O183</f>
        <v>Osaka</v>
      </c>
      <c r="F183" s="2" t="str">
        <f>CleanedData!M183</f>
        <v>Osaka</v>
      </c>
      <c r="G183" s="2" t="str">
        <f>CleanedData!B183</f>
        <v>25543</v>
      </c>
      <c r="H183" s="2" t="str">
        <f>CleanedData!C183</f>
        <v>+31-196850352</v>
      </c>
      <c r="I183" s="2" t="str">
        <f>CleanedData!G183</f>
        <v>Active</v>
      </c>
      <c r="J183" s="14">
        <f>CleanedData!H183</f>
        <v>45564</v>
      </c>
      <c r="K183" s="2" t="str">
        <f t="shared" si="17"/>
        <v>OK</v>
      </c>
      <c r="L183" s="2" t="str">
        <f t="shared" si="18"/>
        <v>OK</v>
      </c>
      <c r="M183" s="2" t="str">
        <f t="shared" si="19"/>
        <v>OK</v>
      </c>
      <c r="N183" s="2" t="str">
        <f t="shared" si="20"/>
        <v>MATCH</v>
      </c>
      <c r="O183" s="2" t="str">
        <f t="shared" si="21"/>
        <v>OK</v>
      </c>
      <c r="P183" s="2">
        <f t="shared" si="22"/>
        <v>0</v>
      </c>
      <c r="Q183" s="2" t="str">
        <f t="shared" si="23"/>
        <v>2024-09</v>
      </c>
      <c r="R183" s="3" t="s">
        <v>54</v>
      </c>
      <c r="S183" s="2">
        <f>IF(tblChecks[[#This Row],[AnyError]]="ERROR",1,0)</f>
        <v>0</v>
      </c>
      <c r="T183" s="2">
        <f>IF(tblChecks[[#This Row],[MissingStreet]]="MISSING",1,0)</f>
        <v>0</v>
      </c>
      <c r="U183" t="str">
        <f t="shared" si="16"/>
        <v>OK</v>
      </c>
    </row>
    <row r="184" spans="1:21" x14ac:dyDescent="0.3">
      <c r="A184" s="1" t="str">
        <f>CleanedData!F184</f>
        <v>PROP00183</v>
      </c>
      <c r="B184" s="2" t="str">
        <f>CleanedData!A184</f>
        <v>John Lodge 110, Vancouver</v>
      </c>
      <c r="C184" s="2" t="str">
        <f>CleanedData!D184</f>
        <v>Canada</v>
      </c>
      <c r="D184" s="2" t="str">
        <f>CleanedData!E184</f>
        <v>Vancouver</v>
      </c>
      <c r="E184" s="2" t="str">
        <f>CleanedData!O184</f>
        <v>Vancouver</v>
      </c>
      <c r="F184" s="2" t="str">
        <f>CleanedData!M184</f>
        <v>John Lodge 110</v>
      </c>
      <c r="G184" s="2" t="str">
        <f>CleanedData!B184</f>
        <v>64539</v>
      </c>
      <c r="H184" s="2" t="str">
        <f>CleanedData!C184</f>
        <v>+89-589979888</v>
      </c>
      <c r="I184" s="2" t="str">
        <f>CleanedData!G184</f>
        <v>Inactive</v>
      </c>
      <c r="J184" s="14">
        <f>CleanedData!H184</f>
        <v>45919</v>
      </c>
      <c r="K184" s="2" t="str">
        <f t="shared" si="17"/>
        <v>OK</v>
      </c>
      <c r="L184" s="2" t="str">
        <f t="shared" si="18"/>
        <v>OK</v>
      </c>
      <c r="M184" s="2" t="str">
        <f t="shared" si="19"/>
        <v>OK</v>
      </c>
      <c r="N184" s="2" t="str">
        <f t="shared" si="20"/>
        <v>MATCH</v>
      </c>
      <c r="O184" s="2" t="str">
        <f t="shared" si="21"/>
        <v>OK</v>
      </c>
      <c r="P184" s="2">
        <f t="shared" si="22"/>
        <v>0</v>
      </c>
      <c r="Q184" s="2" t="str">
        <f t="shared" si="23"/>
        <v>2025-09</v>
      </c>
      <c r="R184" s="3" t="s">
        <v>16</v>
      </c>
      <c r="S184" s="2">
        <f>IF(tblChecks[[#This Row],[AnyError]]="ERROR",1,0)</f>
        <v>0</v>
      </c>
      <c r="T184" s="2">
        <f>IF(tblChecks[[#This Row],[MissingStreet]]="MISSING",1,0)</f>
        <v>0</v>
      </c>
      <c r="U184" t="str">
        <f t="shared" si="16"/>
        <v>OK</v>
      </c>
    </row>
    <row r="185" spans="1:21" x14ac:dyDescent="0.3">
      <c r="A185" s="1" t="str">
        <f>CleanedData!F185</f>
        <v>PROP00184</v>
      </c>
      <c r="B185" s="2" t="str">
        <f>CleanedData!A185</f>
        <v>Hannah Rue110, Birmingham, UK</v>
      </c>
      <c r="C185" s="2" t="str">
        <f>CleanedData!D185</f>
        <v>UK</v>
      </c>
      <c r="D185" s="2" t="str">
        <f>CleanedData!E185</f>
        <v>Birmingham</v>
      </c>
      <c r="E185" s="2" t="str">
        <f>CleanedData!O185</f>
        <v>Birmingham</v>
      </c>
      <c r="F185" s="2" t="str">
        <f>CleanedData!M185</f>
        <v>Hannah Rue110</v>
      </c>
      <c r="G185" s="2" t="str">
        <f>CleanedData!B185</f>
        <v>93803</v>
      </c>
      <c r="H185" s="2" t="str">
        <f>CleanedData!C185</f>
        <v>+3-365822217</v>
      </c>
      <c r="I185" s="2" t="str">
        <f>CleanedData!G185</f>
        <v>Inactive</v>
      </c>
      <c r="J185" s="14">
        <f>CleanedData!H185</f>
        <v>45643</v>
      </c>
      <c r="K185" s="2" t="str">
        <f t="shared" si="17"/>
        <v>OK</v>
      </c>
      <c r="L185" s="2" t="str">
        <f t="shared" si="18"/>
        <v>OK</v>
      </c>
      <c r="M185" s="2" t="str">
        <f t="shared" si="19"/>
        <v>OK</v>
      </c>
      <c r="N185" s="2" t="str">
        <f t="shared" si="20"/>
        <v>MATCH</v>
      </c>
      <c r="O185" s="2" t="str">
        <f t="shared" si="21"/>
        <v>OK</v>
      </c>
      <c r="P185" s="2">
        <f t="shared" si="22"/>
        <v>0</v>
      </c>
      <c r="Q185" s="2" t="str">
        <f t="shared" si="23"/>
        <v>2024-12</v>
      </c>
      <c r="R185" s="3" t="s">
        <v>54</v>
      </c>
      <c r="S185" s="2">
        <f>IF(tblChecks[[#This Row],[AnyError]]="ERROR",1,0)</f>
        <v>0</v>
      </c>
      <c r="T185" s="2">
        <f>IF(tblChecks[[#This Row],[MissingStreet]]="MISSING",1,0)</f>
        <v>0</v>
      </c>
      <c r="U185" t="str">
        <f t="shared" si="16"/>
        <v>OK</v>
      </c>
    </row>
    <row r="186" spans="1:21" x14ac:dyDescent="0.3">
      <c r="A186" s="1" t="str">
        <f>CleanedData!F186</f>
        <v>PROP00185</v>
      </c>
      <c r="B186" s="2" t="str">
        <f>CleanedData!A186</f>
        <v>SpainBarcelona, Spain</v>
      </c>
      <c r="C186" s="2" t="str">
        <f>CleanedData!D186</f>
        <v>Spain</v>
      </c>
      <c r="D186" s="2" t="str">
        <f>CleanedData!E186</f>
        <v>Barcelona</v>
      </c>
      <c r="E186" s="2" t="str">
        <f>CleanedData!O186</f>
        <v>Barcelona</v>
      </c>
      <c r="F186" s="2" t="str">
        <f>CleanedData!M186</f>
        <v>Spain</v>
      </c>
      <c r="G186" s="2" t="str">
        <f>CleanedData!B186</f>
        <v>12697</v>
      </c>
      <c r="H186" s="2" t="str">
        <f>CleanedData!C186</f>
        <v>+57-430667492</v>
      </c>
      <c r="I186" s="2" t="str">
        <f>CleanedData!G186</f>
        <v>Inactive</v>
      </c>
      <c r="J186" s="14">
        <f>CleanedData!H186</f>
        <v>45886</v>
      </c>
      <c r="K186" s="2" t="str">
        <f t="shared" si="17"/>
        <v>OK</v>
      </c>
      <c r="L186" s="2" t="str">
        <f t="shared" si="18"/>
        <v>OK</v>
      </c>
      <c r="M186" s="2" t="str">
        <f t="shared" si="19"/>
        <v>OK</v>
      </c>
      <c r="N186" s="2" t="str">
        <f t="shared" si="20"/>
        <v>MATCH</v>
      </c>
      <c r="O186" s="2" t="str">
        <f t="shared" si="21"/>
        <v>OK</v>
      </c>
      <c r="P186" s="2">
        <f t="shared" si="22"/>
        <v>0</v>
      </c>
      <c r="Q186" s="2" t="str">
        <f t="shared" si="23"/>
        <v>2025-08</v>
      </c>
      <c r="R186" s="3" t="s">
        <v>23</v>
      </c>
      <c r="S186" s="2">
        <f>IF(tblChecks[[#This Row],[AnyError]]="ERROR",1,0)</f>
        <v>0</v>
      </c>
      <c r="T186" s="2">
        <f>IF(tblChecks[[#This Row],[MissingStreet]]="MISSING",1,0)</f>
        <v>0</v>
      </c>
      <c r="U186" t="str">
        <f t="shared" si="16"/>
        <v>OK</v>
      </c>
    </row>
    <row r="187" spans="1:21" x14ac:dyDescent="0.3">
      <c r="A187" s="1" t="str">
        <f>CleanedData!F187</f>
        <v>PROP00186</v>
      </c>
      <c r="B187" s="2" t="str">
        <f>CleanedData!A187</f>
        <v>Canada, Montreal, Walker Square 151</v>
      </c>
      <c r="C187" s="2" t="str">
        <f>CleanedData!D187</f>
        <v>Canada</v>
      </c>
      <c r="D187" s="2" t="str">
        <f>CleanedData!E187</f>
        <v>Montreal</v>
      </c>
      <c r="E187" s="2" t="str">
        <f>CleanedData!O187</f>
        <v>Montreal</v>
      </c>
      <c r="F187" s="2" t="str">
        <f>CleanedData!M187</f>
        <v>Walker Square 151</v>
      </c>
      <c r="G187" s="2" t="str">
        <f>CleanedData!B187</f>
        <v>32391</v>
      </c>
      <c r="H187" s="2" t="str">
        <f>CleanedData!C187</f>
        <v>+38-343085791</v>
      </c>
      <c r="I187" s="2" t="str">
        <f>CleanedData!G187</f>
        <v>Active</v>
      </c>
      <c r="J187" s="14">
        <f>CleanedData!H187</f>
        <v>45827</v>
      </c>
      <c r="K187" s="2" t="str">
        <f t="shared" si="17"/>
        <v>OK</v>
      </c>
      <c r="L187" s="2" t="str">
        <f t="shared" si="18"/>
        <v>OK</v>
      </c>
      <c r="M187" s="2" t="str">
        <f t="shared" si="19"/>
        <v>OK</v>
      </c>
      <c r="N187" s="2" t="str">
        <f t="shared" si="20"/>
        <v>MATCH</v>
      </c>
      <c r="O187" s="2" t="str">
        <f t="shared" si="21"/>
        <v>OK</v>
      </c>
      <c r="P187" s="2">
        <f t="shared" si="22"/>
        <v>0</v>
      </c>
      <c r="Q187" s="2" t="str">
        <f t="shared" si="23"/>
        <v>2025-06</v>
      </c>
      <c r="R187" s="3" t="s">
        <v>33</v>
      </c>
      <c r="S187" s="2">
        <f>IF(tblChecks[[#This Row],[AnyError]]="ERROR",1,0)</f>
        <v>0</v>
      </c>
      <c r="T187" s="2">
        <f>IF(tblChecks[[#This Row],[MissingStreet]]="MISSING",1,0)</f>
        <v>0</v>
      </c>
      <c r="U187" t="str">
        <f t="shared" si="16"/>
        <v>OK</v>
      </c>
    </row>
    <row r="188" spans="1:21" x14ac:dyDescent="0.3">
      <c r="A188" s="1" t="str">
        <f>CleanedData!F188</f>
        <v>PROP00187</v>
      </c>
      <c r="B188" s="2" t="str">
        <f>CleanedData!A188</f>
        <v>USA, Phoenix</v>
      </c>
      <c r="C188" s="2" t="str">
        <f>CleanedData!D188</f>
        <v>USA</v>
      </c>
      <c r="D188" s="2" t="str">
        <f>CleanedData!E188</f>
        <v>Phoenix</v>
      </c>
      <c r="E188" s="2" t="str">
        <f>CleanedData!O188</f>
        <v>Phoenix</v>
      </c>
      <c r="F188" s="2" t="str">
        <f>CleanedData!M188</f>
        <v>Phoenix</v>
      </c>
      <c r="G188" s="2" t="str">
        <f>CleanedData!B188</f>
        <v>62532</v>
      </c>
      <c r="H188" s="2" t="str">
        <f>CleanedData!C188</f>
        <v>+95-831665040</v>
      </c>
      <c r="I188" s="2" t="str">
        <f>CleanedData!G188</f>
        <v>Active</v>
      </c>
      <c r="J188" s="14">
        <f>CleanedData!H188</f>
        <v>45524</v>
      </c>
      <c r="K188" s="2" t="str">
        <f t="shared" si="17"/>
        <v>OK</v>
      </c>
      <c r="L188" s="2" t="str">
        <f t="shared" si="18"/>
        <v>OK</v>
      </c>
      <c r="M188" s="2" t="str">
        <f t="shared" si="19"/>
        <v>OK</v>
      </c>
      <c r="N188" s="2" t="str">
        <f t="shared" si="20"/>
        <v>MATCH</v>
      </c>
      <c r="O188" s="2" t="str">
        <f t="shared" si="21"/>
        <v>OK</v>
      </c>
      <c r="P188" s="2">
        <f t="shared" si="22"/>
        <v>0</v>
      </c>
      <c r="Q188" s="2" t="str">
        <f t="shared" si="23"/>
        <v>2024-08</v>
      </c>
      <c r="R188" s="3" t="s">
        <v>54</v>
      </c>
      <c r="S188" s="2">
        <f>IF(tblChecks[[#This Row],[AnyError]]="ERROR",1,0)</f>
        <v>0</v>
      </c>
      <c r="T188" s="2">
        <f>IF(tblChecks[[#This Row],[MissingStreet]]="MISSING",1,0)</f>
        <v>0</v>
      </c>
      <c r="U188" t="str">
        <f t="shared" si="16"/>
        <v>OK</v>
      </c>
    </row>
    <row r="189" spans="1:21" x14ac:dyDescent="0.3">
      <c r="A189" s="1" t="str">
        <f>CleanedData!F189</f>
        <v>PROP00188</v>
      </c>
      <c r="B189" s="2" t="str">
        <f>CleanedData!A189</f>
        <v>CanadaMontrealColeman Summit191</v>
      </c>
      <c r="C189" s="2" t="str">
        <f>CleanedData!D189</f>
        <v>Canada</v>
      </c>
      <c r="D189" s="2" t="str">
        <f>CleanedData!E189</f>
        <v>Montreal</v>
      </c>
      <c r="E189" s="2" t="str">
        <f>CleanedData!O189</f>
        <v>Montreal</v>
      </c>
      <c r="F189" s="2" t="str">
        <f>CleanedData!M189</f>
        <v>CanadaMontrealColeman Summit191</v>
      </c>
      <c r="G189" s="2" t="str">
        <f>CleanedData!B189</f>
        <v>72641</v>
      </c>
      <c r="H189" s="2" t="str">
        <f>CleanedData!C189</f>
        <v>+87-952931366</v>
      </c>
      <c r="I189" s="2" t="str">
        <f>CleanedData!G189</f>
        <v>Inactive</v>
      </c>
      <c r="J189" s="14">
        <f>CleanedData!H189</f>
        <v>45485</v>
      </c>
      <c r="K189" s="2" t="str">
        <f t="shared" si="17"/>
        <v>OK</v>
      </c>
      <c r="L189" s="2" t="str">
        <f t="shared" si="18"/>
        <v>OK</v>
      </c>
      <c r="M189" s="2" t="str">
        <f t="shared" si="19"/>
        <v>OK</v>
      </c>
      <c r="N189" s="2" t="str">
        <f t="shared" si="20"/>
        <v>MATCH</v>
      </c>
      <c r="O189" s="2" t="str">
        <f t="shared" si="21"/>
        <v>OK</v>
      </c>
      <c r="P189" s="2">
        <f t="shared" si="22"/>
        <v>0</v>
      </c>
      <c r="Q189" s="2" t="str">
        <f t="shared" si="23"/>
        <v>2024-07</v>
      </c>
      <c r="R189" s="3" t="s">
        <v>54</v>
      </c>
      <c r="S189" s="2">
        <f>IF(tblChecks[[#This Row],[AnyError]]="ERROR",1,0)</f>
        <v>0</v>
      </c>
      <c r="T189" s="2">
        <f>IF(tblChecks[[#This Row],[MissingStreet]]="MISSING",1,0)</f>
        <v>0</v>
      </c>
      <c r="U189" t="str">
        <f t="shared" si="16"/>
        <v>OK</v>
      </c>
    </row>
    <row r="190" spans="1:21" x14ac:dyDescent="0.3">
      <c r="A190" s="1" t="str">
        <f>CleanedData!F190</f>
        <v>PROP00189</v>
      </c>
      <c r="B190" s="2" t="str">
        <f>CleanedData!A190</f>
        <v>Bell Motorway300, Fortaleza, Brazil</v>
      </c>
      <c r="C190" s="2" t="str">
        <f>CleanedData!D190</f>
        <v>Brazil</v>
      </c>
      <c r="D190" s="2" t="str">
        <f>CleanedData!E190</f>
        <v>Fortaleza</v>
      </c>
      <c r="E190" s="2" t="str">
        <f>CleanedData!O190</f>
        <v>Fortaleza</v>
      </c>
      <c r="F190" s="2" t="str">
        <f>CleanedData!M190</f>
        <v>Bell Motorway300</v>
      </c>
      <c r="G190" s="2" t="str">
        <f>CleanedData!B190</f>
        <v>36010</v>
      </c>
      <c r="H190" s="2" t="str">
        <f>CleanedData!C190</f>
        <v>+51-768033605</v>
      </c>
      <c r="I190" s="2" t="str">
        <f>CleanedData!G190</f>
        <v>Inactive</v>
      </c>
      <c r="J190" s="14">
        <f>CleanedData!H190</f>
        <v>45194</v>
      </c>
      <c r="K190" s="2" t="str">
        <f t="shared" si="17"/>
        <v>OK</v>
      </c>
      <c r="L190" s="2" t="str">
        <f t="shared" si="18"/>
        <v>OK</v>
      </c>
      <c r="M190" s="2" t="str">
        <f t="shared" si="19"/>
        <v>OK</v>
      </c>
      <c r="N190" s="2" t="str">
        <f t="shared" si="20"/>
        <v>MATCH</v>
      </c>
      <c r="O190" s="2" t="str">
        <f t="shared" si="21"/>
        <v>OK</v>
      </c>
      <c r="P190" s="2">
        <f t="shared" si="22"/>
        <v>0</v>
      </c>
      <c r="Q190" s="2" t="str">
        <f t="shared" si="23"/>
        <v>2023-09</v>
      </c>
      <c r="R190" s="3" t="s">
        <v>33</v>
      </c>
      <c r="S190" s="2">
        <f>IF(tblChecks[[#This Row],[AnyError]]="ERROR",1,0)</f>
        <v>0</v>
      </c>
      <c r="T190" s="2">
        <f>IF(tblChecks[[#This Row],[MissingStreet]]="MISSING",1,0)</f>
        <v>0</v>
      </c>
      <c r="U190" t="str">
        <f t="shared" si="16"/>
        <v>OK</v>
      </c>
    </row>
    <row r="191" spans="1:21" x14ac:dyDescent="0.3">
      <c r="A191" s="1" t="str">
        <f>CleanedData!F191</f>
        <v>PROP00190</v>
      </c>
      <c r="B191" s="2" t="str">
        <f>CleanedData!A191</f>
        <v>SpainMadrid</v>
      </c>
      <c r="C191" s="2" t="str">
        <f>CleanedData!D191</f>
        <v>Spain</v>
      </c>
      <c r="D191" s="2" t="str">
        <f>CleanedData!E191</f>
        <v>Madrid</v>
      </c>
      <c r="E191" s="2" t="str">
        <f>CleanedData!O191</f>
        <v>Madrid</v>
      </c>
      <c r="F191" s="2" t="str">
        <f>CleanedData!M191</f>
        <v/>
      </c>
      <c r="G191" s="2" t="str">
        <f>CleanedData!B191</f>
        <v>95041</v>
      </c>
      <c r="H191" s="2" t="str">
        <f>CleanedData!C191</f>
        <v>+78-983917789</v>
      </c>
      <c r="I191" s="2" t="str">
        <f>CleanedData!G191</f>
        <v>Inactive</v>
      </c>
      <c r="J191" s="14">
        <f>CleanedData!H191</f>
        <v>45919</v>
      </c>
      <c r="K191" s="2" t="str">
        <f t="shared" si="17"/>
        <v>MISSING</v>
      </c>
      <c r="L191" s="2" t="str">
        <f t="shared" si="18"/>
        <v>OK</v>
      </c>
      <c r="M191" s="2" t="str">
        <f t="shared" si="19"/>
        <v>OK</v>
      </c>
      <c r="N191" s="2" t="str">
        <f t="shared" si="20"/>
        <v>MATCH</v>
      </c>
      <c r="O191" s="2" t="str">
        <f t="shared" si="21"/>
        <v>ERROR</v>
      </c>
      <c r="P191" s="2">
        <f t="shared" si="22"/>
        <v>1</v>
      </c>
      <c r="Q191" s="2" t="str">
        <f t="shared" si="23"/>
        <v>2025-09</v>
      </c>
      <c r="R191" s="3" t="s">
        <v>23</v>
      </c>
      <c r="S191" s="2">
        <f>IF(tblChecks[[#This Row],[AnyError]]="ERROR",1,0)</f>
        <v>1</v>
      </c>
      <c r="T191" s="2">
        <f>IF(tblChecks[[#This Row],[MissingStreet]]="MISSING",1,0)</f>
        <v>1</v>
      </c>
      <c r="U191" t="str">
        <f t="shared" si="16"/>
        <v>MissingStreet</v>
      </c>
    </row>
    <row r="192" spans="1:21" x14ac:dyDescent="0.3">
      <c r="A192" s="1" t="str">
        <f>CleanedData!F192</f>
        <v>PROP00191</v>
      </c>
      <c r="B192" s="2" t="str">
        <f>CleanedData!A192</f>
        <v>Leslie Summit 92, Germany, Frankfurt</v>
      </c>
      <c r="C192" s="2" t="str">
        <f>CleanedData!D192</f>
        <v>Germany</v>
      </c>
      <c r="D192" s="2" t="str">
        <f>CleanedData!E192</f>
        <v>Frankfurt</v>
      </c>
      <c r="E192" s="2" t="str">
        <f>CleanedData!O192</f>
        <v>Frankfurt</v>
      </c>
      <c r="F192" s="2" t="str">
        <f>CleanedData!M192</f>
        <v>Leslie Summit 92</v>
      </c>
      <c r="G192" s="2" t="str">
        <f>CleanedData!B192</f>
        <v>70737</v>
      </c>
      <c r="H192" s="2" t="str">
        <f>CleanedData!C192</f>
        <v>+75-307546814</v>
      </c>
      <c r="I192" s="2" t="str">
        <f>CleanedData!G192</f>
        <v>Inactive</v>
      </c>
      <c r="J192" s="14">
        <f>CleanedData!H192</f>
        <v>45911</v>
      </c>
      <c r="K192" s="2" t="str">
        <f t="shared" si="17"/>
        <v>OK</v>
      </c>
      <c r="L192" s="2" t="str">
        <f t="shared" si="18"/>
        <v>OK</v>
      </c>
      <c r="M192" s="2" t="str">
        <f t="shared" si="19"/>
        <v>OK</v>
      </c>
      <c r="N192" s="2" t="str">
        <f t="shared" si="20"/>
        <v>MATCH</v>
      </c>
      <c r="O192" s="2" t="str">
        <f t="shared" si="21"/>
        <v>OK</v>
      </c>
      <c r="P192" s="2">
        <f t="shared" si="22"/>
        <v>0</v>
      </c>
      <c r="Q192" s="2" t="str">
        <f t="shared" si="23"/>
        <v>2025-09</v>
      </c>
      <c r="R192" s="3" t="s">
        <v>23</v>
      </c>
      <c r="S192" s="2">
        <f>IF(tblChecks[[#This Row],[AnyError]]="ERROR",1,0)</f>
        <v>0</v>
      </c>
      <c r="T192" s="2">
        <f>IF(tblChecks[[#This Row],[MissingStreet]]="MISSING",1,0)</f>
        <v>0</v>
      </c>
      <c r="U192" t="str">
        <f t="shared" si="16"/>
        <v>OK</v>
      </c>
    </row>
    <row r="193" spans="1:21" x14ac:dyDescent="0.3">
      <c r="A193" s="1" t="str">
        <f>CleanedData!F193</f>
        <v>PROP00192</v>
      </c>
      <c r="B193" s="2" t="str">
        <f>CleanedData!A193</f>
        <v>James Streets 111, USA, Chicago</v>
      </c>
      <c r="C193" s="2" t="str">
        <f>CleanedData!D193</f>
        <v>USA</v>
      </c>
      <c r="D193" s="2" t="str">
        <f>CleanedData!E193</f>
        <v>Chicago</v>
      </c>
      <c r="E193" s="2" t="str">
        <f>CleanedData!O193</f>
        <v>Chicago</v>
      </c>
      <c r="F193" s="2" t="str">
        <f>CleanedData!M193</f>
        <v>James Streets 111</v>
      </c>
      <c r="G193" s="2" t="str">
        <f>CleanedData!B193</f>
        <v>63965</v>
      </c>
      <c r="H193" s="2" t="str">
        <f>CleanedData!C193</f>
        <v>+11-333534504</v>
      </c>
      <c r="I193" s="2" t="str">
        <f>CleanedData!G193</f>
        <v>Active</v>
      </c>
      <c r="J193" s="14">
        <f>CleanedData!H193</f>
        <v>45781</v>
      </c>
      <c r="K193" s="2" t="str">
        <f t="shared" si="17"/>
        <v>OK</v>
      </c>
      <c r="L193" s="2" t="str">
        <f t="shared" si="18"/>
        <v>OK</v>
      </c>
      <c r="M193" s="2" t="str">
        <f t="shared" si="19"/>
        <v>OK</v>
      </c>
      <c r="N193" s="2" t="str">
        <f t="shared" si="20"/>
        <v>MATCH</v>
      </c>
      <c r="O193" s="2" t="str">
        <f t="shared" si="21"/>
        <v>OK</v>
      </c>
      <c r="P193" s="2">
        <f t="shared" si="22"/>
        <v>0</v>
      </c>
      <c r="Q193" s="2" t="str">
        <f t="shared" si="23"/>
        <v>2025-05</v>
      </c>
      <c r="R193" s="3" t="s">
        <v>23</v>
      </c>
      <c r="S193" s="2">
        <f>IF(tblChecks[[#This Row],[AnyError]]="ERROR",1,0)</f>
        <v>0</v>
      </c>
      <c r="T193" s="2">
        <f>IF(tblChecks[[#This Row],[MissingStreet]]="MISSING",1,0)</f>
        <v>0</v>
      </c>
      <c r="U193" t="str">
        <f t="shared" si="16"/>
        <v>OK</v>
      </c>
    </row>
    <row r="194" spans="1:21" x14ac:dyDescent="0.3">
      <c r="A194" s="1" t="str">
        <f>CleanedData!F194</f>
        <v>PROP00193</v>
      </c>
      <c r="B194" s="2" t="str">
        <f>CleanedData!A194</f>
        <v>Liverpool, Hardy Trace 182, UK</v>
      </c>
      <c r="C194" s="2" t="str">
        <f>CleanedData!D194</f>
        <v>UK</v>
      </c>
      <c r="D194" s="2" t="str">
        <f>CleanedData!E194</f>
        <v>Liverpool</v>
      </c>
      <c r="E194" s="2" t="str">
        <f>CleanedData!O194</f>
        <v>Liverpool</v>
      </c>
      <c r="F194" s="2" t="str">
        <f>CleanedData!M194</f>
        <v>Hardy Trace 182</v>
      </c>
      <c r="G194" s="2" t="str">
        <f>CleanedData!B194</f>
        <v>69266</v>
      </c>
      <c r="H194" s="2" t="str">
        <f>CleanedData!C194</f>
        <v>+30-508591017</v>
      </c>
      <c r="I194" s="2" t="str">
        <f>CleanedData!G194</f>
        <v>Inactive</v>
      </c>
      <c r="J194" s="14">
        <f>CleanedData!H194</f>
        <v>45609</v>
      </c>
      <c r="K194" s="2" t="str">
        <f t="shared" si="17"/>
        <v>OK</v>
      </c>
      <c r="L194" s="2" t="str">
        <f t="shared" si="18"/>
        <v>OK</v>
      </c>
      <c r="M194" s="2" t="str">
        <f t="shared" si="19"/>
        <v>OK</v>
      </c>
      <c r="N194" s="2" t="str">
        <f t="shared" si="20"/>
        <v>MATCH</v>
      </c>
      <c r="O194" s="2" t="str">
        <f t="shared" si="21"/>
        <v>OK</v>
      </c>
      <c r="P194" s="2">
        <f t="shared" si="22"/>
        <v>0</v>
      </c>
      <c r="Q194" s="2" t="str">
        <f t="shared" si="23"/>
        <v>2024-11</v>
      </c>
      <c r="R194" s="3" t="s">
        <v>23</v>
      </c>
      <c r="S194" s="2">
        <f>IF(tblChecks[[#This Row],[AnyError]]="ERROR",1,0)</f>
        <v>0</v>
      </c>
      <c r="T194" s="2">
        <f>IF(tblChecks[[#This Row],[MissingStreet]]="MISSING",1,0)</f>
        <v>0</v>
      </c>
      <c r="U194" t="str">
        <f t="shared" ref="U194:U257" si="24">IF(K194="MISSING","MissingStreet",
IF(L194="INVALID","PostalCode_INVALID",
IF(M194="INVALID","Phone_INVALID","OK")))</f>
        <v>OK</v>
      </c>
    </row>
    <row r="195" spans="1:21" x14ac:dyDescent="0.3">
      <c r="A195" s="1" t="str">
        <f>CleanedData!F195</f>
        <v>PROP00194</v>
      </c>
      <c r="B195" s="2" t="str">
        <f>CleanedData!A195</f>
        <v>USAChicago</v>
      </c>
      <c r="C195" s="2" t="str">
        <f>CleanedData!D195</f>
        <v>USA</v>
      </c>
      <c r="D195" s="2" t="str">
        <f>CleanedData!E195</f>
        <v>Chicago</v>
      </c>
      <c r="E195" s="2" t="str">
        <f>CleanedData!O195</f>
        <v>Chicago</v>
      </c>
      <c r="F195" s="2" t="str">
        <f>CleanedData!M195</f>
        <v/>
      </c>
      <c r="G195" s="2" t="str">
        <f>CleanedData!B195</f>
        <v>25944</v>
      </c>
      <c r="H195" s="2" t="str">
        <f>CleanedData!C195</f>
        <v>+10-315980498</v>
      </c>
      <c r="I195" s="2" t="str">
        <f>CleanedData!G195</f>
        <v>Inactive</v>
      </c>
      <c r="J195" s="14">
        <f>CleanedData!H195</f>
        <v>45411</v>
      </c>
      <c r="K195" s="2" t="str">
        <f t="shared" ref="K195:K258" si="25">IF(TRIM(F195)="","MISSING","OK")</f>
        <v>MISSING</v>
      </c>
      <c r="L195" s="2" t="str">
        <f t="shared" ref="L195:L258" si="26">IF(LEN(TRIM(G195))&lt;3,"INVALID","OK")</f>
        <v>OK</v>
      </c>
      <c r="M195" s="2" t="str">
        <f t="shared" ref="M195:M258" si="27">IF(LEN(SUBSTITUTE(SUBSTITUTE(H195," ",""),"-",""))&gt;=7,"OK","INVALID")</f>
        <v>OK</v>
      </c>
      <c r="N195" s="2" t="str">
        <f t="shared" ref="N195:N258" si="28">IF(E195="","NO_EXTRACT",
 IF(LOWER(TRIM(E195))=LOWER(TRIM(D195)),"MATCH","CHECK"))</f>
        <v>MATCH</v>
      </c>
      <c r="O195" s="2" t="str">
        <f t="shared" ref="O195:O258" si="29">IF(OR(K195="MISSING",L195="INVALID",M195="INVALID"),"ERROR","OK")</f>
        <v>ERROR</v>
      </c>
      <c r="P195" s="2">
        <f t="shared" ref="P195:P258" si="30">(K195="MISSING")*1 + (L195="INVALID")*1 + (M195="INVALID")*1</f>
        <v>1</v>
      </c>
      <c r="Q195" s="2" t="str">
        <f t="shared" ref="Q195:Q258" si="31">YEAR(J195) &amp; "-" &amp; TEXT(MONTH(J195),"00")</f>
        <v>2024-04</v>
      </c>
      <c r="R195" s="3" t="s">
        <v>33</v>
      </c>
      <c r="S195" s="2">
        <f>IF(tblChecks[[#This Row],[AnyError]]="ERROR",1,0)</f>
        <v>1</v>
      </c>
      <c r="T195" s="2">
        <f>IF(tblChecks[[#This Row],[MissingStreet]]="MISSING",1,0)</f>
        <v>1</v>
      </c>
      <c r="U195" t="str">
        <f t="shared" si="24"/>
        <v>MissingStreet</v>
      </c>
    </row>
    <row r="196" spans="1:21" x14ac:dyDescent="0.3">
      <c r="A196" s="1" t="str">
        <f>CleanedData!F196</f>
        <v>PROP00195</v>
      </c>
      <c r="B196" s="2" t="str">
        <f>CleanedData!A196</f>
        <v>Perez Fall 169, Sapporo</v>
      </c>
      <c r="C196" s="2" t="str">
        <f>CleanedData!D196</f>
        <v>Japan</v>
      </c>
      <c r="D196" s="2" t="str">
        <f>CleanedData!E196</f>
        <v>Sapporo</v>
      </c>
      <c r="E196" s="2" t="str">
        <f>CleanedData!O196</f>
        <v>Sapporo</v>
      </c>
      <c r="F196" s="2" t="str">
        <f>CleanedData!M196</f>
        <v>Perez Fall 169</v>
      </c>
      <c r="G196" s="2" t="str">
        <f>CleanedData!B196</f>
        <v>40119</v>
      </c>
      <c r="H196" s="2" t="str">
        <f>CleanedData!C196</f>
        <v>+54-402449788</v>
      </c>
      <c r="I196" s="2" t="str">
        <f>CleanedData!G196</f>
        <v>Inactive</v>
      </c>
      <c r="J196" s="14">
        <f>CleanedData!H196</f>
        <v>45028</v>
      </c>
      <c r="K196" s="2" t="str">
        <f t="shared" si="25"/>
        <v>OK</v>
      </c>
      <c r="L196" s="2" t="str">
        <f t="shared" si="26"/>
        <v>OK</v>
      </c>
      <c r="M196" s="2" t="str">
        <f t="shared" si="27"/>
        <v>OK</v>
      </c>
      <c r="N196" s="2" t="str">
        <f t="shared" si="28"/>
        <v>MATCH</v>
      </c>
      <c r="O196" s="2" t="str">
        <f t="shared" si="29"/>
        <v>OK</v>
      </c>
      <c r="P196" s="2">
        <f t="shared" si="30"/>
        <v>0</v>
      </c>
      <c r="Q196" s="2" t="str">
        <f t="shared" si="31"/>
        <v>2023-04</v>
      </c>
      <c r="R196" s="3" t="s">
        <v>33</v>
      </c>
      <c r="S196" s="2">
        <f>IF(tblChecks[[#This Row],[AnyError]]="ERROR",1,0)</f>
        <v>0</v>
      </c>
      <c r="T196" s="2">
        <f>IF(tblChecks[[#This Row],[MissingStreet]]="MISSING",1,0)</f>
        <v>0</v>
      </c>
      <c r="U196" t="str">
        <f t="shared" si="24"/>
        <v>OK</v>
      </c>
    </row>
    <row r="197" spans="1:21" x14ac:dyDescent="0.3">
      <c r="A197" s="1" t="str">
        <f>CleanedData!F197</f>
        <v>PROP00196</v>
      </c>
      <c r="B197" s="2" t="str">
        <f>CleanedData!A197</f>
        <v>GermanyHamburg, Germany</v>
      </c>
      <c r="C197" s="2" t="str">
        <f>CleanedData!D197</f>
        <v>Germany</v>
      </c>
      <c r="D197" s="2" t="str">
        <f>CleanedData!E197</f>
        <v>Hamburg</v>
      </c>
      <c r="E197" s="2" t="str">
        <f>CleanedData!O197</f>
        <v>Hamburg</v>
      </c>
      <c r="F197" s="2" t="str">
        <f>CleanedData!M197</f>
        <v>Germany</v>
      </c>
      <c r="G197" s="2" t="str">
        <f>CleanedData!B197</f>
        <v>36455</v>
      </c>
      <c r="H197" s="2" t="str">
        <f>CleanedData!C197</f>
        <v>+41-770111148</v>
      </c>
      <c r="I197" s="2" t="str">
        <f>CleanedData!G197</f>
        <v>Active</v>
      </c>
      <c r="J197" s="14">
        <f>CleanedData!H197</f>
        <v>45472</v>
      </c>
      <c r="K197" s="2" t="str">
        <f t="shared" si="25"/>
        <v>OK</v>
      </c>
      <c r="L197" s="2" t="str">
        <f t="shared" si="26"/>
        <v>OK</v>
      </c>
      <c r="M197" s="2" t="str">
        <f t="shared" si="27"/>
        <v>OK</v>
      </c>
      <c r="N197" s="2" t="str">
        <f t="shared" si="28"/>
        <v>MATCH</v>
      </c>
      <c r="O197" s="2" t="str">
        <f t="shared" si="29"/>
        <v>OK</v>
      </c>
      <c r="P197" s="2">
        <f t="shared" si="30"/>
        <v>0</v>
      </c>
      <c r="Q197" s="2" t="str">
        <f t="shared" si="31"/>
        <v>2024-06</v>
      </c>
      <c r="R197" s="3" t="s">
        <v>33</v>
      </c>
      <c r="S197" s="2">
        <f>IF(tblChecks[[#This Row],[AnyError]]="ERROR",1,0)</f>
        <v>0</v>
      </c>
      <c r="T197" s="2">
        <f>IF(tblChecks[[#This Row],[MissingStreet]]="MISSING",1,0)</f>
        <v>0</v>
      </c>
      <c r="U197" t="str">
        <f t="shared" si="24"/>
        <v>OK</v>
      </c>
    </row>
    <row r="198" spans="1:21" x14ac:dyDescent="0.3">
      <c r="A198" s="1" t="str">
        <f>CleanedData!F198</f>
        <v>PROP00197</v>
      </c>
      <c r="B198" s="2" t="str">
        <f>CleanedData!A198</f>
        <v>MadridTerri Plaza90, Spain</v>
      </c>
      <c r="C198" s="2" t="str">
        <f>CleanedData!D198</f>
        <v>Spain</v>
      </c>
      <c r="D198" s="2" t="str">
        <f>CleanedData!E198</f>
        <v>Madrid</v>
      </c>
      <c r="E198" s="2" t="str">
        <f>CleanedData!O198</f>
        <v>Madrid</v>
      </c>
      <c r="F198" s="2" t="str">
        <f>CleanedData!M198</f>
        <v>MadridTerri Plaza90</v>
      </c>
      <c r="G198" s="2" t="str">
        <f>CleanedData!B198</f>
        <v>38791</v>
      </c>
      <c r="H198" s="2" t="str">
        <f>CleanedData!C198</f>
        <v>+93-742367161</v>
      </c>
      <c r="I198" s="2" t="str">
        <f>CleanedData!G198</f>
        <v>Inactive</v>
      </c>
      <c r="J198" s="14">
        <f>CleanedData!H198</f>
        <v>45720</v>
      </c>
      <c r="K198" s="2" t="str">
        <f t="shared" si="25"/>
        <v>OK</v>
      </c>
      <c r="L198" s="2" t="str">
        <f t="shared" si="26"/>
        <v>OK</v>
      </c>
      <c r="M198" s="2" t="str">
        <f t="shared" si="27"/>
        <v>OK</v>
      </c>
      <c r="N198" s="2" t="str">
        <f t="shared" si="28"/>
        <v>MATCH</v>
      </c>
      <c r="O198" s="2" t="str">
        <f t="shared" si="29"/>
        <v>OK</v>
      </c>
      <c r="P198" s="2">
        <f t="shared" si="30"/>
        <v>0</v>
      </c>
      <c r="Q198" s="2" t="str">
        <f t="shared" si="31"/>
        <v>2025-03</v>
      </c>
      <c r="R198" s="3" t="s">
        <v>54</v>
      </c>
      <c r="S198" s="2">
        <f>IF(tblChecks[[#This Row],[AnyError]]="ERROR",1,0)</f>
        <v>0</v>
      </c>
      <c r="T198" s="2">
        <f>IF(tblChecks[[#This Row],[MissingStreet]]="MISSING",1,0)</f>
        <v>0</v>
      </c>
      <c r="U198" t="str">
        <f t="shared" si="24"/>
        <v>OK</v>
      </c>
    </row>
    <row r="199" spans="1:21" x14ac:dyDescent="0.3">
      <c r="A199" s="1" t="str">
        <f>CleanedData!F199</f>
        <v>PROP00198</v>
      </c>
      <c r="B199" s="2" t="str">
        <f>CleanedData!A199</f>
        <v>Dana Terrace 273, Brazil, São Paulo</v>
      </c>
      <c r="C199" s="2" t="str">
        <f>CleanedData!D199</f>
        <v>Brazil</v>
      </c>
      <c r="D199" s="2" t="str">
        <f>CleanedData!E199</f>
        <v>São Paulo</v>
      </c>
      <c r="E199" s="2" t="str">
        <f>CleanedData!O199</f>
        <v>São Paulo</v>
      </c>
      <c r="F199" s="2" t="str">
        <f>CleanedData!M199</f>
        <v>Dana Terrace 273</v>
      </c>
      <c r="G199" s="2" t="str">
        <f>CleanedData!B199</f>
        <v>64841</v>
      </c>
      <c r="H199" s="2" t="str">
        <f>CleanedData!C199</f>
        <v>+63-155696492</v>
      </c>
      <c r="I199" s="2" t="str">
        <f>CleanedData!G199</f>
        <v>Active</v>
      </c>
      <c r="J199" s="14">
        <f>CleanedData!H199</f>
        <v>45009</v>
      </c>
      <c r="K199" s="2" t="str">
        <f t="shared" si="25"/>
        <v>OK</v>
      </c>
      <c r="L199" s="2" t="str">
        <f t="shared" si="26"/>
        <v>OK</v>
      </c>
      <c r="M199" s="2" t="str">
        <f t="shared" si="27"/>
        <v>OK</v>
      </c>
      <c r="N199" s="2" t="str">
        <f t="shared" si="28"/>
        <v>MATCH</v>
      </c>
      <c r="O199" s="2" t="str">
        <f t="shared" si="29"/>
        <v>OK</v>
      </c>
      <c r="P199" s="2">
        <f t="shared" si="30"/>
        <v>0</v>
      </c>
      <c r="Q199" s="2" t="str">
        <f t="shared" si="31"/>
        <v>2023-03</v>
      </c>
      <c r="R199" s="3" t="s">
        <v>16</v>
      </c>
      <c r="S199" s="2">
        <f>IF(tblChecks[[#This Row],[AnyError]]="ERROR",1,0)</f>
        <v>0</v>
      </c>
      <c r="T199" s="2">
        <f>IF(tblChecks[[#This Row],[MissingStreet]]="MISSING",1,0)</f>
        <v>0</v>
      </c>
      <c r="U199" t="str">
        <f t="shared" si="24"/>
        <v>OK</v>
      </c>
    </row>
    <row r="200" spans="1:21" x14ac:dyDescent="0.3">
      <c r="A200" s="1" t="str">
        <f>CleanedData!F200</f>
        <v>PROP00199</v>
      </c>
      <c r="B200" s="2" t="str">
        <f>CleanedData!A200</f>
        <v>Germany, Frankfurt, Monique Ports 111</v>
      </c>
      <c r="C200" s="2" t="str">
        <f>CleanedData!D200</f>
        <v>Germany</v>
      </c>
      <c r="D200" s="2" t="str">
        <f>CleanedData!E200</f>
        <v>Frankfurt</v>
      </c>
      <c r="E200" s="2" t="str">
        <f>CleanedData!O200</f>
        <v>Frankfurt</v>
      </c>
      <c r="F200" s="2" t="str">
        <f>CleanedData!M200</f>
        <v>Monique Ports 111</v>
      </c>
      <c r="G200" s="2" t="str">
        <f>CleanedData!B200</f>
        <v>37769</v>
      </c>
      <c r="H200" s="2" t="str">
        <f>CleanedData!C200</f>
        <v>+61-923091053</v>
      </c>
      <c r="I200" s="2" t="str">
        <f>CleanedData!G200</f>
        <v>Inactive</v>
      </c>
      <c r="J200" s="14">
        <f>CleanedData!H200</f>
        <v>45259</v>
      </c>
      <c r="K200" s="2" t="str">
        <f t="shared" si="25"/>
        <v>OK</v>
      </c>
      <c r="L200" s="2" t="str">
        <f t="shared" si="26"/>
        <v>OK</v>
      </c>
      <c r="M200" s="2" t="str">
        <f t="shared" si="27"/>
        <v>OK</v>
      </c>
      <c r="N200" s="2" t="str">
        <f t="shared" si="28"/>
        <v>MATCH</v>
      </c>
      <c r="O200" s="2" t="str">
        <f t="shared" si="29"/>
        <v>OK</v>
      </c>
      <c r="P200" s="2">
        <f t="shared" si="30"/>
        <v>0</v>
      </c>
      <c r="Q200" s="2" t="str">
        <f t="shared" si="31"/>
        <v>2023-11</v>
      </c>
      <c r="R200" s="3" t="s">
        <v>33</v>
      </c>
      <c r="S200" s="2">
        <f>IF(tblChecks[[#This Row],[AnyError]]="ERROR",1,0)</f>
        <v>0</v>
      </c>
      <c r="T200" s="2">
        <f>IF(tblChecks[[#This Row],[MissingStreet]]="MISSING",1,0)</f>
        <v>0</v>
      </c>
      <c r="U200" t="str">
        <f t="shared" si="24"/>
        <v>OK</v>
      </c>
    </row>
    <row r="201" spans="1:21" x14ac:dyDescent="0.3">
      <c r="A201" s="1" t="str">
        <f>CleanedData!F201</f>
        <v>PROP00200</v>
      </c>
      <c r="B201" s="2" t="str">
        <f>CleanedData!A201</f>
        <v>Mendoza Junctions 69, Brazil, Brasília</v>
      </c>
      <c r="C201" s="2" t="str">
        <f>CleanedData!D201</f>
        <v>Brazil</v>
      </c>
      <c r="D201" s="2" t="str">
        <f>CleanedData!E201</f>
        <v>Brasília</v>
      </c>
      <c r="E201" s="2" t="str">
        <f>CleanedData!O201</f>
        <v>Brasília</v>
      </c>
      <c r="F201" s="2" t="str">
        <f>CleanedData!M201</f>
        <v>Mendoza Junctions 69</v>
      </c>
      <c r="G201" s="2" t="str">
        <f>CleanedData!B201</f>
        <v>24665</v>
      </c>
      <c r="H201" s="2" t="str">
        <f>CleanedData!C201</f>
        <v>+4-194222250</v>
      </c>
      <c r="I201" s="2" t="str">
        <f>CleanedData!G201</f>
        <v>Inactive</v>
      </c>
      <c r="J201" s="14">
        <f>CleanedData!H201</f>
        <v>45912</v>
      </c>
      <c r="K201" s="2" t="str">
        <f t="shared" si="25"/>
        <v>OK</v>
      </c>
      <c r="L201" s="2" t="str">
        <f t="shared" si="26"/>
        <v>OK</v>
      </c>
      <c r="M201" s="2" t="str">
        <f t="shared" si="27"/>
        <v>OK</v>
      </c>
      <c r="N201" s="2" t="str">
        <f t="shared" si="28"/>
        <v>MATCH</v>
      </c>
      <c r="O201" s="2" t="str">
        <f t="shared" si="29"/>
        <v>OK</v>
      </c>
      <c r="P201" s="2">
        <f t="shared" si="30"/>
        <v>0</v>
      </c>
      <c r="Q201" s="2" t="str">
        <f t="shared" si="31"/>
        <v>2025-09</v>
      </c>
      <c r="R201" s="3" t="s">
        <v>33</v>
      </c>
      <c r="S201" s="2">
        <f>IF(tblChecks[[#This Row],[AnyError]]="ERROR",1,0)</f>
        <v>0</v>
      </c>
      <c r="T201" s="2">
        <f>IF(tblChecks[[#This Row],[MissingStreet]]="MISSING",1,0)</f>
        <v>0</v>
      </c>
      <c r="U201" t="str">
        <f t="shared" si="24"/>
        <v>OK</v>
      </c>
    </row>
    <row r="202" spans="1:21" x14ac:dyDescent="0.3">
      <c r="A202" s="1" t="str">
        <f>CleanedData!F202</f>
        <v>PROP00201</v>
      </c>
      <c r="B202" s="2" t="str">
        <f>CleanedData!A202</f>
        <v>Johnny Wall 185, Bilbao</v>
      </c>
      <c r="C202" s="2" t="str">
        <f>CleanedData!D202</f>
        <v>Spain</v>
      </c>
      <c r="D202" s="2" t="str">
        <f>CleanedData!E202</f>
        <v>Bilbao</v>
      </c>
      <c r="E202" s="2" t="str">
        <f>CleanedData!O202</f>
        <v>Bilbao</v>
      </c>
      <c r="F202" s="2" t="str">
        <f>CleanedData!M202</f>
        <v>Johnny Wall 185</v>
      </c>
      <c r="G202" s="2" t="str">
        <f>CleanedData!B202</f>
        <v>63117</v>
      </c>
      <c r="H202" s="2" t="str">
        <f>CleanedData!C202</f>
        <v>+74-951657689</v>
      </c>
      <c r="I202" s="2" t="str">
        <f>CleanedData!G202</f>
        <v>Active</v>
      </c>
      <c r="J202" s="14">
        <f>CleanedData!H202</f>
        <v>45221</v>
      </c>
      <c r="K202" s="2" t="str">
        <f t="shared" si="25"/>
        <v>OK</v>
      </c>
      <c r="L202" s="2" t="str">
        <f t="shared" si="26"/>
        <v>OK</v>
      </c>
      <c r="M202" s="2" t="str">
        <f t="shared" si="27"/>
        <v>OK</v>
      </c>
      <c r="N202" s="2" t="str">
        <f t="shared" si="28"/>
        <v>MATCH</v>
      </c>
      <c r="O202" s="2" t="str">
        <f t="shared" si="29"/>
        <v>OK</v>
      </c>
      <c r="P202" s="2">
        <f t="shared" si="30"/>
        <v>0</v>
      </c>
      <c r="Q202" s="2" t="str">
        <f t="shared" si="31"/>
        <v>2023-10</v>
      </c>
      <c r="R202" s="3" t="s">
        <v>23</v>
      </c>
      <c r="S202" s="2">
        <f>IF(tblChecks[[#This Row],[AnyError]]="ERROR",1,0)</f>
        <v>0</v>
      </c>
      <c r="T202" s="2">
        <f>IF(tblChecks[[#This Row],[MissingStreet]]="MISSING",1,0)</f>
        <v>0</v>
      </c>
      <c r="U202" t="str">
        <f t="shared" si="24"/>
        <v>OK</v>
      </c>
    </row>
    <row r="203" spans="1:21" x14ac:dyDescent="0.3">
      <c r="A203" s="1" t="str">
        <f>CleanedData!F203</f>
        <v>PROP00202</v>
      </c>
      <c r="B203" s="2" t="str">
        <f>CleanedData!A203</f>
        <v>Fortaleza, Lynn Locks 218, Brazil</v>
      </c>
      <c r="C203" s="2" t="str">
        <f>CleanedData!D203</f>
        <v>Brazil</v>
      </c>
      <c r="D203" s="2" t="str">
        <f>CleanedData!E203</f>
        <v>Fortaleza</v>
      </c>
      <c r="E203" s="2" t="str">
        <f>CleanedData!O203</f>
        <v>Fortaleza</v>
      </c>
      <c r="F203" s="2" t="str">
        <f>CleanedData!M203</f>
        <v>Lynn Locks 218</v>
      </c>
      <c r="G203" s="2" t="str">
        <f>CleanedData!B203</f>
        <v>64955</v>
      </c>
      <c r="H203" s="2" t="str">
        <f>CleanedData!C203</f>
        <v>+89-684573706</v>
      </c>
      <c r="I203" s="2" t="str">
        <f>CleanedData!G203</f>
        <v>Active</v>
      </c>
      <c r="J203" s="14">
        <f>CleanedData!H203</f>
        <v>45416</v>
      </c>
      <c r="K203" s="2" t="str">
        <f t="shared" si="25"/>
        <v>OK</v>
      </c>
      <c r="L203" s="2" t="str">
        <f t="shared" si="26"/>
        <v>OK</v>
      </c>
      <c r="M203" s="2" t="str">
        <f t="shared" si="27"/>
        <v>OK</v>
      </c>
      <c r="N203" s="2" t="str">
        <f t="shared" si="28"/>
        <v>MATCH</v>
      </c>
      <c r="O203" s="2" t="str">
        <f t="shared" si="29"/>
        <v>OK</v>
      </c>
      <c r="P203" s="2">
        <f t="shared" si="30"/>
        <v>0</v>
      </c>
      <c r="Q203" s="2" t="str">
        <f t="shared" si="31"/>
        <v>2024-05</v>
      </c>
      <c r="R203" s="3" t="s">
        <v>54</v>
      </c>
      <c r="S203" s="2">
        <f>IF(tblChecks[[#This Row],[AnyError]]="ERROR",1,0)</f>
        <v>0</v>
      </c>
      <c r="T203" s="2">
        <f>IF(tblChecks[[#This Row],[MissingStreet]]="MISSING",1,0)</f>
        <v>0</v>
      </c>
      <c r="U203" t="str">
        <f t="shared" si="24"/>
        <v>OK</v>
      </c>
    </row>
    <row r="204" spans="1:21" x14ac:dyDescent="0.3">
      <c r="A204" s="1" t="str">
        <f>CleanedData!F204</f>
        <v>PROP00203</v>
      </c>
      <c r="B204" s="2" t="str">
        <f>CleanedData!A204</f>
        <v>Brazil, Salvador</v>
      </c>
      <c r="C204" s="2" t="str">
        <f>CleanedData!D204</f>
        <v>Brazil</v>
      </c>
      <c r="D204" s="2" t="str">
        <f>CleanedData!E204</f>
        <v>Salvador</v>
      </c>
      <c r="E204" s="2" t="str">
        <f>CleanedData!O204</f>
        <v>Salvador</v>
      </c>
      <c r="F204" s="2" t="str">
        <f>CleanedData!M204</f>
        <v>Salvador</v>
      </c>
      <c r="G204" s="2" t="str">
        <f>CleanedData!B204</f>
        <v>7527</v>
      </c>
      <c r="H204" s="2" t="str">
        <f>CleanedData!C204</f>
        <v>+61-956453505</v>
      </c>
      <c r="I204" s="2" t="str">
        <f>CleanedData!G204</f>
        <v>Inactive</v>
      </c>
      <c r="J204" s="14">
        <f>CleanedData!H204</f>
        <v>45500</v>
      </c>
      <c r="K204" s="2" t="str">
        <f t="shared" si="25"/>
        <v>OK</v>
      </c>
      <c r="L204" s="2" t="str">
        <f t="shared" si="26"/>
        <v>OK</v>
      </c>
      <c r="M204" s="2" t="str">
        <f t="shared" si="27"/>
        <v>OK</v>
      </c>
      <c r="N204" s="2" t="str">
        <f t="shared" si="28"/>
        <v>MATCH</v>
      </c>
      <c r="O204" s="2" t="str">
        <f t="shared" si="29"/>
        <v>OK</v>
      </c>
      <c r="P204" s="2">
        <f t="shared" si="30"/>
        <v>0</v>
      </c>
      <c r="Q204" s="2" t="str">
        <f t="shared" si="31"/>
        <v>2024-07</v>
      </c>
      <c r="R204" s="3" t="s">
        <v>54</v>
      </c>
      <c r="S204" s="2">
        <f>IF(tblChecks[[#This Row],[AnyError]]="ERROR",1,0)</f>
        <v>0</v>
      </c>
      <c r="T204" s="2">
        <f>IF(tblChecks[[#This Row],[MissingStreet]]="MISSING",1,0)</f>
        <v>0</v>
      </c>
      <c r="U204" t="str">
        <f t="shared" si="24"/>
        <v>OK</v>
      </c>
    </row>
    <row r="205" spans="1:21" x14ac:dyDescent="0.3">
      <c r="A205" s="1" t="str">
        <f>CleanedData!F205</f>
        <v>PROP00204</v>
      </c>
      <c r="B205" s="2" t="str">
        <f>CleanedData!A205</f>
        <v>Edward Port216, Tokyo, Japan</v>
      </c>
      <c r="C205" s="2" t="str">
        <f>CleanedData!D205</f>
        <v>Japan</v>
      </c>
      <c r="D205" s="2" t="str">
        <f>CleanedData!E205</f>
        <v>Tokyo</v>
      </c>
      <c r="E205" s="2" t="str">
        <f>CleanedData!O205</f>
        <v>Tokyo</v>
      </c>
      <c r="F205" s="2" t="str">
        <f>CleanedData!M205</f>
        <v>Edward Port216</v>
      </c>
      <c r="G205" s="2" t="str">
        <f>CleanedData!B205</f>
        <v>40325</v>
      </c>
      <c r="H205" s="2" t="str">
        <f>CleanedData!C205</f>
        <v>+99-521068019</v>
      </c>
      <c r="I205" s="2" t="str">
        <f>CleanedData!G205</f>
        <v>Active</v>
      </c>
      <c r="J205" s="14">
        <f>CleanedData!H205</f>
        <v>45233</v>
      </c>
      <c r="K205" s="2" t="str">
        <f t="shared" si="25"/>
        <v>OK</v>
      </c>
      <c r="L205" s="2" t="str">
        <f t="shared" si="26"/>
        <v>OK</v>
      </c>
      <c r="M205" s="2" t="str">
        <f t="shared" si="27"/>
        <v>OK</v>
      </c>
      <c r="N205" s="2" t="str">
        <f t="shared" si="28"/>
        <v>MATCH</v>
      </c>
      <c r="O205" s="2" t="str">
        <f t="shared" si="29"/>
        <v>OK</v>
      </c>
      <c r="P205" s="2">
        <f t="shared" si="30"/>
        <v>0</v>
      </c>
      <c r="Q205" s="2" t="str">
        <f t="shared" si="31"/>
        <v>2023-11</v>
      </c>
      <c r="R205" s="3" t="s">
        <v>54</v>
      </c>
      <c r="S205" s="2">
        <f>IF(tblChecks[[#This Row],[AnyError]]="ERROR",1,0)</f>
        <v>0</v>
      </c>
      <c r="T205" s="2">
        <f>IF(tblChecks[[#This Row],[MissingStreet]]="MISSING",1,0)</f>
        <v>0</v>
      </c>
      <c r="U205" t="str">
        <f t="shared" si="24"/>
        <v>OK</v>
      </c>
    </row>
    <row r="206" spans="1:21" x14ac:dyDescent="0.3">
      <c r="A206" s="1" t="str">
        <f>CleanedData!F206</f>
        <v>PROP00205</v>
      </c>
      <c r="B206" s="2" t="str">
        <f>CleanedData!A206</f>
        <v>AustraliaSydney</v>
      </c>
      <c r="C206" s="2" t="str">
        <f>CleanedData!D206</f>
        <v>Australia</v>
      </c>
      <c r="D206" s="2" t="str">
        <f>CleanedData!E206</f>
        <v>Sydney</v>
      </c>
      <c r="E206" s="2" t="str">
        <f>CleanedData!O206</f>
        <v>Sydney</v>
      </c>
      <c r="F206" s="2" t="str">
        <f>CleanedData!M206</f>
        <v/>
      </c>
      <c r="G206" s="2" t="str">
        <f>CleanedData!B206</f>
        <v>73648</v>
      </c>
      <c r="H206" s="2" t="str">
        <f>CleanedData!C206</f>
        <v>+87-951010049</v>
      </c>
      <c r="I206" s="2" t="str">
        <f>CleanedData!G206</f>
        <v>Inactive</v>
      </c>
      <c r="J206" s="14">
        <f>CleanedData!H206</f>
        <v>44894</v>
      </c>
      <c r="K206" s="2" t="str">
        <f t="shared" si="25"/>
        <v>MISSING</v>
      </c>
      <c r="L206" s="2" t="str">
        <f t="shared" si="26"/>
        <v>OK</v>
      </c>
      <c r="M206" s="2" t="str">
        <f t="shared" si="27"/>
        <v>OK</v>
      </c>
      <c r="N206" s="2" t="str">
        <f t="shared" si="28"/>
        <v>MATCH</v>
      </c>
      <c r="O206" s="2" t="str">
        <f t="shared" si="29"/>
        <v>ERROR</v>
      </c>
      <c r="P206" s="2">
        <f t="shared" si="30"/>
        <v>1</v>
      </c>
      <c r="Q206" s="2" t="str">
        <f t="shared" si="31"/>
        <v>2022-11</v>
      </c>
      <c r="R206" s="3" t="s">
        <v>33</v>
      </c>
      <c r="S206" s="2">
        <f>IF(tblChecks[[#This Row],[AnyError]]="ERROR",1,0)</f>
        <v>1</v>
      </c>
      <c r="T206" s="2">
        <f>IF(tblChecks[[#This Row],[MissingStreet]]="MISSING",1,0)</f>
        <v>1</v>
      </c>
      <c r="U206" t="str">
        <f t="shared" si="24"/>
        <v>MissingStreet</v>
      </c>
    </row>
    <row r="207" spans="1:21" x14ac:dyDescent="0.3">
      <c r="A207" s="1" t="str">
        <f>CleanedData!F207</f>
        <v>PROP00206</v>
      </c>
      <c r="B207" s="2" t="str">
        <f>CleanedData!A207</f>
        <v>Obrien Turnpike 263, Fortaleza</v>
      </c>
      <c r="C207" s="2" t="str">
        <f>CleanedData!D207</f>
        <v>Brazil</v>
      </c>
      <c r="D207" s="2" t="str">
        <f>CleanedData!E207</f>
        <v>Fortaleza</v>
      </c>
      <c r="E207" s="2" t="str">
        <f>CleanedData!O207</f>
        <v>Fortaleza</v>
      </c>
      <c r="F207" s="2" t="str">
        <f>CleanedData!M207</f>
        <v>Obrien Turnpike 263</v>
      </c>
      <c r="G207" s="2" t="str">
        <f>CleanedData!B207</f>
        <v>81558</v>
      </c>
      <c r="H207" s="2" t="str">
        <f>CleanedData!C207</f>
        <v>+17-859357224</v>
      </c>
      <c r="I207" s="2" t="str">
        <f>CleanedData!G207</f>
        <v>Active</v>
      </c>
      <c r="J207" s="14">
        <f>CleanedData!H207</f>
        <v>45735</v>
      </c>
      <c r="K207" s="2" t="str">
        <f t="shared" si="25"/>
        <v>OK</v>
      </c>
      <c r="L207" s="2" t="str">
        <f t="shared" si="26"/>
        <v>OK</v>
      </c>
      <c r="M207" s="2" t="str">
        <f t="shared" si="27"/>
        <v>OK</v>
      </c>
      <c r="N207" s="2" t="str">
        <f t="shared" si="28"/>
        <v>MATCH</v>
      </c>
      <c r="O207" s="2" t="str">
        <f t="shared" si="29"/>
        <v>OK</v>
      </c>
      <c r="P207" s="2">
        <f t="shared" si="30"/>
        <v>0</v>
      </c>
      <c r="Q207" s="2" t="str">
        <f t="shared" si="31"/>
        <v>2025-03</v>
      </c>
      <c r="R207" s="3" t="s">
        <v>54</v>
      </c>
      <c r="S207" s="2">
        <f>IF(tblChecks[[#This Row],[AnyError]]="ERROR",1,0)</f>
        <v>0</v>
      </c>
      <c r="T207" s="2">
        <f>IF(tblChecks[[#This Row],[MissingStreet]]="MISSING",1,0)</f>
        <v>0</v>
      </c>
      <c r="U207" t="str">
        <f t="shared" si="24"/>
        <v>OK</v>
      </c>
    </row>
    <row r="208" spans="1:21" x14ac:dyDescent="0.3">
      <c r="A208" s="1" t="str">
        <f>CleanedData!F208</f>
        <v>PROP00207</v>
      </c>
      <c r="B208" s="2" t="str">
        <f>CleanedData!A208</f>
        <v>FlorenceKimberly Light13, Italy</v>
      </c>
      <c r="C208" s="2" t="str">
        <f>CleanedData!D208</f>
        <v>Italy</v>
      </c>
      <c r="D208" s="2" t="str">
        <f>CleanedData!E208</f>
        <v>Florence</v>
      </c>
      <c r="E208" s="2" t="str">
        <f>CleanedData!O208</f>
        <v>Florence</v>
      </c>
      <c r="F208" s="2" t="str">
        <f>CleanedData!M208</f>
        <v>FlorenceKimberly Light13</v>
      </c>
      <c r="G208" s="2" t="str">
        <f>CleanedData!B208</f>
        <v>59550</v>
      </c>
      <c r="H208" s="2" t="str">
        <f>CleanedData!C208</f>
        <v>+86-477559104</v>
      </c>
      <c r="I208" s="2" t="str">
        <f>CleanedData!G208</f>
        <v>Active</v>
      </c>
      <c r="J208" s="14">
        <f>CleanedData!H208</f>
        <v>45094</v>
      </c>
      <c r="K208" s="2" t="str">
        <f t="shared" si="25"/>
        <v>OK</v>
      </c>
      <c r="L208" s="2" t="str">
        <f t="shared" si="26"/>
        <v>OK</v>
      </c>
      <c r="M208" s="2" t="str">
        <f t="shared" si="27"/>
        <v>OK</v>
      </c>
      <c r="N208" s="2" t="str">
        <f t="shared" si="28"/>
        <v>MATCH</v>
      </c>
      <c r="O208" s="2" t="str">
        <f t="shared" si="29"/>
        <v>OK</v>
      </c>
      <c r="P208" s="2">
        <f t="shared" si="30"/>
        <v>0</v>
      </c>
      <c r="Q208" s="2" t="str">
        <f t="shared" si="31"/>
        <v>2023-06</v>
      </c>
      <c r="R208" s="3" t="s">
        <v>16</v>
      </c>
      <c r="S208" s="2">
        <f>IF(tblChecks[[#This Row],[AnyError]]="ERROR",1,0)</f>
        <v>0</v>
      </c>
      <c r="T208" s="2">
        <f>IF(tblChecks[[#This Row],[MissingStreet]]="MISSING",1,0)</f>
        <v>0</v>
      </c>
      <c r="U208" t="str">
        <f t="shared" si="24"/>
        <v>OK</v>
      </c>
    </row>
    <row r="209" spans="1:21" x14ac:dyDescent="0.3">
      <c r="A209" s="1" t="str">
        <f>CleanedData!F209</f>
        <v>PROP00208</v>
      </c>
      <c r="B209" s="2" t="str">
        <f>CleanedData!A209</f>
        <v>Evans Radial 7, USA, Phoenix</v>
      </c>
      <c r="C209" s="2" t="str">
        <f>CleanedData!D209</f>
        <v>USA</v>
      </c>
      <c r="D209" s="2" t="str">
        <f>CleanedData!E209</f>
        <v>Phoenix</v>
      </c>
      <c r="E209" s="2" t="str">
        <f>CleanedData!O209</f>
        <v>Phoenix</v>
      </c>
      <c r="F209" s="2" t="str">
        <f>CleanedData!M209</f>
        <v>Evans Radial 7</v>
      </c>
      <c r="G209" s="2" t="str">
        <f>CleanedData!B209</f>
        <v>56708</v>
      </c>
      <c r="H209" s="2" t="str">
        <f>CleanedData!C209</f>
        <v>+66-200467411</v>
      </c>
      <c r="I209" s="2" t="str">
        <f>CleanedData!G209</f>
        <v>Active</v>
      </c>
      <c r="J209" s="14">
        <f>CleanedData!H209</f>
        <v>45050</v>
      </c>
      <c r="K209" s="2" t="str">
        <f t="shared" si="25"/>
        <v>OK</v>
      </c>
      <c r="L209" s="2" t="str">
        <f t="shared" si="26"/>
        <v>OK</v>
      </c>
      <c r="M209" s="2" t="str">
        <f t="shared" si="27"/>
        <v>OK</v>
      </c>
      <c r="N209" s="2" t="str">
        <f t="shared" si="28"/>
        <v>MATCH</v>
      </c>
      <c r="O209" s="2" t="str">
        <f t="shared" si="29"/>
        <v>OK</v>
      </c>
      <c r="P209" s="2">
        <f t="shared" si="30"/>
        <v>0</v>
      </c>
      <c r="Q209" s="2" t="str">
        <f t="shared" si="31"/>
        <v>2023-05</v>
      </c>
      <c r="R209" s="3" t="s">
        <v>23</v>
      </c>
      <c r="S209" s="2">
        <f>IF(tblChecks[[#This Row],[AnyError]]="ERROR",1,0)</f>
        <v>0</v>
      </c>
      <c r="T209" s="2">
        <f>IF(tblChecks[[#This Row],[MissingStreet]]="MISSING",1,0)</f>
        <v>0</v>
      </c>
      <c r="U209" t="str">
        <f t="shared" si="24"/>
        <v>OK</v>
      </c>
    </row>
    <row r="210" spans="1:21" x14ac:dyDescent="0.3">
      <c r="A210" s="1" t="str">
        <f>CleanedData!F210</f>
        <v>PROP00209</v>
      </c>
      <c r="B210" s="2" t="str">
        <f>CleanedData!A210</f>
        <v>Germany, Frankfurt</v>
      </c>
      <c r="C210" s="2" t="str">
        <f>CleanedData!D210</f>
        <v>Germany</v>
      </c>
      <c r="D210" s="2" t="str">
        <f>CleanedData!E210</f>
        <v>Frankfurt</v>
      </c>
      <c r="E210" s="2" t="str">
        <f>CleanedData!O210</f>
        <v>Frankfurt</v>
      </c>
      <c r="F210" s="2" t="str">
        <f>CleanedData!M210</f>
        <v>Frankfurt</v>
      </c>
      <c r="G210" s="2" t="str">
        <f>CleanedData!B210</f>
        <v>80406</v>
      </c>
      <c r="H210" s="2" t="str">
        <f>CleanedData!C210</f>
        <v>+73-912953831</v>
      </c>
      <c r="I210" s="2" t="str">
        <f>CleanedData!G210</f>
        <v>Active</v>
      </c>
      <c r="J210" s="14">
        <f>CleanedData!H210</f>
        <v>45857</v>
      </c>
      <c r="K210" s="2" t="str">
        <f t="shared" si="25"/>
        <v>OK</v>
      </c>
      <c r="L210" s="2" t="str">
        <f t="shared" si="26"/>
        <v>OK</v>
      </c>
      <c r="M210" s="2" t="str">
        <f t="shared" si="27"/>
        <v>OK</v>
      </c>
      <c r="N210" s="2" t="str">
        <f t="shared" si="28"/>
        <v>MATCH</v>
      </c>
      <c r="O210" s="2" t="str">
        <f t="shared" si="29"/>
        <v>OK</v>
      </c>
      <c r="P210" s="2">
        <f t="shared" si="30"/>
        <v>0</v>
      </c>
      <c r="Q210" s="2" t="str">
        <f t="shared" si="31"/>
        <v>2025-07</v>
      </c>
      <c r="R210" s="3" t="s">
        <v>23</v>
      </c>
      <c r="S210" s="2">
        <f>IF(tblChecks[[#This Row],[AnyError]]="ERROR",1,0)</f>
        <v>0</v>
      </c>
      <c r="T210" s="2">
        <f>IF(tblChecks[[#This Row],[MissingStreet]]="MISSING",1,0)</f>
        <v>0</v>
      </c>
      <c r="U210" t="str">
        <f t="shared" si="24"/>
        <v>OK</v>
      </c>
    </row>
    <row r="211" spans="1:21" x14ac:dyDescent="0.3">
      <c r="A211" s="1" t="str">
        <f>CleanedData!F211</f>
        <v>PROP00210</v>
      </c>
      <c r="B211" s="2" t="str">
        <f>CleanedData!A211</f>
        <v>SpainValencia, Spain</v>
      </c>
      <c r="C211" s="2" t="str">
        <f>CleanedData!D211</f>
        <v>Spain</v>
      </c>
      <c r="D211" s="2" t="str">
        <f>CleanedData!E211</f>
        <v>Valencia</v>
      </c>
      <c r="E211" s="2" t="str">
        <f>CleanedData!O211</f>
        <v>Valencia</v>
      </c>
      <c r="F211" s="2" t="str">
        <f>CleanedData!M211</f>
        <v>Spain</v>
      </c>
      <c r="G211" s="2" t="str">
        <f>CleanedData!B211</f>
        <v>82488</v>
      </c>
      <c r="H211" s="2" t="str">
        <f>CleanedData!C211</f>
        <v>+65-108268231</v>
      </c>
      <c r="I211" s="2" t="str">
        <f>CleanedData!G211</f>
        <v>Inactive</v>
      </c>
      <c r="J211" s="14">
        <f>CleanedData!H211</f>
        <v>45665</v>
      </c>
      <c r="K211" s="2" t="str">
        <f t="shared" si="25"/>
        <v>OK</v>
      </c>
      <c r="L211" s="2" t="str">
        <f t="shared" si="26"/>
        <v>OK</v>
      </c>
      <c r="M211" s="2" t="str">
        <f t="shared" si="27"/>
        <v>OK</v>
      </c>
      <c r="N211" s="2" t="str">
        <f t="shared" si="28"/>
        <v>MATCH</v>
      </c>
      <c r="O211" s="2" t="str">
        <f t="shared" si="29"/>
        <v>OK</v>
      </c>
      <c r="P211" s="2">
        <f t="shared" si="30"/>
        <v>0</v>
      </c>
      <c r="Q211" s="2" t="str">
        <f t="shared" si="31"/>
        <v>2025-01</v>
      </c>
      <c r="R211" s="3" t="s">
        <v>54</v>
      </c>
      <c r="S211" s="2">
        <f>IF(tblChecks[[#This Row],[AnyError]]="ERROR",1,0)</f>
        <v>0</v>
      </c>
      <c r="T211" s="2">
        <f>IF(tblChecks[[#This Row],[MissingStreet]]="MISSING",1,0)</f>
        <v>0</v>
      </c>
      <c r="U211" t="str">
        <f t="shared" si="24"/>
        <v>OK</v>
      </c>
    </row>
    <row r="212" spans="1:21" x14ac:dyDescent="0.3">
      <c r="A212" s="1" t="str">
        <f>CleanedData!F212</f>
        <v>PROP00211</v>
      </c>
      <c r="B212" s="2" t="str">
        <f>CleanedData!A212</f>
        <v>Joseph Common 145, Canada, Vancouver</v>
      </c>
      <c r="C212" s="2" t="str">
        <f>CleanedData!D212</f>
        <v>Canada</v>
      </c>
      <c r="D212" s="2" t="str">
        <f>CleanedData!E212</f>
        <v>Vancouver</v>
      </c>
      <c r="E212" s="2" t="str">
        <f>CleanedData!O212</f>
        <v>Vancouver</v>
      </c>
      <c r="F212" s="2" t="str">
        <f>CleanedData!M212</f>
        <v>Joseph Common 145</v>
      </c>
      <c r="G212" s="2" t="str">
        <f>CleanedData!B212</f>
        <v>21086</v>
      </c>
      <c r="H212" s="2" t="str">
        <f>CleanedData!C212</f>
        <v>+41-510863778</v>
      </c>
      <c r="I212" s="2" t="str">
        <f>CleanedData!G212</f>
        <v>Inactive</v>
      </c>
      <c r="J212" s="14">
        <f>CleanedData!H212</f>
        <v>45232</v>
      </c>
      <c r="K212" s="2" t="str">
        <f t="shared" si="25"/>
        <v>OK</v>
      </c>
      <c r="L212" s="2" t="str">
        <f t="shared" si="26"/>
        <v>OK</v>
      </c>
      <c r="M212" s="2" t="str">
        <f t="shared" si="27"/>
        <v>OK</v>
      </c>
      <c r="N212" s="2" t="str">
        <f t="shared" si="28"/>
        <v>MATCH</v>
      </c>
      <c r="O212" s="2" t="str">
        <f t="shared" si="29"/>
        <v>OK</v>
      </c>
      <c r="P212" s="2">
        <f t="shared" si="30"/>
        <v>0</v>
      </c>
      <c r="Q212" s="2" t="str">
        <f t="shared" si="31"/>
        <v>2023-11</v>
      </c>
      <c r="R212" s="3" t="s">
        <v>54</v>
      </c>
      <c r="S212" s="2">
        <f>IF(tblChecks[[#This Row],[AnyError]]="ERROR",1,0)</f>
        <v>0</v>
      </c>
      <c r="T212" s="2">
        <f>IF(tblChecks[[#This Row],[MissingStreet]]="MISSING",1,0)</f>
        <v>0</v>
      </c>
      <c r="U212" t="str">
        <f t="shared" si="24"/>
        <v>OK</v>
      </c>
    </row>
    <row r="213" spans="1:21" x14ac:dyDescent="0.3">
      <c r="A213" s="1" t="str">
        <f>CleanedData!F213</f>
        <v>PROP00212</v>
      </c>
      <c r="B213" s="2" t="str">
        <f>CleanedData!A213</f>
        <v>MontrealGlenn Club126, Canada</v>
      </c>
      <c r="C213" s="2" t="str">
        <f>CleanedData!D213</f>
        <v>Canada</v>
      </c>
      <c r="D213" s="2" t="str">
        <f>CleanedData!E213</f>
        <v>Montreal</v>
      </c>
      <c r="E213" s="2" t="str">
        <f>CleanedData!O213</f>
        <v>Montreal</v>
      </c>
      <c r="F213" s="2" t="str">
        <f>CleanedData!M213</f>
        <v>MontrealGlenn Club126</v>
      </c>
      <c r="G213" s="2" t="str">
        <f>CleanedData!B213</f>
        <v>21018</v>
      </c>
      <c r="H213" s="2" t="str">
        <f>CleanedData!C213</f>
        <v>+86-561507606</v>
      </c>
      <c r="I213" s="2" t="str">
        <f>CleanedData!G213</f>
        <v>Active</v>
      </c>
      <c r="J213" s="14">
        <f>CleanedData!H213</f>
        <v>45751</v>
      </c>
      <c r="K213" s="2" t="str">
        <f t="shared" si="25"/>
        <v>OK</v>
      </c>
      <c r="L213" s="2" t="str">
        <f t="shared" si="26"/>
        <v>OK</v>
      </c>
      <c r="M213" s="2" t="str">
        <f t="shared" si="27"/>
        <v>OK</v>
      </c>
      <c r="N213" s="2" t="str">
        <f t="shared" si="28"/>
        <v>MATCH</v>
      </c>
      <c r="O213" s="2" t="str">
        <f t="shared" si="29"/>
        <v>OK</v>
      </c>
      <c r="P213" s="2">
        <f t="shared" si="30"/>
        <v>0</v>
      </c>
      <c r="Q213" s="2" t="str">
        <f t="shared" si="31"/>
        <v>2025-04</v>
      </c>
      <c r="R213" s="3" t="s">
        <v>54</v>
      </c>
      <c r="S213" s="2">
        <f>IF(tblChecks[[#This Row],[AnyError]]="ERROR",1,0)</f>
        <v>0</v>
      </c>
      <c r="T213" s="2">
        <f>IF(tblChecks[[#This Row],[MissingStreet]]="MISSING",1,0)</f>
        <v>0</v>
      </c>
      <c r="U213" t="str">
        <f t="shared" si="24"/>
        <v>OK</v>
      </c>
    </row>
    <row r="214" spans="1:21" x14ac:dyDescent="0.3">
      <c r="A214" s="1" t="str">
        <f>CleanedData!F214</f>
        <v>PROP00213</v>
      </c>
      <c r="B214" s="2" t="str">
        <f>CleanedData!A214</f>
        <v>JapanTokyo</v>
      </c>
      <c r="C214" s="2" t="str">
        <f>CleanedData!D214</f>
        <v>Japan</v>
      </c>
      <c r="D214" s="2" t="str">
        <f>CleanedData!E214</f>
        <v>Tokyo</v>
      </c>
      <c r="E214" s="2" t="str">
        <f>CleanedData!O214</f>
        <v>Tokyo</v>
      </c>
      <c r="F214" s="2" t="str">
        <f>CleanedData!M214</f>
        <v/>
      </c>
      <c r="G214" s="2" t="str">
        <f>CleanedData!B214</f>
        <v>78333</v>
      </c>
      <c r="H214" s="2" t="str">
        <f>CleanedData!C214</f>
        <v>+26-527996574</v>
      </c>
      <c r="I214" s="2" t="str">
        <f>CleanedData!G214</f>
        <v>Inactive</v>
      </c>
      <c r="J214" s="14">
        <f>CleanedData!H214</f>
        <v>45083</v>
      </c>
      <c r="K214" s="2" t="str">
        <f t="shared" si="25"/>
        <v>MISSING</v>
      </c>
      <c r="L214" s="2" t="str">
        <f t="shared" si="26"/>
        <v>OK</v>
      </c>
      <c r="M214" s="2" t="str">
        <f t="shared" si="27"/>
        <v>OK</v>
      </c>
      <c r="N214" s="2" t="str">
        <f t="shared" si="28"/>
        <v>MATCH</v>
      </c>
      <c r="O214" s="2" t="str">
        <f t="shared" si="29"/>
        <v>ERROR</v>
      </c>
      <c r="P214" s="2">
        <f t="shared" si="30"/>
        <v>1</v>
      </c>
      <c r="Q214" s="2" t="str">
        <f t="shared" si="31"/>
        <v>2023-06</v>
      </c>
      <c r="R214" s="3" t="s">
        <v>23</v>
      </c>
      <c r="S214" s="2">
        <f>IF(tblChecks[[#This Row],[AnyError]]="ERROR",1,0)</f>
        <v>1</v>
      </c>
      <c r="T214" s="2">
        <f>IF(tblChecks[[#This Row],[MissingStreet]]="MISSING",1,0)</f>
        <v>1</v>
      </c>
      <c r="U214" t="str">
        <f t="shared" si="24"/>
        <v>MissingStreet</v>
      </c>
    </row>
    <row r="215" spans="1:21" x14ac:dyDescent="0.3">
      <c r="A215" s="1" t="str">
        <f>CleanedData!F215</f>
        <v>PROP00214</v>
      </c>
      <c r="B215" s="2" t="str">
        <f>CleanedData!A215</f>
        <v>Australia, Perth, Carter Fort 199</v>
      </c>
      <c r="C215" s="2" t="str">
        <f>CleanedData!D215</f>
        <v>Australia</v>
      </c>
      <c r="D215" s="2" t="str">
        <f>CleanedData!E215</f>
        <v>Perth</v>
      </c>
      <c r="E215" s="2" t="str">
        <f>CleanedData!O215</f>
        <v>Perth</v>
      </c>
      <c r="F215" s="2" t="str">
        <f>CleanedData!M215</f>
        <v>Carter Fort 199</v>
      </c>
      <c r="G215" s="2" t="str">
        <f>CleanedData!B215</f>
        <v>38263</v>
      </c>
      <c r="H215" s="2" t="str">
        <f>CleanedData!C215</f>
        <v>+70-505094546</v>
      </c>
      <c r="I215" s="2" t="str">
        <f>CleanedData!G215</f>
        <v>Inactive</v>
      </c>
      <c r="J215" s="14">
        <f>CleanedData!H215</f>
        <v>45719</v>
      </c>
      <c r="K215" s="2" t="str">
        <f t="shared" si="25"/>
        <v>OK</v>
      </c>
      <c r="L215" s="2" t="str">
        <f t="shared" si="26"/>
        <v>OK</v>
      </c>
      <c r="M215" s="2" t="str">
        <f t="shared" si="27"/>
        <v>OK</v>
      </c>
      <c r="N215" s="2" t="str">
        <f t="shared" si="28"/>
        <v>MATCH</v>
      </c>
      <c r="O215" s="2" t="str">
        <f t="shared" si="29"/>
        <v>OK</v>
      </c>
      <c r="P215" s="2">
        <f t="shared" si="30"/>
        <v>0</v>
      </c>
      <c r="Q215" s="2" t="str">
        <f t="shared" si="31"/>
        <v>2025-03</v>
      </c>
      <c r="R215" s="3" t="s">
        <v>39</v>
      </c>
      <c r="S215" s="2">
        <f>IF(tblChecks[[#This Row],[AnyError]]="ERROR",1,0)</f>
        <v>0</v>
      </c>
      <c r="T215" s="2">
        <f>IF(tblChecks[[#This Row],[MissingStreet]]="MISSING",1,0)</f>
        <v>0</v>
      </c>
      <c r="U215" t="str">
        <f t="shared" si="24"/>
        <v>OK</v>
      </c>
    </row>
    <row r="216" spans="1:21" x14ac:dyDescent="0.3">
      <c r="A216" s="1" t="str">
        <f>CleanedData!F216</f>
        <v>PROP00215</v>
      </c>
      <c r="B216" s="2" t="str">
        <f>CleanedData!A216</f>
        <v>Brisbane, Warner Motorway 276, Australia</v>
      </c>
      <c r="C216" s="2" t="str">
        <f>CleanedData!D216</f>
        <v>Australia</v>
      </c>
      <c r="D216" s="2" t="str">
        <f>CleanedData!E216</f>
        <v>Brisbane</v>
      </c>
      <c r="E216" s="2" t="str">
        <f>CleanedData!O216</f>
        <v>Brisbane</v>
      </c>
      <c r="F216" s="2" t="str">
        <f>CleanedData!M216</f>
        <v>Warner Motorway 276</v>
      </c>
      <c r="G216" s="2" t="str">
        <f>CleanedData!B216</f>
        <v>9830</v>
      </c>
      <c r="H216" s="2" t="str">
        <f>CleanedData!C216</f>
        <v>+33-264928001</v>
      </c>
      <c r="I216" s="2" t="str">
        <f>CleanedData!G216</f>
        <v>Active</v>
      </c>
      <c r="J216" s="14">
        <f>CleanedData!H216</f>
        <v>45091</v>
      </c>
      <c r="K216" s="2" t="str">
        <f t="shared" si="25"/>
        <v>OK</v>
      </c>
      <c r="L216" s="2" t="str">
        <f t="shared" si="26"/>
        <v>OK</v>
      </c>
      <c r="M216" s="2" t="str">
        <f t="shared" si="27"/>
        <v>OK</v>
      </c>
      <c r="N216" s="2" t="str">
        <f t="shared" si="28"/>
        <v>MATCH</v>
      </c>
      <c r="O216" s="2" t="str">
        <f t="shared" si="29"/>
        <v>OK</v>
      </c>
      <c r="P216" s="2">
        <f t="shared" si="30"/>
        <v>0</v>
      </c>
      <c r="Q216" s="2" t="str">
        <f t="shared" si="31"/>
        <v>2023-06</v>
      </c>
      <c r="R216" s="3" t="s">
        <v>33</v>
      </c>
      <c r="S216" s="2">
        <f>IF(tblChecks[[#This Row],[AnyError]]="ERROR",1,0)</f>
        <v>0</v>
      </c>
      <c r="T216" s="2">
        <f>IF(tblChecks[[#This Row],[MissingStreet]]="MISSING",1,0)</f>
        <v>0</v>
      </c>
      <c r="U216" t="str">
        <f t="shared" si="24"/>
        <v>OK</v>
      </c>
    </row>
    <row r="217" spans="1:21" x14ac:dyDescent="0.3">
      <c r="A217" s="1" t="str">
        <f>CleanedData!F217</f>
        <v>PROP00216</v>
      </c>
      <c r="B217" s="2" t="str">
        <f>CleanedData!A217</f>
        <v>ParisSandra Turnpike160, France</v>
      </c>
      <c r="C217" s="2" t="str">
        <f>CleanedData!D217</f>
        <v>France</v>
      </c>
      <c r="D217" s="2" t="str">
        <f>CleanedData!E217</f>
        <v>Paris</v>
      </c>
      <c r="E217" s="2" t="str">
        <f>CleanedData!O217</f>
        <v>Paris</v>
      </c>
      <c r="F217" s="2" t="str">
        <f>CleanedData!M217</f>
        <v>ParisSandra Turnpike160</v>
      </c>
      <c r="G217" s="2" t="str">
        <f>CleanedData!B217</f>
        <v>82428</v>
      </c>
      <c r="H217" s="2" t="str">
        <f>CleanedData!C217</f>
        <v>+76-620930226</v>
      </c>
      <c r="I217" s="2" t="str">
        <f>CleanedData!G217</f>
        <v>Inactive</v>
      </c>
      <c r="J217" s="14">
        <f>CleanedData!H217</f>
        <v>45439</v>
      </c>
      <c r="K217" s="2" t="str">
        <f t="shared" si="25"/>
        <v>OK</v>
      </c>
      <c r="L217" s="2" t="str">
        <f t="shared" si="26"/>
        <v>OK</v>
      </c>
      <c r="M217" s="2" t="str">
        <f t="shared" si="27"/>
        <v>OK</v>
      </c>
      <c r="N217" s="2" t="str">
        <f t="shared" si="28"/>
        <v>MATCH</v>
      </c>
      <c r="O217" s="2" t="str">
        <f t="shared" si="29"/>
        <v>OK</v>
      </c>
      <c r="P217" s="2">
        <f t="shared" si="30"/>
        <v>0</v>
      </c>
      <c r="Q217" s="2" t="str">
        <f t="shared" si="31"/>
        <v>2024-05</v>
      </c>
      <c r="R217" s="3" t="s">
        <v>39</v>
      </c>
      <c r="S217" s="2">
        <f>IF(tblChecks[[#This Row],[AnyError]]="ERROR",1,0)</f>
        <v>0</v>
      </c>
      <c r="T217" s="2">
        <f>IF(tblChecks[[#This Row],[MissingStreet]]="MISSING",1,0)</f>
        <v>0</v>
      </c>
      <c r="U217" t="str">
        <f t="shared" si="24"/>
        <v>OK</v>
      </c>
    </row>
    <row r="218" spans="1:21" x14ac:dyDescent="0.3">
      <c r="A218" s="1" t="str">
        <f>CleanedData!F218</f>
        <v>PROP00217</v>
      </c>
      <c r="B218" s="2" t="str">
        <f>CleanedData!A218</f>
        <v>Ronald Plains220, Paris, France</v>
      </c>
      <c r="C218" s="2" t="str">
        <f>CleanedData!D218</f>
        <v>France</v>
      </c>
      <c r="D218" s="2" t="str">
        <f>CleanedData!E218</f>
        <v>Paris</v>
      </c>
      <c r="E218" s="2" t="str">
        <f>CleanedData!O218</f>
        <v>Paris</v>
      </c>
      <c r="F218" s="2" t="str">
        <f>CleanedData!M218</f>
        <v>Ronald Plains220</v>
      </c>
      <c r="G218" s="2" t="str">
        <f>CleanedData!B218</f>
        <v>29967</v>
      </c>
      <c r="H218" s="2" t="str">
        <f>CleanedData!C218</f>
        <v>+80-939490180</v>
      </c>
      <c r="I218" s="2" t="str">
        <f>CleanedData!G218</f>
        <v>Inactive</v>
      </c>
      <c r="J218" s="14">
        <f>CleanedData!H218</f>
        <v>45276</v>
      </c>
      <c r="K218" s="2" t="str">
        <f t="shared" si="25"/>
        <v>OK</v>
      </c>
      <c r="L218" s="2" t="str">
        <f t="shared" si="26"/>
        <v>OK</v>
      </c>
      <c r="M218" s="2" t="str">
        <f t="shared" si="27"/>
        <v>OK</v>
      </c>
      <c r="N218" s="2" t="str">
        <f t="shared" si="28"/>
        <v>MATCH</v>
      </c>
      <c r="O218" s="2" t="str">
        <f t="shared" si="29"/>
        <v>OK</v>
      </c>
      <c r="P218" s="2">
        <f t="shared" si="30"/>
        <v>0</v>
      </c>
      <c r="Q218" s="2" t="str">
        <f t="shared" si="31"/>
        <v>2023-12</v>
      </c>
      <c r="R218" s="3" t="s">
        <v>33</v>
      </c>
      <c r="S218" s="2">
        <f>IF(tblChecks[[#This Row],[AnyError]]="ERROR",1,0)</f>
        <v>0</v>
      </c>
      <c r="T218" s="2">
        <f>IF(tblChecks[[#This Row],[MissingStreet]]="MISSING",1,0)</f>
        <v>0</v>
      </c>
      <c r="U218" t="str">
        <f t="shared" si="24"/>
        <v>OK</v>
      </c>
    </row>
    <row r="219" spans="1:21" x14ac:dyDescent="0.3">
      <c r="A219" s="1" t="str">
        <f>CleanedData!F219</f>
        <v>PROP00218</v>
      </c>
      <c r="B219" s="2" t="str">
        <f>CleanedData!A219</f>
        <v>GermanyHamburg</v>
      </c>
      <c r="C219" s="2" t="str">
        <f>CleanedData!D219</f>
        <v>Germany</v>
      </c>
      <c r="D219" s="2" t="str">
        <f>CleanedData!E219</f>
        <v>Hamburg</v>
      </c>
      <c r="E219" s="2" t="str">
        <f>CleanedData!O219</f>
        <v>Hamburg</v>
      </c>
      <c r="F219" s="2" t="str">
        <f>CleanedData!M219</f>
        <v/>
      </c>
      <c r="G219" s="2" t="str">
        <f>CleanedData!B219</f>
        <v>19144</v>
      </c>
      <c r="H219" s="2" t="str">
        <f>CleanedData!C219</f>
        <v>+12-344009477</v>
      </c>
      <c r="I219" s="2" t="str">
        <f>CleanedData!G219</f>
        <v>Inactive</v>
      </c>
      <c r="J219" s="14">
        <f>CleanedData!H219</f>
        <v>45203</v>
      </c>
      <c r="K219" s="2" t="str">
        <f t="shared" si="25"/>
        <v>MISSING</v>
      </c>
      <c r="L219" s="2" t="str">
        <f t="shared" si="26"/>
        <v>OK</v>
      </c>
      <c r="M219" s="2" t="str">
        <f t="shared" si="27"/>
        <v>OK</v>
      </c>
      <c r="N219" s="2" t="str">
        <f t="shared" si="28"/>
        <v>MATCH</v>
      </c>
      <c r="O219" s="2" t="str">
        <f t="shared" si="29"/>
        <v>ERROR</v>
      </c>
      <c r="P219" s="2">
        <f t="shared" si="30"/>
        <v>1</v>
      </c>
      <c r="Q219" s="2" t="str">
        <f t="shared" si="31"/>
        <v>2023-10</v>
      </c>
      <c r="R219" s="3" t="s">
        <v>33</v>
      </c>
      <c r="S219" s="2">
        <f>IF(tblChecks[[#This Row],[AnyError]]="ERROR",1,0)</f>
        <v>1</v>
      </c>
      <c r="T219" s="2">
        <f>IF(tblChecks[[#This Row],[MissingStreet]]="MISSING",1,0)</f>
        <v>1</v>
      </c>
      <c r="U219" t="str">
        <f t="shared" si="24"/>
        <v>MissingStreet</v>
      </c>
    </row>
    <row r="220" spans="1:21" x14ac:dyDescent="0.3">
      <c r="A220" s="1" t="str">
        <f>CleanedData!F220</f>
        <v>PROP00219</v>
      </c>
      <c r="B220" s="2" t="str">
        <f>CleanedData!A220</f>
        <v>Brian Turnpike 92, Madrid</v>
      </c>
      <c r="C220" s="2" t="str">
        <f>CleanedData!D220</f>
        <v>Spain</v>
      </c>
      <c r="D220" s="2" t="str">
        <f>CleanedData!E220</f>
        <v>Madrid</v>
      </c>
      <c r="E220" s="2" t="str">
        <f>CleanedData!O220</f>
        <v>Madrid</v>
      </c>
      <c r="F220" s="2" t="str">
        <f>CleanedData!M220</f>
        <v>Brian Turnpike 92</v>
      </c>
      <c r="G220" s="2" t="str">
        <f>CleanedData!B220</f>
        <v>40820</v>
      </c>
      <c r="H220" s="2" t="str">
        <f>CleanedData!C220</f>
        <v>+26-583535715</v>
      </c>
      <c r="I220" s="2" t="str">
        <f>CleanedData!G220</f>
        <v>Inactive</v>
      </c>
      <c r="J220" s="14">
        <f>CleanedData!H220</f>
        <v>45001</v>
      </c>
      <c r="K220" s="2" t="str">
        <f t="shared" si="25"/>
        <v>OK</v>
      </c>
      <c r="L220" s="2" t="str">
        <f t="shared" si="26"/>
        <v>OK</v>
      </c>
      <c r="M220" s="2" t="str">
        <f t="shared" si="27"/>
        <v>OK</v>
      </c>
      <c r="N220" s="2" t="str">
        <f t="shared" si="28"/>
        <v>MATCH</v>
      </c>
      <c r="O220" s="2" t="str">
        <f t="shared" si="29"/>
        <v>OK</v>
      </c>
      <c r="P220" s="2">
        <f t="shared" si="30"/>
        <v>0</v>
      </c>
      <c r="Q220" s="2" t="str">
        <f t="shared" si="31"/>
        <v>2023-03</v>
      </c>
      <c r="R220" s="3" t="s">
        <v>54</v>
      </c>
      <c r="S220" s="2">
        <f>IF(tblChecks[[#This Row],[AnyError]]="ERROR",1,0)</f>
        <v>0</v>
      </c>
      <c r="T220" s="2">
        <f>IF(tblChecks[[#This Row],[MissingStreet]]="MISSING",1,0)</f>
        <v>0</v>
      </c>
      <c r="U220" t="str">
        <f t="shared" si="24"/>
        <v>OK</v>
      </c>
    </row>
    <row r="221" spans="1:21" x14ac:dyDescent="0.3">
      <c r="A221" s="1" t="str">
        <f>CleanedData!F221</f>
        <v>PROP00220</v>
      </c>
      <c r="B221" s="2" t="str">
        <f>CleanedData!A221</f>
        <v>PhoenixGonzales Mountain163, USA</v>
      </c>
      <c r="C221" s="2" t="str">
        <f>CleanedData!D221</f>
        <v>USA</v>
      </c>
      <c r="D221" s="2" t="str">
        <f>CleanedData!E221</f>
        <v>Phoenix</v>
      </c>
      <c r="E221" s="2" t="str">
        <f>CleanedData!O221</f>
        <v>Phoenix</v>
      </c>
      <c r="F221" s="2" t="str">
        <f>CleanedData!M221</f>
        <v>PhoenixGonzales Mountain163</v>
      </c>
      <c r="G221" s="2" t="str">
        <f>CleanedData!B221</f>
        <v>90767</v>
      </c>
      <c r="H221" s="2" t="str">
        <f>CleanedData!C221</f>
        <v>+1-683819190</v>
      </c>
      <c r="I221" s="2" t="str">
        <f>CleanedData!G221</f>
        <v>Active</v>
      </c>
      <c r="J221" s="14">
        <f>CleanedData!H221</f>
        <v>45921</v>
      </c>
      <c r="K221" s="2" t="str">
        <f t="shared" si="25"/>
        <v>OK</v>
      </c>
      <c r="L221" s="2" t="str">
        <f t="shared" si="26"/>
        <v>OK</v>
      </c>
      <c r="M221" s="2" t="str">
        <f t="shared" si="27"/>
        <v>OK</v>
      </c>
      <c r="N221" s="2" t="str">
        <f t="shared" si="28"/>
        <v>MATCH</v>
      </c>
      <c r="O221" s="2" t="str">
        <f t="shared" si="29"/>
        <v>OK</v>
      </c>
      <c r="P221" s="2">
        <f t="shared" si="30"/>
        <v>0</v>
      </c>
      <c r="Q221" s="2" t="str">
        <f t="shared" si="31"/>
        <v>2025-09</v>
      </c>
      <c r="R221" s="3" t="s">
        <v>16</v>
      </c>
      <c r="S221" s="2">
        <f>IF(tblChecks[[#This Row],[AnyError]]="ERROR",1,0)</f>
        <v>0</v>
      </c>
      <c r="T221" s="2">
        <f>IF(tblChecks[[#This Row],[MissingStreet]]="MISSING",1,0)</f>
        <v>0</v>
      </c>
      <c r="U221" t="str">
        <f t="shared" si="24"/>
        <v>OK</v>
      </c>
    </row>
    <row r="222" spans="1:21" x14ac:dyDescent="0.3">
      <c r="A222" s="1" t="str">
        <f>CleanedData!F222</f>
        <v>PROP00221</v>
      </c>
      <c r="B222" s="2" t="str">
        <f>CleanedData!A222</f>
        <v>BirminghamLyons Groves42, UK</v>
      </c>
      <c r="C222" s="2" t="str">
        <f>CleanedData!D222</f>
        <v>UK</v>
      </c>
      <c r="D222" s="2" t="str">
        <f>CleanedData!E222</f>
        <v>Birmingham</v>
      </c>
      <c r="E222" s="2" t="str">
        <f>CleanedData!O222</f>
        <v>Birmingham</v>
      </c>
      <c r="F222" s="2" t="str">
        <f>CleanedData!M222</f>
        <v>BirminghamLyons Groves42</v>
      </c>
      <c r="G222" s="2" t="str">
        <f>CleanedData!B222</f>
        <v>66098</v>
      </c>
      <c r="H222" s="2" t="str">
        <f>CleanedData!C222</f>
        <v>+83-219270063</v>
      </c>
      <c r="I222" s="2" t="str">
        <f>CleanedData!G222</f>
        <v>Inactive</v>
      </c>
      <c r="J222" s="14">
        <f>CleanedData!H222</f>
        <v>45837</v>
      </c>
      <c r="K222" s="2" t="str">
        <f t="shared" si="25"/>
        <v>OK</v>
      </c>
      <c r="L222" s="2" t="str">
        <f t="shared" si="26"/>
        <v>OK</v>
      </c>
      <c r="M222" s="2" t="str">
        <f t="shared" si="27"/>
        <v>OK</v>
      </c>
      <c r="N222" s="2" t="str">
        <f t="shared" si="28"/>
        <v>MATCH</v>
      </c>
      <c r="O222" s="2" t="str">
        <f t="shared" si="29"/>
        <v>OK</v>
      </c>
      <c r="P222" s="2">
        <f t="shared" si="30"/>
        <v>0</v>
      </c>
      <c r="Q222" s="2" t="str">
        <f t="shared" si="31"/>
        <v>2025-06</v>
      </c>
      <c r="R222" s="3" t="s">
        <v>16</v>
      </c>
      <c r="S222" s="2">
        <f>IF(tblChecks[[#This Row],[AnyError]]="ERROR",1,0)</f>
        <v>0</v>
      </c>
      <c r="T222" s="2">
        <f>IF(tblChecks[[#This Row],[MissingStreet]]="MISSING",1,0)</f>
        <v>0</v>
      </c>
      <c r="U222" t="str">
        <f t="shared" si="24"/>
        <v>OK</v>
      </c>
    </row>
    <row r="223" spans="1:21" x14ac:dyDescent="0.3">
      <c r="A223" s="1" t="str">
        <f>CleanedData!F223</f>
        <v>PROP00222</v>
      </c>
      <c r="B223" s="2" t="str">
        <f>CleanedData!A223</f>
        <v>FranceParis, France</v>
      </c>
      <c r="C223" s="2" t="str">
        <f>CleanedData!D223</f>
        <v>France</v>
      </c>
      <c r="D223" s="2" t="str">
        <f>CleanedData!E223</f>
        <v>Paris</v>
      </c>
      <c r="E223" s="2" t="str">
        <f>CleanedData!O223</f>
        <v>Paris</v>
      </c>
      <c r="F223" s="2" t="str">
        <f>CleanedData!M223</f>
        <v>France</v>
      </c>
      <c r="G223" s="2" t="str">
        <f>CleanedData!B223</f>
        <v>5725</v>
      </c>
      <c r="H223" s="2" t="str">
        <f>CleanedData!C223</f>
        <v>+4-164777008</v>
      </c>
      <c r="I223" s="2" t="str">
        <f>CleanedData!G223</f>
        <v>Inactive</v>
      </c>
      <c r="J223" s="14">
        <f>CleanedData!H223</f>
        <v>45890</v>
      </c>
      <c r="K223" s="2" t="str">
        <f t="shared" si="25"/>
        <v>OK</v>
      </c>
      <c r="L223" s="2" t="str">
        <f t="shared" si="26"/>
        <v>OK</v>
      </c>
      <c r="M223" s="2" t="str">
        <f t="shared" si="27"/>
        <v>OK</v>
      </c>
      <c r="N223" s="2" t="str">
        <f t="shared" si="28"/>
        <v>MATCH</v>
      </c>
      <c r="O223" s="2" t="str">
        <f t="shared" si="29"/>
        <v>OK</v>
      </c>
      <c r="P223" s="2">
        <f t="shared" si="30"/>
        <v>0</v>
      </c>
      <c r="Q223" s="2" t="str">
        <f t="shared" si="31"/>
        <v>2025-08</v>
      </c>
      <c r="R223" s="3" t="s">
        <v>39</v>
      </c>
      <c r="S223" s="2">
        <f>IF(tblChecks[[#This Row],[AnyError]]="ERROR",1,0)</f>
        <v>0</v>
      </c>
      <c r="T223" s="2">
        <f>IF(tblChecks[[#This Row],[MissingStreet]]="MISSING",1,0)</f>
        <v>0</v>
      </c>
      <c r="U223" t="str">
        <f t="shared" si="24"/>
        <v>OK</v>
      </c>
    </row>
    <row r="224" spans="1:21" x14ac:dyDescent="0.3">
      <c r="A224" s="1" t="str">
        <f>CleanedData!F224</f>
        <v>PROP00223</v>
      </c>
      <c r="B224" s="2" t="str">
        <f>CleanedData!A224</f>
        <v>ItalyTurin</v>
      </c>
      <c r="C224" s="2" t="str">
        <f>CleanedData!D224</f>
        <v>Italy</v>
      </c>
      <c r="D224" s="2" t="str">
        <f>CleanedData!E224</f>
        <v>Turin</v>
      </c>
      <c r="E224" s="2" t="str">
        <f>CleanedData!O224</f>
        <v>Turin</v>
      </c>
      <c r="F224" s="2" t="str">
        <f>CleanedData!M224</f>
        <v/>
      </c>
      <c r="G224" s="2" t="str">
        <f>CleanedData!B224</f>
        <v>33317</v>
      </c>
      <c r="H224" s="2" t="str">
        <f>CleanedData!C224</f>
        <v>+37-302878401</v>
      </c>
      <c r="I224" s="2" t="str">
        <f>CleanedData!G224</f>
        <v>Active</v>
      </c>
      <c r="J224" s="14">
        <f>CleanedData!H224</f>
        <v>45289</v>
      </c>
      <c r="K224" s="2" t="str">
        <f t="shared" si="25"/>
        <v>MISSING</v>
      </c>
      <c r="L224" s="2" t="str">
        <f t="shared" si="26"/>
        <v>OK</v>
      </c>
      <c r="M224" s="2" t="str">
        <f t="shared" si="27"/>
        <v>OK</v>
      </c>
      <c r="N224" s="2" t="str">
        <f t="shared" si="28"/>
        <v>MATCH</v>
      </c>
      <c r="O224" s="2" t="str">
        <f t="shared" si="29"/>
        <v>ERROR</v>
      </c>
      <c r="P224" s="2">
        <f t="shared" si="30"/>
        <v>1</v>
      </c>
      <c r="Q224" s="2" t="str">
        <f t="shared" si="31"/>
        <v>2023-12</v>
      </c>
      <c r="R224" s="3" t="s">
        <v>39</v>
      </c>
      <c r="S224" s="2">
        <f>IF(tblChecks[[#This Row],[AnyError]]="ERROR",1,0)</f>
        <v>1</v>
      </c>
      <c r="T224" s="2">
        <f>IF(tblChecks[[#This Row],[MissingStreet]]="MISSING",1,0)</f>
        <v>1</v>
      </c>
      <c r="U224" t="str">
        <f t="shared" si="24"/>
        <v>MissingStreet</v>
      </c>
    </row>
    <row r="225" spans="1:21" x14ac:dyDescent="0.3">
      <c r="A225" s="1" t="str">
        <f>CleanedData!F225</f>
        <v>PROP00224</v>
      </c>
      <c r="B225" s="2" t="str">
        <f>CleanedData!A225</f>
        <v>BrazilSão Paulo</v>
      </c>
      <c r="C225" s="2" t="str">
        <f>CleanedData!D225</f>
        <v>Brazil</v>
      </c>
      <c r="D225" s="2" t="str">
        <f>CleanedData!E225</f>
        <v>São Paulo</v>
      </c>
      <c r="E225" s="2" t="str">
        <f>CleanedData!O225</f>
        <v>São Paulo</v>
      </c>
      <c r="F225" s="2" t="str">
        <f>CleanedData!M225</f>
        <v/>
      </c>
      <c r="G225" s="2" t="str">
        <f>CleanedData!B225</f>
        <v>75893</v>
      </c>
      <c r="H225" s="2" t="str">
        <f>CleanedData!C225</f>
        <v>+32-610414625</v>
      </c>
      <c r="I225" s="2" t="str">
        <f>CleanedData!G225</f>
        <v>Inactive</v>
      </c>
      <c r="J225" s="14">
        <f>CleanedData!H225</f>
        <v>45829</v>
      </c>
      <c r="K225" s="2" t="str">
        <f t="shared" si="25"/>
        <v>MISSING</v>
      </c>
      <c r="L225" s="2" t="str">
        <f t="shared" si="26"/>
        <v>OK</v>
      </c>
      <c r="M225" s="2" t="str">
        <f t="shared" si="27"/>
        <v>OK</v>
      </c>
      <c r="N225" s="2" t="str">
        <f t="shared" si="28"/>
        <v>MATCH</v>
      </c>
      <c r="O225" s="2" t="str">
        <f t="shared" si="29"/>
        <v>ERROR</v>
      </c>
      <c r="P225" s="2">
        <f t="shared" si="30"/>
        <v>1</v>
      </c>
      <c r="Q225" s="2" t="str">
        <f t="shared" si="31"/>
        <v>2025-06</v>
      </c>
      <c r="R225" s="3" t="s">
        <v>16</v>
      </c>
      <c r="S225" s="2">
        <f>IF(tblChecks[[#This Row],[AnyError]]="ERROR",1,0)</f>
        <v>1</v>
      </c>
      <c r="T225" s="2">
        <f>IF(tblChecks[[#This Row],[MissingStreet]]="MISSING",1,0)</f>
        <v>1</v>
      </c>
      <c r="U225" t="str">
        <f t="shared" si="24"/>
        <v>MissingStreet</v>
      </c>
    </row>
    <row r="226" spans="1:21" x14ac:dyDescent="0.3">
      <c r="A226" s="1" t="str">
        <f>CleanedData!F226</f>
        <v>PROP00225</v>
      </c>
      <c r="B226" s="2" t="str">
        <f>CleanedData!A226</f>
        <v>FranceLyon</v>
      </c>
      <c r="C226" s="2" t="str">
        <f>CleanedData!D226</f>
        <v>France</v>
      </c>
      <c r="D226" s="2" t="str">
        <f>CleanedData!E226</f>
        <v>Lyon</v>
      </c>
      <c r="E226" s="2" t="str">
        <f>CleanedData!O226</f>
        <v>Lyon</v>
      </c>
      <c r="F226" s="2" t="str">
        <f>CleanedData!M226</f>
        <v/>
      </c>
      <c r="G226" s="2" t="str">
        <f>CleanedData!B226</f>
        <v>35826</v>
      </c>
      <c r="H226" s="2" t="str">
        <f>CleanedData!C226</f>
        <v>+3-961237551</v>
      </c>
      <c r="I226" s="2" t="str">
        <f>CleanedData!G226</f>
        <v>Active</v>
      </c>
      <c r="J226" s="14">
        <f>CleanedData!H226</f>
        <v>45716</v>
      </c>
      <c r="K226" s="2" t="str">
        <f t="shared" si="25"/>
        <v>MISSING</v>
      </c>
      <c r="L226" s="2" t="str">
        <f t="shared" si="26"/>
        <v>OK</v>
      </c>
      <c r="M226" s="2" t="str">
        <f t="shared" si="27"/>
        <v>OK</v>
      </c>
      <c r="N226" s="2" t="str">
        <f t="shared" si="28"/>
        <v>MATCH</v>
      </c>
      <c r="O226" s="2" t="str">
        <f t="shared" si="29"/>
        <v>ERROR</v>
      </c>
      <c r="P226" s="2">
        <f t="shared" si="30"/>
        <v>1</v>
      </c>
      <c r="Q226" s="2" t="str">
        <f t="shared" si="31"/>
        <v>2025-02</v>
      </c>
      <c r="R226" s="3" t="s">
        <v>39</v>
      </c>
      <c r="S226" s="2">
        <f>IF(tblChecks[[#This Row],[AnyError]]="ERROR",1,0)</f>
        <v>1</v>
      </c>
      <c r="T226" s="2">
        <f>IF(tblChecks[[#This Row],[MissingStreet]]="MISSING",1,0)</f>
        <v>1</v>
      </c>
      <c r="U226" t="str">
        <f t="shared" si="24"/>
        <v>MissingStreet</v>
      </c>
    </row>
    <row r="227" spans="1:21" x14ac:dyDescent="0.3">
      <c r="A227" s="1" t="str">
        <f>CleanedData!F227</f>
        <v>PROP00226</v>
      </c>
      <c r="B227" s="2" t="str">
        <f>CleanedData!A227</f>
        <v>CanadaMontrealKathryn Extensions12</v>
      </c>
      <c r="C227" s="2" t="str">
        <f>CleanedData!D227</f>
        <v>Canada</v>
      </c>
      <c r="D227" s="2" t="str">
        <f>CleanedData!E227</f>
        <v>Montreal</v>
      </c>
      <c r="E227" s="2" t="str">
        <f>CleanedData!O227</f>
        <v>Montreal</v>
      </c>
      <c r="F227" s="2" t="str">
        <f>CleanedData!M227</f>
        <v>CanadaMontrealKathryn Extensions12</v>
      </c>
      <c r="G227" s="2" t="str">
        <f>CleanedData!B227</f>
        <v>62170</v>
      </c>
      <c r="H227" s="2" t="str">
        <f>CleanedData!C227</f>
        <v>+62-839688302</v>
      </c>
      <c r="I227" s="2" t="str">
        <f>CleanedData!G227</f>
        <v>Inactive</v>
      </c>
      <c r="J227" s="14">
        <f>CleanedData!H227</f>
        <v>45547</v>
      </c>
      <c r="K227" s="2" t="str">
        <f t="shared" si="25"/>
        <v>OK</v>
      </c>
      <c r="L227" s="2" t="str">
        <f t="shared" si="26"/>
        <v>OK</v>
      </c>
      <c r="M227" s="2" t="str">
        <f t="shared" si="27"/>
        <v>OK</v>
      </c>
      <c r="N227" s="2" t="str">
        <f t="shared" si="28"/>
        <v>MATCH</v>
      </c>
      <c r="O227" s="2" t="str">
        <f t="shared" si="29"/>
        <v>OK</v>
      </c>
      <c r="P227" s="2">
        <f t="shared" si="30"/>
        <v>0</v>
      </c>
      <c r="Q227" s="2" t="str">
        <f t="shared" si="31"/>
        <v>2024-09</v>
      </c>
      <c r="R227" s="3" t="s">
        <v>33</v>
      </c>
      <c r="S227" s="2">
        <f>IF(tblChecks[[#This Row],[AnyError]]="ERROR",1,0)</f>
        <v>0</v>
      </c>
      <c r="T227" s="2">
        <f>IF(tblChecks[[#This Row],[MissingStreet]]="MISSING",1,0)</f>
        <v>0</v>
      </c>
      <c r="U227" t="str">
        <f t="shared" si="24"/>
        <v>OK</v>
      </c>
    </row>
    <row r="228" spans="1:21" x14ac:dyDescent="0.3">
      <c r="A228" s="1" t="str">
        <f>CleanedData!F228</f>
        <v>PROP00227</v>
      </c>
      <c r="B228" s="2" t="str">
        <f>CleanedData!A228</f>
        <v>BrisbaneMoon Falls294, Australia</v>
      </c>
      <c r="C228" s="2" t="str">
        <f>CleanedData!D228</f>
        <v>Australia</v>
      </c>
      <c r="D228" s="2" t="str">
        <f>CleanedData!E228</f>
        <v>Brisbane</v>
      </c>
      <c r="E228" s="2" t="str">
        <f>CleanedData!O228</f>
        <v>Brisbane</v>
      </c>
      <c r="F228" s="2" t="str">
        <f>CleanedData!M228</f>
        <v>BrisbaneMoon Falls294</v>
      </c>
      <c r="G228" s="2" t="str">
        <f>CleanedData!B228</f>
        <v>77221</v>
      </c>
      <c r="H228" s="2" t="str">
        <f>CleanedData!C228</f>
        <v>+35-787477011</v>
      </c>
      <c r="I228" s="2" t="str">
        <f>CleanedData!G228</f>
        <v>Inactive</v>
      </c>
      <c r="J228" s="14">
        <f>CleanedData!H228</f>
        <v>44893</v>
      </c>
      <c r="K228" s="2" t="str">
        <f t="shared" si="25"/>
        <v>OK</v>
      </c>
      <c r="L228" s="2" t="str">
        <f t="shared" si="26"/>
        <v>OK</v>
      </c>
      <c r="M228" s="2" t="str">
        <f t="shared" si="27"/>
        <v>OK</v>
      </c>
      <c r="N228" s="2" t="str">
        <f t="shared" si="28"/>
        <v>MATCH</v>
      </c>
      <c r="O228" s="2" t="str">
        <f t="shared" si="29"/>
        <v>OK</v>
      </c>
      <c r="P228" s="2">
        <f t="shared" si="30"/>
        <v>0</v>
      </c>
      <c r="Q228" s="2" t="str">
        <f t="shared" si="31"/>
        <v>2022-11</v>
      </c>
      <c r="R228" s="3" t="s">
        <v>16</v>
      </c>
      <c r="S228" s="2">
        <f>IF(tblChecks[[#This Row],[AnyError]]="ERROR",1,0)</f>
        <v>0</v>
      </c>
      <c r="T228" s="2">
        <f>IF(tblChecks[[#This Row],[MissingStreet]]="MISSING",1,0)</f>
        <v>0</v>
      </c>
      <c r="U228" t="str">
        <f t="shared" si="24"/>
        <v>OK</v>
      </c>
    </row>
    <row r="229" spans="1:21" x14ac:dyDescent="0.3">
      <c r="A229" s="1" t="str">
        <f>CleanedData!F229</f>
        <v>PROP00228</v>
      </c>
      <c r="B229" s="2" t="str">
        <f>CleanedData!A229</f>
        <v>UKLondon</v>
      </c>
      <c r="C229" s="2" t="str">
        <f>CleanedData!D229</f>
        <v>UK</v>
      </c>
      <c r="D229" s="2" t="str">
        <f>CleanedData!E229</f>
        <v>London</v>
      </c>
      <c r="E229" s="2" t="str">
        <f>CleanedData!O229</f>
        <v>London</v>
      </c>
      <c r="F229" s="2" t="str">
        <f>CleanedData!M229</f>
        <v/>
      </c>
      <c r="G229" s="2" t="str">
        <f>CleanedData!B229</f>
        <v>12460</v>
      </c>
      <c r="H229" s="2" t="str">
        <f>CleanedData!C229</f>
        <v>+84-429732763</v>
      </c>
      <c r="I229" s="2" t="str">
        <f>CleanedData!G229</f>
        <v>Active</v>
      </c>
      <c r="J229" s="14">
        <f>CleanedData!H229</f>
        <v>45679</v>
      </c>
      <c r="K229" s="2" t="str">
        <f t="shared" si="25"/>
        <v>MISSING</v>
      </c>
      <c r="L229" s="2" t="str">
        <f t="shared" si="26"/>
        <v>OK</v>
      </c>
      <c r="M229" s="2" t="str">
        <f t="shared" si="27"/>
        <v>OK</v>
      </c>
      <c r="N229" s="2" t="str">
        <f t="shared" si="28"/>
        <v>MATCH</v>
      </c>
      <c r="O229" s="2" t="str">
        <f t="shared" si="29"/>
        <v>ERROR</v>
      </c>
      <c r="P229" s="2">
        <f t="shared" si="30"/>
        <v>1</v>
      </c>
      <c r="Q229" s="2" t="str">
        <f t="shared" si="31"/>
        <v>2025-01</v>
      </c>
      <c r="R229" s="3" t="s">
        <v>54</v>
      </c>
      <c r="S229" s="2">
        <f>IF(tblChecks[[#This Row],[AnyError]]="ERROR",1,0)</f>
        <v>1</v>
      </c>
      <c r="T229" s="2">
        <f>IF(tblChecks[[#This Row],[MissingStreet]]="MISSING",1,0)</f>
        <v>1</v>
      </c>
      <c r="U229" t="str">
        <f t="shared" si="24"/>
        <v>MissingStreet</v>
      </c>
    </row>
    <row r="230" spans="1:21" x14ac:dyDescent="0.3">
      <c r="A230" s="1" t="str">
        <f>CleanedData!F230</f>
        <v>PROP00229</v>
      </c>
      <c r="B230" s="2" t="str">
        <f>CleanedData!A230</f>
        <v>Bailey Isle 8, Germany, Berlin</v>
      </c>
      <c r="C230" s="2" t="str">
        <f>CleanedData!D230</f>
        <v>Germany</v>
      </c>
      <c r="D230" s="2" t="str">
        <f>CleanedData!E230</f>
        <v>Berlin</v>
      </c>
      <c r="E230" s="2" t="str">
        <f>CleanedData!O230</f>
        <v>Berlin</v>
      </c>
      <c r="F230" s="2" t="str">
        <f>CleanedData!M230</f>
        <v>Bailey Isle 8</v>
      </c>
      <c r="G230" s="2" t="str">
        <f>CleanedData!B230</f>
        <v>42582</v>
      </c>
      <c r="H230" s="2" t="str">
        <f>CleanedData!C230</f>
        <v>+51-221482509</v>
      </c>
      <c r="I230" s="2" t="str">
        <f>CleanedData!G230</f>
        <v>Active</v>
      </c>
      <c r="J230" s="14">
        <f>CleanedData!H230</f>
        <v>45679</v>
      </c>
      <c r="K230" s="2" t="str">
        <f t="shared" si="25"/>
        <v>OK</v>
      </c>
      <c r="L230" s="2" t="str">
        <f t="shared" si="26"/>
        <v>OK</v>
      </c>
      <c r="M230" s="2" t="str">
        <f t="shared" si="27"/>
        <v>OK</v>
      </c>
      <c r="N230" s="2" t="str">
        <f t="shared" si="28"/>
        <v>MATCH</v>
      </c>
      <c r="O230" s="2" t="str">
        <f t="shared" si="29"/>
        <v>OK</v>
      </c>
      <c r="P230" s="2">
        <f t="shared" si="30"/>
        <v>0</v>
      </c>
      <c r="Q230" s="2" t="str">
        <f t="shared" si="31"/>
        <v>2025-01</v>
      </c>
      <c r="R230" s="3" t="s">
        <v>33</v>
      </c>
      <c r="S230" s="2">
        <f>IF(tblChecks[[#This Row],[AnyError]]="ERROR",1,0)</f>
        <v>0</v>
      </c>
      <c r="T230" s="2">
        <f>IF(tblChecks[[#This Row],[MissingStreet]]="MISSING",1,0)</f>
        <v>0</v>
      </c>
      <c r="U230" t="str">
        <f t="shared" si="24"/>
        <v>OK</v>
      </c>
    </row>
    <row r="231" spans="1:21" x14ac:dyDescent="0.3">
      <c r="A231" s="1" t="str">
        <f>CleanedData!F231</f>
        <v>PROP00230</v>
      </c>
      <c r="B231" s="2" t="str">
        <f>CleanedData!A231</f>
        <v>UKLiverpoolMia Isle235</v>
      </c>
      <c r="C231" s="2" t="str">
        <f>CleanedData!D231</f>
        <v>UK</v>
      </c>
      <c r="D231" s="2" t="str">
        <f>CleanedData!E231</f>
        <v>Liverpool</v>
      </c>
      <c r="E231" s="2" t="str">
        <f>CleanedData!O231</f>
        <v>Liverpool</v>
      </c>
      <c r="F231" s="2" t="str">
        <f>CleanedData!M231</f>
        <v>UKLiverpoolMia Isle235</v>
      </c>
      <c r="G231" s="2" t="str">
        <f>CleanedData!B231</f>
        <v>54456</v>
      </c>
      <c r="H231" s="2" t="str">
        <f>CleanedData!C231</f>
        <v>+57-246784274</v>
      </c>
      <c r="I231" s="2" t="str">
        <f>CleanedData!G231</f>
        <v>Active</v>
      </c>
      <c r="J231" s="14">
        <f>CleanedData!H231</f>
        <v>45511</v>
      </c>
      <c r="K231" s="2" t="str">
        <f t="shared" si="25"/>
        <v>OK</v>
      </c>
      <c r="L231" s="2" t="str">
        <f t="shared" si="26"/>
        <v>OK</v>
      </c>
      <c r="M231" s="2" t="str">
        <f t="shared" si="27"/>
        <v>OK</v>
      </c>
      <c r="N231" s="2" t="str">
        <f t="shared" si="28"/>
        <v>MATCH</v>
      </c>
      <c r="O231" s="2" t="str">
        <f t="shared" si="29"/>
        <v>OK</v>
      </c>
      <c r="P231" s="2">
        <f t="shared" si="30"/>
        <v>0</v>
      </c>
      <c r="Q231" s="2" t="str">
        <f t="shared" si="31"/>
        <v>2024-08</v>
      </c>
      <c r="R231" s="3" t="s">
        <v>23</v>
      </c>
      <c r="S231" s="2">
        <f>IF(tblChecks[[#This Row],[AnyError]]="ERROR",1,0)</f>
        <v>0</v>
      </c>
      <c r="T231" s="2">
        <f>IF(tblChecks[[#This Row],[MissingStreet]]="MISSING",1,0)</f>
        <v>0</v>
      </c>
      <c r="U231" t="str">
        <f t="shared" si="24"/>
        <v>OK</v>
      </c>
    </row>
    <row r="232" spans="1:21" x14ac:dyDescent="0.3">
      <c r="A232" s="1" t="str">
        <f>CleanedData!F232</f>
        <v>PROP00231</v>
      </c>
      <c r="B232" s="2" t="str">
        <f>CleanedData!A232</f>
        <v>UKLondon</v>
      </c>
      <c r="C232" s="2" t="str">
        <f>CleanedData!D232</f>
        <v>UK</v>
      </c>
      <c r="D232" s="2" t="str">
        <f>CleanedData!E232</f>
        <v>London</v>
      </c>
      <c r="E232" s="2" t="str">
        <f>CleanedData!O232</f>
        <v>London</v>
      </c>
      <c r="F232" s="2" t="str">
        <f>CleanedData!M232</f>
        <v/>
      </c>
      <c r="G232" s="2" t="str">
        <f>CleanedData!B232</f>
        <v>72603</v>
      </c>
      <c r="H232" s="2" t="str">
        <f>CleanedData!C232</f>
        <v>+46-912697732</v>
      </c>
      <c r="I232" s="2" t="str">
        <f>CleanedData!G232</f>
        <v>Inactive</v>
      </c>
      <c r="J232" s="14">
        <f>CleanedData!H232</f>
        <v>45415</v>
      </c>
      <c r="K232" s="2" t="str">
        <f t="shared" si="25"/>
        <v>MISSING</v>
      </c>
      <c r="L232" s="2" t="str">
        <f t="shared" si="26"/>
        <v>OK</v>
      </c>
      <c r="M232" s="2" t="str">
        <f t="shared" si="27"/>
        <v>OK</v>
      </c>
      <c r="N232" s="2" t="str">
        <f t="shared" si="28"/>
        <v>MATCH</v>
      </c>
      <c r="O232" s="2" t="str">
        <f t="shared" si="29"/>
        <v>ERROR</v>
      </c>
      <c r="P232" s="2">
        <f t="shared" si="30"/>
        <v>1</v>
      </c>
      <c r="Q232" s="2" t="str">
        <f t="shared" si="31"/>
        <v>2024-05</v>
      </c>
      <c r="R232" s="3" t="s">
        <v>39</v>
      </c>
      <c r="S232" s="2">
        <f>IF(tblChecks[[#This Row],[AnyError]]="ERROR",1,0)</f>
        <v>1</v>
      </c>
      <c r="T232" s="2">
        <f>IF(tblChecks[[#This Row],[MissingStreet]]="MISSING",1,0)</f>
        <v>1</v>
      </c>
      <c r="U232" t="str">
        <f t="shared" si="24"/>
        <v>MissingStreet</v>
      </c>
    </row>
    <row r="233" spans="1:21" x14ac:dyDescent="0.3">
      <c r="A233" s="1" t="str">
        <f>CleanedData!F233</f>
        <v>PROP00232</v>
      </c>
      <c r="B233" s="2" t="str">
        <f>CleanedData!A233</f>
        <v>AustraliaPerth</v>
      </c>
      <c r="C233" s="2" t="str">
        <f>CleanedData!D233</f>
        <v>Australia</v>
      </c>
      <c r="D233" s="2" t="str">
        <f>CleanedData!E233</f>
        <v>Perth</v>
      </c>
      <c r="E233" s="2" t="str">
        <f>CleanedData!O233</f>
        <v>Perth</v>
      </c>
      <c r="F233" s="2" t="str">
        <f>CleanedData!M233</f>
        <v/>
      </c>
      <c r="G233" s="2" t="str">
        <f>CleanedData!B233</f>
        <v>33583</v>
      </c>
      <c r="H233" s="2" t="str">
        <f>CleanedData!C233</f>
        <v>+65-531967246</v>
      </c>
      <c r="I233" s="2" t="str">
        <f>CleanedData!G233</f>
        <v>Inactive</v>
      </c>
      <c r="J233" s="14">
        <f>CleanedData!H233</f>
        <v>45234</v>
      </c>
      <c r="K233" s="2" t="str">
        <f t="shared" si="25"/>
        <v>MISSING</v>
      </c>
      <c r="L233" s="2" t="str">
        <f t="shared" si="26"/>
        <v>OK</v>
      </c>
      <c r="M233" s="2" t="str">
        <f t="shared" si="27"/>
        <v>OK</v>
      </c>
      <c r="N233" s="2" t="str">
        <f t="shared" si="28"/>
        <v>MATCH</v>
      </c>
      <c r="O233" s="2" t="str">
        <f t="shared" si="29"/>
        <v>ERROR</v>
      </c>
      <c r="P233" s="2">
        <f t="shared" si="30"/>
        <v>1</v>
      </c>
      <c r="Q233" s="2" t="str">
        <f t="shared" si="31"/>
        <v>2023-11</v>
      </c>
      <c r="R233" s="3" t="s">
        <v>23</v>
      </c>
      <c r="S233" s="2">
        <f>IF(tblChecks[[#This Row],[AnyError]]="ERROR",1,0)</f>
        <v>1</v>
      </c>
      <c r="T233" s="2">
        <f>IF(tblChecks[[#This Row],[MissingStreet]]="MISSING",1,0)</f>
        <v>1</v>
      </c>
      <c r="U233" t="str">
        <f t="shared" si="24"/>
        <v>MissingStreet</v>
      </c>
    </row>
    <row r="234" spans="1:21" x14ac:dyDescent="0.3">
      <c r="A234" s="1" t="str">
        <f>CleanedData!F234</f>
        <v>PROP00233</v>
      </c>
      <c r="B234" s="2" t="str">
        <f>CleanedData!A234</f>
        <v>UKLeeds</v>
      </c>
      <c r="C234" s="2" t="str">
        <f>CleanedData!D234</f>
        <v>UK</v>
      </c>
      <c r="D234" s="2" t="str">
        <f>CleanedData!E234</f>
        <v>Leeds</v>
      </c>
      <c r="E234" s="2" t="str">
        <f>CleanedData!O234</f>
        <v>Leeds</v>
      </c>
      <c r="F234" s="2" t="str">
        <f>CleanedData!M234</f>
        <v/>
      </c>
      <c r="G234" s="2" t="str">
        <f>CleanedData!B234</f>
        <v>53477</v>
      </c>
      <c r="H234" s="2" t="str">
        <f>CleanedData!C234</f>
        <v>+34-628777998</v>
      </c>
      <c r="I234" s="2" t="str">
        <f>CleanedData!G234</f>
        <v>Inactive</v>
      </c>
      <c r="J234" s="14">
        <f>CleanedData!H234</f>
        <v>45247</v>
      </c>
      <c r="K234" s="2" t="str">
        <f t="shared" si="25"/>
        <v>MISSING</v>
      </c>
      <c r="L234" s="2" t="str">
        <f t="shared" si="26"/>
        <v>OK</v>
      </c>
      <c r="M234" s="2" t="str">
        <f t="shared" si="27"/>
        <v>OK</v>
      </c>
      <c r="N234" s="2" t="str">
        <f t="shared" si="28"/>
        <v>MATCH</v>
      </c>
      <c r="O234" s="2" t="str">
        <f t="shared" si="29"/>
        <v>ERROR</v>
      </c>
      <c r="P234" s="2">
        <f t="shared" si="30"/>
        <v>1</v>
      </c>
      <c r="Q234" s="2" t="str">
        <f t="shared" si="31"/>
        <v>2023-11</v>
      </c>
      <c r="R234" s="3" t="s">
        <v>39</v>
      </c>
      <c r="S234" s="2">
        <f>IF(tblChecks[[#This Row],[AnyError]]="ERROR",1,0)</f>
        <v>1</v>
      </c>
      <c r="T234" s="2">
        <f>IF(tblChecks[[#This Row],[MissingStreet]]="MISSING",1,0)</f>
        <v>1</v>
      </c>
      <c r="U234" t="str">
        <f t="shared" si="24"/>
        <v>MissingStreet</v>
      </c>
    </row>
    <row r="235" spans="1:21" x14ac:dyDescent="0.3">
      <c r="A235" s="1" t="str">
        <f>CleanedData!F235</f>
        <v>PROP00234</v>
      </c>
      <c r="B235" s="2" t="str">
        <f>CleanedData!A235</f>
        <v>GermanyMunich</v>
      </c>
      <c r="C235" s="2" t="str">
        <f>CleanedData!D235</f>
        <v>Germany</v>
      </c>
      <c r="D235" s="2" t="str">
        <f>CleanedData!E235</f>
        <v>Munich</v>
      </c>
      <c r="E235" s="2" t="str">
        <f>CleanedData!O235</f>
        <v>Munich</v>
      </c>
      <c r="F235" s="2" t="str">
        <f>CleanedData!M235</f>
        <v/>
      </c>
      <c r="G235" s="2" t="str">
        <f>CleanedData!B235</f>
        <v>61053</v>
      </c>
      <c r="H235" s="2" t="str">
        <f>CleanedData!C235</f>
        <v>+77-319537557</v>
      </c>
      <c r="I235" s="2" t="str">
        <f>CleanedData!G235</f>
        <v>Active</v>
      </c>
      <c r="J235" s="14">
        <f>CleanedData!H235</f>
        <v>45734</v>
      </c>
      <c r="K235" s="2" t="str">
        <f t="shared" si="25"/>
        <v>MISSING</v>
      </c>
      <c r="L235" s="2" t="str">
        <f t="shared" si="26"/>
        <v>OK</v>
      </c>
      <c r="M235" s="2" t="str">
        <f t="shared" si="27"/>
        <v>OK</v>
      </c>
      <c r="N235" s="2" t="str">
        <f t="shared" si="28"/>
        <v>MATCH</v>
      </c>
      <c r="O235" s="2" t="str">
        <f t="shared" si="29"/>
        <v>ERROR</v>
      </c>
      <c r="P235" s="2">
        <f t="shared" si="30"/>
        <v>1</v>
      </c>
      <c r="Q235" s="2" t="str">
        <f t="shared" si="31"/>
        <v>2025-03</v>
      </c>
      <c r="R235" s="3" t="s">
        <v>33</v>
      </c>
      <c r="S235" s="2">
        <f>IF(tblChecks[[#This Row],[AnyError]]="ERROR",1,0)</f>
        <v>1</v>
      </c>
      <c r="T235" s="2">
        <f>IF(tblChecks[[#This Row],[MissingStreet]]="MISSING",1,0)</f>
        <v>1</v>
      </c>
      <c r="U235" t="str">
        <f t="shared" si="24"/>
        <v>MissingStreet</v>
      </c>
    </row>
    <row r="236" spans="1:21" x14ac:dyDescent="0.3">
      <c r="A236" s="1" t="str">
        <f>CleanedData!F236</f>
        <v>PROP00235</v>
      </c>
      <c r="B236" s="2" t="str">
        <f>CleanedData!A236</f>
        <v>Fortaleza, Brown Path 237, Brazil</v>
      </c>
      <c r="C236" s="2" t="str">
        <f>CleanedData!D236</f>
        <v>Brazil</v>
      </c>
      <c r="D236" s="2" t="str">
        <f>CleanedData!E236</f>
        <v>Fortaleza</v>
      </c>
      <c r="E236" s="2" t="str">
        <f>CleanedData!O236</f>
        <v>Fortaleza</v>
      </c>
      <c r="F236" s="2" t="str">
        <f>CleanedData!M236</f>
        <v>Brown Path 237</v>
      </c>
      <c r="G236" s="2" t="str">
        <f>CleanedData!B236</f>
        <v>47920</v>
      </c>
      <c r="H236" s="2" t="str">
        <f>CleanedData!C236</f>
        <v>+26-897609046</v>
      </c>
      <c r="I236" s="2" t="str">
        <f>CleanedData!G236</f>
        <v>Inactive</v>
      </c>
      <c r="J236" s="14">
        <f>CleanedData!H236</f>
        <v>45911</v>
      </c>
      <c r="K236" s="2" t="str">
        <f t="shared" si="25"/>
        <v>OK</v>
      </c>
      <c r="L236" s="2" t="str">
        <f t="shared" si="26"/>
        <v>OK</v>
      </c>
      <c r="M236" s="2" t="str">
        <f t="shared" si="27"/>
        <v>OK</v>
      </c>
      <c r="N236" s="2" t="str">
        <f t="shared" si="28"/>
        <v>MATCH</v>
      </c>
      <c r="O236" s="2" t="str">
        <f t="shared" si="29"/>
        <v>OK</v>
      </c>
      <c r="P236" s="2">
        <f t="shared" si="30"/>
        <v>0</v>
      </c>
      <c r="Q236" s="2" t="str">
        <f t="shared" si="31"/>
        <v>2025-09</v>
      </c>
      <c r="R236" s="3" t="s">
        <v>23</v>
      </c>
      <c r="S236" s="2">
        <f>IF(tblChecks[[#This Row],[AnyError]]="ERROR",1,0)</f>
        <v>0</v>
      </c>
      <c r="T236" s="2">
        <f>IF(tblChecks[[#This Row],[MissingStreet]]="MISSING",1,0)</f>
        <v>0</v>
      </c>
      <c r="U236" t="str">
        <f t="shared" si="24"/>
        <v>OK</v>
      </c>
    </row>
    <row r="237" spans="1:21" x14ac:dyDescent="0.3">
      <c r="A237" s="1" t="str">
        <f>CleanedData!F237</f>
        <v>PROP00236</v>
      </c>
      <c r="B237" s="2" t="str">
        <f>CleanedData!A237</f>
        <v>AustraliaPerth, Australia</v>
      </c>
      <c r="C237" s="2" t="str">
        <f>CleanedData!D237</f>
        <v>Australia</v>
      </c>
      <c r="D237" s="2" t="str">
        <f>CleanedData!E237</f>
        <v>Perth</v>
      </c>
      <c r="E237" s="2" t="str">
        <f>CleanedData!O237</f>
        <v>Perth</v>
      </c>
      <c r="F237" s="2" t="str">
        <f>CleanedData!M237</f>
        <v>Australia</v>
      </c>
      <c r="G237" s="2" t="str">
        <f>CleanedData!B237</f>
        <v>7265</v>
      </c>
      <c r="H237" s="2" t="str">
        <f>CleanedData!C237</f>
        <v>+27-999684991</v>
      </c>
      <c r="I237" s="2" t="str">
        <f>CleanedData!G237</f>
        <v>Inactive</v>
      </c>
      <c r="J237" s="14">
        <f>CleanedData!H237</f>
        <v>45254</v>
      </c>
      <c r="K237" s="2" t="str">
        <f t="shared" si="25"/>
        <v>OK</v>
      </c>
      <c r="L237" s="2" t="str">
        <f t="shared" si="26"/>
        <v>OK</v>
      </c>
      <c r="M237" s="2" t="str">
        <f t="shared" si="27"/>
        <v>OK</v>
      </c>
      <c r="N237" s="2" t="str">
        <f t="shared" si="28"/>
        <v>MATCH</v>
      </c>
      <c r="O237" s="2" t="str">
        <f t="shared" si="29"/>
        <v>OK</v>
      </c>
      <c r="P237" s="2">
        <f t="shared" si="30"/>
        <v>0</v>
      </c>
      <c r="Q237" s="2" t="str">
        <f t="shared" si="31"/>
        <v>2023-11</v>
      </c>
      <c r="R237" s="3" t="s">
        <v>23</v>
      </c>
      <c r="S237" s="2">
        <f>IF(tblChecks[[#This Row],[AnyError]]="ERROR",1,0)</f>
        <v>0</v>
      </c>
      <c r="T237" s="2">
        <f>IF(tblChecks[[#This Row],[MissingStreet]]="MISSING",1,0)</f>
        <v>0</v>
      </c>
      <c r="U237" t="str">
        <f t="shared" si="24"/>
        <v>OK</v>
      </c>
    </row>
    <row r="238" spans="1:21" x14ac:dyDescent="0.3">
      <c r="A238" s="1" t="str">
        <f>CleanedData!F238</f>
        <v>PROP00237</v>
      </c>
      <c r="B238" s="2" t="str">
        <f>CleanedData!A238</f>
        <v>Joseph Curve 49, Hamburg</v>
      </c>
      <c r="C238" s="2" t="str">
        <f>CleanedData!D238</f>
        <v>Germany</v>
      </c>
      <c r="D238" s="2" t="str">
        <f>CleanedData!E238</f>
        <v>Hamburg</v>
      </c>
      <c r="E238" s="2" t="str">
        <f>CleanedData!O238</f>
        <v>Hamburg</v>
      </c>
      <c r="F238" s="2" t="str">
        <f>CleanedData!M238</f>
        <v>Joseph Curve 49</v>
      </c>
      <c r="G238" s="2" t="str">
        <f>CleanedData!B238</f>
        <v>38253</v>
      </c>
      <c r="H238" s="2" t="str">
        <f>CleanedData!C238</f>
        <v>+62-293593385</v>
      </c>
      <c r="I238" s="2" t="str">
        <f>CleanedData!G238</f>
        <v>Active</v>
      </c>
      <c r="J238" s="14">
        <f>CleanedData!H238</f>
        <v>45976</v>
      </c>
      <c r="K238" s="2" t="str">
        <f t="shared" si="25"/>
        <v>OK</v>
      </c>
      <c r="L238" s="2" t="str">
        <f t="shared" si="26"/>
        <v>OK</v>
      </c>
      <c r="M238" s="2" t="str">
        <f t="shared" si="27"/>
        <v>OK</v>
      </c>
      <c r="N238" s="2" t="str">
        <f t="shared" si="28"/>
        <v>MATCH</v>
      </c>
      <c r="O238" s="2" t="str">
        <f t="shared" si="29"/>
        <v>OK</v>
      </c>
      <c r="P238" s="2">
        <f t="shared" si="30"/>
        <v>0</v>
      </c>
      <c r="Q238" s="2" t="str">
        <f t="shared" si="31"/>
        <v>2025-11</v>
      </c>
      <c r="R238" s="3" t="s">
        <v>54</v>
      </c>
      <c r="S238" s="2">
        <f>IF(tblChecks[[#This Row],[AnyError]]="ERROR",1,0)</f>
        <v>0</v>
      </c>
      <c r="T238" s="2">
        <f>IF(tblChecks[[#This Row],[MissingStreet]]="MISSING",1,0)</f>
        <v>0</v>
      </c>
      <c r="U238" t="str">
        <f t="shared" si="24"/>
        <v>OK</v>
      </c>
    </row>
    <row r="239" spans="1:21" x14ac:dyDescent="0.3">
      <c r="A239" s="1" t="str">
        <f>CleanedData!F239</f>
        <v>PROP00238</v>
      </c>
      <c r="B239" s="2" t="str">
        <f>CleanedData!A239</f>
        <v>Gilmore Oval 266, Paris</v>
      </c>
      <c r="C239" s="2" t="str">
        <f>CleanedData!D239</f>
        <v>France</v>
      </c>
      <c r="D239" s="2" t="str">
        <f>CleanedData!E239</f>
        <v>Paris</v>
      </c>
      <c r="E239" s="2" t="str">
        <f>CleanedData!O239</f>
        <v>Paris</v>
      </c>
      <c r="F239" s="2" t="str">
        <f>CleanedData!M239</f>
        <v>Gilmore Oval 266</v>
      </c>
      <c r="G239" s="2" t="str">
        <f>CleanedData!B239</f>
        <v>16416</v>
      </c>
      <c r="H239" s="2" t="str">
        <f>CleanedData!C239</f>
        <v>+77-120684582</v>
      </c>
      <c r="I239" s="2" t="str">
        <f>CleanedData!G239</f>
        <v>Inactive</v>
      </c>
      <c r="J239" s="14">
        <f>CleanedData!H239</f>
        <v>45905</v>
      </c>
      <c r="K239" s="2" t="str">
        <f t="shared" si="25"/>
        <v>OK</v>
      </c>
      <c r="L239" s="2" t="str">
        <f t="shared" si="26"/>
        <v>OK</v>
      </c>
      <c r="M239" s="2" t="str">
        <f t="shared" si="27"/>
        <v>OK</v>
      </c>
      <c r="N239" s="2" t="str">
        <f t="shared" si="28"/>
        <v>MATCH</v>
      </c>
      <c r="O239" s="2" t="str">
        <f t="shared" si="29"/>
        <v>OK</v>
      </c>
      <c r="P239" s="2">
        <f t="shared" si="30"/>
        <v>0</v>
      </c>
      <c r="Q239" s="2" t="str">
        <f t="shared" si="31"/>
        <v>2025-09</v>
      </c>
      <c r="R239" s="3" t="s">
        <v>54</v>
      </c>
      <c r="S239" s="2">
        <f>IF(tblChecks[[#This Row],[AnyError]]="ERROR",1,0)</f>
        <v>0</v>
      </c>
      <c r="T239" s="2">
        <f>IF(tblChecks[[#This Row],[MissingStreet]]="MISSING",1,0)</f>
        <v>0</v>
      </c>
      <c r="U239" t="str">
        <f t="shared" si="24"/>
        <v>OK</v>
      </c>
    </row>
    <row r="240" spans="1:21" x14ac:dyDescent="0.3">
      <c r="A240" s="1" t="str">
        <f>CleanedData!F240</f>
        <v>PROP00239</v>
      </c>
      <c r="B240" s="2" t="str">
        <f>CleanedData!A240</f>
        <v>NaplesTeresa Rest232, Italy</v>
      </c>
      <c r="C240" s="2" t="str">
        <f>CleanedData!D240</f>
        <v>Italy</v>
      </c>
      <c r="D240" s="2" t="str">
        <f>CleanedData!E240</f>
        <v>Naples</v>
      </c>
      <c r="E240" s="2" t="str">
        <f>CleanedData!O240</f>
        <v>Naples</v>
      </c>
      <c r="F240" s="2" t="str">
        <f>CleanedData!M240</f>
        <v>NaplesTeresa Rest232</v>
      </c>
      <c r="G240" s="2" t="str">
        <f>CleanedData!B240</f>
        <v>31866</v>
      </c>
      <c r="H240" s="2" t="str">
        <f>CleanedData!C240</f>
        <v>+86-365965161</v>
      </c>
      <c r="I240" s="2" t="str">
        <f>CleanedData!G240</f>
        <v>Inactive</v>
      </c>
      <c r="J240" s="14">
        <f>CleanedData!H240</f>
        <v>45765</v>
      </c>
      <c r="K240" s="2" t="str">
        <f t="shared" si="25"/>
        <v>OK</v>
      </c>
      <c r="L240" s="2" t="str">
        <f t="shared" si="26"/>
        <v>OK</v>
      </c>
      <c r="M240" s="2" t="str">
        <f t="shared" si="27"/>
        <v>OK</v>
      </c>
      <c r="N240" s="2" t="str">
        <f t="shared" si="28"/>
        <v>MATCH</v>
      </c>
      <c r="O240" s="2" t="str">
        <f t="shared" si="29"/>
        <v>OK</v>
      </c>
      <c r="P240" s="2">
        <f t="shared" si="30"/>
        <v>0</v>
      </c>
      <c r="Q240" s="2" t="str">
        <f t="shared" si="31"/>
        <v>2025-04</v>
      </c>
      <c r="R240" s="3" t="s">
        <v>23</v>
      </c>
      <c r="S240" s="2">
        <f>IF(tblChecks[[#This Row],[AnyError]]="ERROR",1,0)</f>
        <v>0</v>
      </c>
      <c r="T240" s="2">
        <f>IF(tblChecks[[#This Row],[MissingStreet]]="MISSING",1,0)</f>
        <v>0</v>
      </c>
      <c r="U240" t="str">
        <f t="shared" si="24"/>
        <v>OK</v>
      </c>
    </row>
    <row r="241" spans="1:21" x14ac:dyDescent="0.3">
      <c r="A241" s="1" t="str">
        <f>CleanedData!F241</f>
        <v>PROP00240</v>
      </c>
      <c r="B241" s="2" t="str">
        <f>CleanedData!A241</f>
        <v>JapanTokyoLance Bridge101</v>
      </c>
      <c r="C241" s="2" t="str">
        <f>CleanedData!D241</f>
        <v>Japan</v>
      </c>
      <c r="D241" s="2" t="str">
        <f>CleanedData!E241</f>
        <v>Tokyo</v>
      </c>
      <c r="E241" s="2" t="str">
        <f>CleanedData!O241</f>
        <v>Tokyo</v>
      </c>
      <c r="F241" s="2" t="str">
        <f>CleanedData!M241</f>
        <v>JapanTokyoLance Bridge101</v>
      </c>
      <c r="G241" s="2" t="str">
        <f>CleanedData!B241</f>
        <v>72885</v>
      </c>
      <c r="H241" s="2" t="str">
        <f>CleanedData!C241</f>
        <v>+48-772050569</v>
      </c>
      <c r="I241" s="2" t="str">
        <f>CleanedData!G241</f>
        <v>Inactive</v>
      </c>
      <c r="J241" s="14">
        <f>CleanedData!H241</f>
        <v>45896</v>
      </c>
      <c r="K241" s="2" t="str">
        <f t="shared" si="25"/>
        <v>OK</v>
      </c>
      <c r="L241" s="2" t="str">
        <f t="shared" si="26"/>
        <v>OK</v>
      </c>
      <c r="M241" s="2" t="str">
        <f t="shared" si="27"/>
        <v>OK</v>
      </c>
      <c r="N241" s="2" t="str">
        <f t="shared" si="28"/>
        <v>MATCH</v>
      </c>
      <c r="O241" s="2" t="str">
        <f t="shared" si="29"/>
        <v>OK</v>
      </c>
      <c r="P241" s="2">
        <f t="shared" si="30"/>
        <v>0</v>
      </c>
      <c r="Q241" s="2" t="str">
        <f t="shared" si="31"/>
        <v>2025-08</v>
      </c>
      <c r="R241" s="3" t="s">
        <v>54</v>
      </c>
      <c r="S241" s="2">
        <f>IF(tblChecks[[#This Row],[AnyError]]="ERROR",1,0)</f>
        <v>0</v>
      </c>
      <c r="T241" s="2">
        <f>IF(tblChecks[[#This Row],[MissingStreet]]="MISSING",1,0)</f>
        <v>0</v>
      </c>
      <c r="U241" t="str">
        <f t="shared" si="24"/>
        <v>OK</v>
      </c>
    </row>
    <row r="242" spans="1:21" x14ac:dyDescent="0.3">
      <c r="A242" s="1" t="str">
        <f>CleanedData!F242</f>
        <v>PROP00241</v>
      </c>
      <c r="B242" s="2" t="str">
        <f>CleanedData!A242</f>
        <v>Canada, Vancouver, Davis Ville 185</v>
      </c>
      <c r="C242" s="2" t="str">
        <f>CleanedData!D242</f>
        <v>Canada</v>
      </c>
      <c r="D242" s="2" t="str">
        <f>CleanedData!E242</f>
        <v>Vancouver</v>
      </c>
      <c r="E242" s="2" t="str">
        <f>CleanedData!O242</f>
        <v>Vancouver</v>
      </c>
      <c r="F242" s="2" t="str">
        <f>CleanedData!M242</f>
        <v>Davis Ville 185</v>
      </c>
      <c r="G242" s="2" t="str">
        <f>CleanedData!B242</f>
        <v>15372</v>
      </c>
      <c r="H242" s="2" t="str">
        <f>CleanedData!C242</f>
        <v>+70-578503796</v>
      </c>
      <c r="I242" s="2" t="str">
        <f>CleanedData!G242</f>
        <v>Active</v>
      </c>
      <c r="J242" s="14">
        <f>CleanedData!H242</f>
        <v>45917</v>
      </c>
      <c r="K242" s="2" t="str">
        <f t="shared" si="25"/>
        <v>OK</v>
      </c>
      <c r="L242" s="2" t="str">
        <f t="shared" si="26"/>
        <v>OK</v>
      </c>
      <c r="M242" s="2" t="str">
        <f t="shared" si="27"/>
        <v>OK</v>
      </c>
      <c r="N242" s="2" t="str">
        <f t="shared" si="28"/>
        <v>MATCH</v>
      </c>
      <c r="O242" s="2" t="str">
        <f t="shared" si="29"/>
        <v>OK</v>
      </c>
      <c r="P242" s="2">
        <f t="shared" si="30"/>
        <v>0</v>
      </c>
      <c r="Q242" s="2" t="str">
        <f t="shared" si="31"/>
        <v>2025-09</v>
      </c>
      <c r="R242" s="3" t="s">
        <v>16</v>
      </c>
      <c r="S242" s="2">
        <f>IF(tblChecks[[#This Row],[AnyError]]="ERROR",1,0)</f>
        <v>0</v>
      </c>
      <c r="T242" s="2">
        <f>IF(tblChecks[[#This Row],[MissingStreet]]="MISSING",1,0)</f>
        <v>0</v>
      </c>
      <c r="U242" t="str">
        <f t="shared" si="24"/>
        <v>OK</v>
      </c>
    </row>
    <row r="243" spans="1:21" x14ac:dyDescent="0.3">
      <c r="A243" s="1" t="str">
        <f>CleanedData!F243</f>
        <v>PROP00242</v>
      </c>
      <c r="B243" s="2" t="str">
        <f>CleanedData!A243</f>
        <v>Valentine Rue159, Melbourne, Australia</v>
      </c>
      <c r="C243" s="2" t="str">
        <f>CleanedData!D243</f>
        <v>Australia</v>
      </c>
      <c r="D243" s="2" t="str">
        <f>CleanedData!E243</f>
        <v>Melbourne</v>
      </c>
      <c r="E243" s="2" t="str">
        <f>CleanedData!O243</f>
        <v>Melbourne</v>
      </c>
      <c r="F243" s="2" t="str">
        <f>CleanedData!M243</f>
        <v>Valentine Rue159</v>
      </c>
      <c r="G243" s="2" t="str">
        <f>CleanedData!B243</f>
        <v>20682</v>
      </c>
      <c r="H243" s="2" t="str">
        <f>CleanedData!C243</f>
        <v>+36-879423333</v>
      </c>
      <c r="I243" s="2" t="str">
        <f>CleanedData!G243</f>
        <v>Inactive</v>
      </c>
      <c r="J243" s="14">
        <f>CleanedData!H243</f>
        <v>44949</v>
      </c>
      <c r="K243" s="2" t="str">
        <f t="shared" si="25"/>
        <v>OK</v>
      </c>
      <c r="L243" s="2" t="str">
        <f t="shared" si="26"/>
        <v>OK</v>
      </c>
      <c r="M243" s="2" t="str">
        <f t="shared" si="27"/>
        <v>OK</v>
      </c>
      <c r="N243" s="2" t="str">
        <f t="shared" si="28"/>
        <v>MATCH</v>
      </c>
      <c r="O243" s="2" t="str">
        <f t="shared" si="29"/>
        <v>OK</v>
      </c>
      <c r="P243" s="2">
        <f t="shared" si="30"/>
        <v>0</v>
      </c>
      <c r="Q243" s="2" t="str">
        <f t="shared" si="31"/>
        <v>2023-01</v>
      </c>
      <c r="R243" s="3" t="s">
        <v>23</v>
      </c>
      <c r="S243" s="2">
        <f>IF(tblChecks[[#This Row],[AnyError]]="ERROR",1,0)</f>
        <v>0</v>
      </c>
      <c r="T243" s="2">
        <f>IF(tblChecks[[#This Row],[MissingStreet]]="MISSING",1,0)</f>
        <v>0</v>
      </c>
      <c r="U243" t="str">
        <f t="shared" si="24"/>
        <v>OK</v>
      </c>
    </row>
    <row r="244" spans="1:21" x14ac:dyDescent="0.3">
      <c r="A244" s="1" t="str">
        <f>CleanedData!F244</f>
        <v>PROP00243</v>
      </c>
      <c r="B244" s="2" t="str">
        <f>CleanedData!A244</f>
        <v>France, Paris</v>
      </c>
      <c r="C244" s="2" t="str">
        <f>CleanedData!D244</f>
        <v>France</v>
      </c>
      <c r="D244" s="2" t="str">
        <f>CleanedData!E244</f>
        <v>Paris</v>
      </c>
      <c r="E244" s="2" t="str">
        <f>CleanedData!O244</f>
        <v>Paris</v>
      </c>
      <c r="F244" s="2" t="str">
        <f>CleanedData!M244</f>
        <v>Paris</v>
      </c>
      <c r="G244" s="2" t="str">
        <f>CleanedData!B244</f>
        <v>67199</v>
      </c>
      <c r="H244" s="2" t="str">
        <f>CleanedData!C244</f>
        <v>+93-624115037</v>
      </c>
      <c r="I244" s="2" t="str">
        <f>CleanedData!G244</f>
        <v>Inactive</v>
      </c>
      <c r="J244" s="14">
        <f>CleanedData!H244</f>
        <v>45771</v>
      </c>
      <c r="K244" s="2" t="str">
        <f t="shared" si="25"/>
        <v>OK</v>
      </c>
      <c r="L244" s="2" t="str">
        <f t="shared" si="26"/>
        <v>OK</v>
      </c>
      <c r="M244" s="2" t="str">
        <f t="shared" si="27"/>
        <v>OK</v>
      </c>
      <c r="N244" s="2" t="str">
        <f t="shared" si="28"/>
        <v>MATCH</v>
      </c>
      <c r="O244" s="2" t="str">
        <f t="shared" si="29"/>
        <v>OK</v>
      </c>
      <c r="P244" s="2">
        <f t="shared" si="30"/>
        <v>0</v>
      </c>
      <c r="Q244" s="2" t="str">
        <f t="shared" si="31"/>
        <v>2025-04</v>
      </c>
      <c r="R244" s="3" t="s">
        <v>33</v>
      </c>
      <c r="S244" s="2">
        <f>IF(tblChecks[[#This Row],[AnyError]]="ERROR",1,0)</f>
        <v>0</v>
      </c>
      <c r="T244" s="2">
        <f>IF(tblChecks[[#This Row],[MissingStreet]]="MISSING",1,0)</f>
        <v>0</v>
      </c>
      <c r="U244" t="str">
        <f t="shared" si="24"/>
        <v>OK</v>
      </c>
    </row>
    <row r="245" spans="1:21" x14ac:dyDescent="0.3">
      <c r="A245" s="1" t="str">
        <f>CleanedData!F245</f>
        <v>PROP00244</v>
      </c>
      <c r="B245" s="2" t="str">
        <f>CleanedData!A245</f>
        <v>ParisPerry Orchard298, France</v>
      </c>
      <c r="C245" s="2" t="str">
        <f>CleanedData!D245</f>
        <v>France</v>
      </c>
      <c r="D245" s="2" t="str">
        <f>CleanedData!E245</f>
        <v>Paris</v>
      </c>
      <c r="E245" s="2" t="str">
        <f>CleanedData!O245</f>
        <v>Paris</v>
      </c>
      <c r="F245" s="2" t="str">
        <f>CleanedData!M245</f>
        <v>ParisPerry Orchard298</v>
      </c>
      <c r="G245" s="2" t="str">
        <f>CleanedData!B245</f>
        <v>62395</v>
      </c>
      <c r="H245" s="2" t="str">
        <f>CleanedData!C245</f>
        <v>+48-590697260</v>
      </c>
      <c r="I245" s="2" t="str">
        <f>CleanedData!G245</f>
        <v>Inactive</v>
      </c>
      <c r="J245" s="14">
        <f>CleanedData!H245</f>
        <v>45682</v>
      </c>
      <c r="K245" s="2" t="str">
        <f t="shared" si="25"/>
        <v>OK</v>
      </c>
      <c r="L245" s="2" t="str">
        <f t="shared" si="26"/>
        <v>OK</v>
      </c>
      <c r="M245" s="2" t="str">
        <f t="shared" si="27"/>
        <v>OK</v>
      </c>
      <c r="N245" s="2" t="str">
        <f t="shared" si="28"/>
        <v>MATCH</v>
      </c>
      <c r="O245" s="2" t="str">
        <f t="shared" si="29"/>
        <v>OK</v>
      </c>
      <c r="P245" s="2">
        <f t="shared" si="30"/>
        <v>0</v>
      </c>
      <c r="Q245" s="2" t="str">
        <f t="shared" si="31"/>
        <v>2025-01</v>
      </c>
      <c r="R245" s="3" t="s">
        <v>39</v>
      </c>
      <c r="S245" s="2">
        <f>IF(tblChecks[[#This Row],[AnyError]]="ERROR",1,0)</f>
        <v>0</v>
      </c>
      <c r="T245" s="2">
        <f>IF(tblChecks[[#This Row],[MissingStreet]]="MISSING",1,0)</f>
        <v>0</v>
      </c>
      <c r="U245" t="str">
        <f t="shared" si="24"/>
        <v>OK</v>
      </c>
    </row>
    <row r="246" spans="1:21" x14ac:dyDescent="0.3">
      <c r="A246" s="1" t="str">
        <f>CleanedData!F246</f>
        <v>PROP00245</v>
      </c>
      <c r="B246" s="2" t="str">
        <f>CleanedData!A246</f>
        <v>Stephen Drive 57, France, Marseille</v>
      </c>
      <c r="C246" s="2" t="str">
        <f>CleanedData!D246</f>
        <v>France</v>
      </c>
      <c r="D246" s="2" t="str">
        <f>CleanedData!E246</f>
        <v>Marseille</v>
      </c>
      <c r="E246" s="2" t="str">
        <f>CleanedData!O246</f>
        <v>Marseille</v>
      </c>
      <c r="F246" s="2" t="str">
        <f>CleanedData!M246</f>
        <v>Stephen Drive 57</v>
      </c>
      <c r="G246" s="2" t="str">
        <f>CleanedData!B246</f>
        <v>50778</v>
      </c>
      <c r="H246" s="2" t="str">
        <f>CleanedData!C246</f>
        <v>+25-478015328</v>
      </c>
      <c r="I246" s="2" t="str">
        <f>CleanedData!G246</f>
        <v>Active</v>
      </c>
      <c r="J246" s="14">
        <f>CleanedData!H246</f>
        <v>45114</v>
      </c>
      <c r="K246" s="2" t="str">
        <f t="shared" si="25"/>
        <v>OK</v>
      </c>
      <c r="L246" s="2" t="str">
        <f t="shared" si="26"/>
        <v>OK</v>
      </c>
      <c r="M246" s="2" t="str">
        <f t="shared" si="27"/>
        <v>OK</v>
      </c>
      <c r="N246" s="2" t="str">
        <f t="shared" si="28"/>
        <v>MATCH</v>
      </c>
      <c r="O246" s="2" t="str">
        <f t="shared" si="29"/>
        <v>OK</v>
      </c>
      <c r="P246" s="2">
        <f t="shared" si="30"/>
        <v>0</v>
      </c>
      <c r="Q246" s="2" t="str">
        <f t="shared" si="31"/>
        <v>2023-07</v>
      </c>
      <c r="R246" s="3" t="s">
        <v>33</v>
      </c>
      <c r="S246" s="2">
        <f>IF(tblChecks[[#This Row],[AnyError]]="ERROR",1,0)</f>
        <v>0</v>
      </c>
      <c r="T246" s="2">
        <f>IF(tblChecks[[#This Row],[MissingStreet]]="MISSING",1,0)</f>
        <v>0</v>
      </c>
      <c r="U246" t="str">
        <f t="shared" si="24"/>
        <v>OK</v>
      </c>
    </row>
    <row r="247" spans="1:21" x14ac:dyDescent="0.3">
      <c r="A247" s="1" t="str">
        <f>CleanedData!F247</f>
        <v>PROP00246</v>
      </c>
      <c r="B247" s="2" t="str">
        <f>CleanedData!A247</f>
        <v>AustraliaBrisbane</v>
      </c>
      <c r="C247" s="2" t="str">
        <f>CleanedData!D247</f>
        <v>Australia</v>
      </c>
      <c r="D247" s="2" t="str">
        <f>CleanedData!E247</f>
        <v>Brisbane</v>
      </c>
      <c r="E247" s="2" t="str">
        <f>CleanedData!O247</f>
        <v>Brisbane</v>
      </c>
      <c r="F247" s="2" t="str">
        <f>CleanedData!M247</f>
        <v/>
      </c>
      <c r="G247" s="2" t="str">
        <f>CleanedData!B247</f>
        <v>98319</v>
      </c>
      <c r="H247" s="2" t="str">
        <f>CleanedData!C247</f>
        <v>+62-876834698</v>
      </c>
      <c r="I247" s="2" t="str">
        <f>CleanedData!G247</f>
        <v>Inactive</v>
      </c>
      <c r="J247" s="14">
        <f>CleanedData!H247</f>
        <v>45984</v>
      </c>
      <c r="K247" s="2" t="str">
        <f t="shared" si="25"/>
        <v>MISSING</v>
      </c>
      <c r="L247" s="2" t="str">
        <f t="shared" si="26"/>
        <v>OK</v>
      </c>
      <c r="M247" s="2" t="str">
        <f t="shared" si="27"/>
        <v>OK</v>
      </c>
      <c r="N247" s="2" t="str">
        <f t="shared" si="28"/>
        <v>MATCH</v>
      </c>
      <c r="O247" s="2" t="str">
        <f t="shared" si="29"/>
        <v>ERROR</v>
      </c>
      <c r="P247" s="2">
        <f t="shared" si="30"/>
        <v>1</v>
      </c>
      <c r="Q247" s="2" t="str">
        <f t="shared" si="31"/>
        <v>2025-11</v>
      </c>
      <c r="R247" s="3" t="s">
        <v>54</v>
      </c>
      <c r="S247" s="2">
        <f>IF(tblChecks[[#This Row],[AnyError]]="ERROR",1,0)</f>
        <v>1</v>
      </c>
      <c r="T247" s="2">
        <f>IF(tblChecks[[#This Row],[MissingStreet]]="MISSING",1,0)</f>
        <v>1</v>
      </c>
      <c r="U247" t="str">
        <f t="shared" si="24"/>
        <v>MissingStreet</v>
      </c>
    </row>
    <row r="248" spans="1:21" x14ac:dyDescent="0.3">
      <c r="A248" s="1" t="str">
        <f>CleanedData!F248</f>
        <v>PROP00247</v>
      </c>
      <c r="B248" s="2" t="str">
        <f>CleanedData!A248</f>
        <v>UK, Manchester</v>
      </c>
      <c r="C248" s="2" t="str">
        <f>CleanedData!D248</f>
        <v>UK</v>
      </c>
      <c r="D248" s="2" t="str">
        <f>CleanedData!E248</f>
        <v>Manchester</v>
      </c>
      <c r="E248" s="2" t="str">
        <f>CleanedData!O248</f>
        <v>Manchester</v>
      </c>
      <c r="F248" s="2" t="str">
        <f>CleanedData!M248</f>
        <v>Manchester</v>
      </c>
      <c r="G248" s="2" t="str">
        <f>CleanedData!B248</f>
        <v>54888</v>
      </c>
      <c r="H248" s="2" t="str">
        <f>CleanedData!C248</f>
        <v>+11-958092389</v>
      </c>
      <c r="I248" s="2" t="str">
        <f>CleanedData!G248</f>
        <v>Active</v>
      </c>
      <c r="J248" s="14">
        <f>CleanedData!H248</f>
        <v>45841</v>
      </c>
      <c r="K248" s="2" t="str">
        <f t="shared" si="25"/>
        <v>OK</v>
      </c>
      <c r="L248" s="2" t="str">
        <f t="shared" si="26"/>
        <v>OK</v>
      </c>
      <c r="M248" s="2" t="str">
        <f t="shared" si="27"/>
        <v>OK</v>
      </c>
      <c r="N248" s="2" t="str">
        <f t="shared" si="28"/>
        <v>MATCH</v>
      </c>
      <c r="O248" s="2" t="str">
        <f t="shared" si="29"/>
        <v>OK</v>
      </c>
      <c r="P248" s="2">
        <f t="shared" si="30"/>
        <v>0</v>
      </c>
      <c r="Q248" s="2" t="str">
        <f t="shared" si="31"/>
        <v>2025-07</v>
      </c>
      <c r="R248" s="3" t="s">
        <v>39</v>
      </c>
      <c r="S248" s="2">
        <f>IF(tblChecks[[#This Row],[AnyError]]="ERROR",1,0)</f>
        <v>0</v>
      </c>
      <c r="T248" s="2">
        <f>IF(tblChecks[[#This Row],[MissingStreet]]="MISSING",1,0)</f>
        <v>0</v>
      </c>
      <c r="U248" t="str">
        <f t="shared" si="24"/>
        <v>OK</v>
      </c>
    </row>
    <row r="249" spans="1:21" x14ac:dyDescent="0.3">
      <c r="A249" s="1" t="str">
        <f>CleanedData!F249</f>
        <v>PROP00248</v>
      </c>
      <c r="B249" s="2" t="str">
        <f>CleanedData!A249</f>
        <v>Villa Parkways110, Bordeaux, France</v>
      </c>
      <c r="C249" s="2" t="str">
        <f>CleanedData!D249</f>
        <v>France</v>
      </c>
      <c r="D249" s="2" t="str">
        <f>CleanedData!E249</f>
        <v>Bordeaux</v>
      </c>
      <c r="E249" s="2" t="str">
        <f>CleanedData!O249</f>
        <v>Bordeaux</v>
      </c>
      <c r="F249" s="2" t="str">
        <f>CleanedData!M249</f>
        <v>Villa Parkways110</v>
      </c>
      <c r="G249" s="2" t="str">
        <f>CleanedData!B249</f>
        <v>35519</v>
      </c>
      <c r="H249" s="2" t="str">
        <f>CleanedData!C249</f>
        <v>+7-238442070</v>
      </c>
      <c r="I249" s="2" t="str">
        <f>CleanedData!G249</f>
        <v>Inactive</v>
      </c>
      <c r="J249" s="14">
        <f>CleanedData!H249</f>
        <v>45066</v>
      </c>
      <c r="K249" s="2" t="str">
        <f t="shared" si="25"/>
        <v>OK</v>
      </c>
      <c r="L249" s="2" t="str">
        <f t="shared" si="26"/>
        <v>OK</v>
      </c>
      <c r="M249" s="2" t="str">
        <f t="shared" si="27"/>
        <v>OK</v>
      </c>
      <c r="N249" s="2" t="str">
        <f t="shared" si="28"/>
        <v>MATCH</v>
      </c>
      <c r="O249" s="2" t="str">
        <f t="shared" si="29"/>
        <v>OK</v>
      </c>
      <c r="P249" s="2">
        <f t="shared" si="30"/>
        <v>0</v>
      </c>
      <c r="Q249" s="2" t="str">
        <f t="shared" si="31"/>
        <v>2023-05</v>
      </c>
      <c r="R249" s="3" t="s">
        <v>39</v>
      </c>
      <c r="S249" s="2">
        <f>IF(tblChecks[[#This Row],[AnyError]]="ERROR",1,0)</f>
        <v>0</v>
      </c>
      <c r="T249" s="2">
        <f>IF(tblChecks[[#This Row],[MissingStreet]]="MISSING",1,0)</f>
        <v>0</v>
      </c>
      <c r="U249" t="str">
        <f t="shared" si="24"/>
        <v>OK</v>
      </c>
    </row>
    <row r="250" spans="1:21" x14ac:dyDescent="0.3">
      <c r="A250" s="1" t="str">
        <f>CleanedData!F250</f>
        <v>PROP00249</v>
      </c>
      <c r="B250" s="2" t="str">
        <f>CleanedData!A250</f>
        <v>AustraliaBrisbane</v>
      </c>
      <c r="C250" s="2" t="str">
        <f>CleanedData!D250</f>
        <v>Australia</v>
      </c>
      <c r="D250" s="2" t="str">
        <f>CleanedData!E250</f>
        <v>Brisbane</v>
      </c>
      <c r="E250" s="2" t="str">
        <f>CleanedData!O250</f>
        <v>Brisbane</v>
      </c>
      <c r="F250" s="2" t="str">
        <f>CleanedData!M250</f>
        <v/>
      </c>
      <c r="G250" s="2" t="str">
        <f>CleanedData!B250</f>
        <v>77432</v>
      </c>
      <c r="H250" s="2" t="str">
        <f>CleanedData!C250</f>
        <v>+90-367901008</v>
      </c>
      <c r="I250" s="2" t="str">
        <f>CleanedData!G250</f>
        <v>Inactive</v>
      </c>
      <c r="J250" s="14">
        <f>CleanedData!H250</f>
        <v>45218</v>
      </c>
      <c r="K250" s="2" t="str">
        <f t="shared" si="25"/>
        <v>MISSING</v>
      </c>
      <c r="L250" s="2" t="str">
        <f t="shared" si="26"/>
        <v>OK</v>
      </c>
      <c r="M250" s="2" t="str">
        <f t="shared" si="27"/>
        <v>OK</v>
      </c>
      <c r="N250" s="2" t="str">
        <f t="shared" si="28"/>
        <v>MATCH</v>
      </c>
      <c r="O250" s="2" t="str">
        <f t="shared" si="29"/>
        <v>ERROR</v>
      </c>
      <c r="P250" s="2">
        <f t="shared" si="30"/>
        <v>1</v>
      </c>
      <c r="Q250" s="2" t="str">
        <f t="shared" si="31"/>
        <v>2023-10</v>
      </c>
      <c r="R250" s="3" t="s">
        <v>33</v>
      </c>
      <c r="S250" s="2">
        <f>IF(tblChecks[[#This Row],[AnyError]]="ERROR",1,0)</f>
        <v>1</v>
      </c>
      <c r="T250" s="2">
        <f>IF(tblChecks[[#This Row],[MissingStreet]]="MISSING",1,0)</f>
        <v>1</v>
      </c>
      <c r="U250" t="str">
        <f t="shared" si="24"/>
        <v>MissingStreet</v>
      </c>
    </row>
    <row r="251" spans="1:21" x14ac:dyDescent="0.3">
      <c r="A251" s="1" t="str">
        <f>CleanedData!F251</f>
        <v>PROP00250</v>
      </c>
      <c r="B251" s="2" t="str">
        <f>CleanedData!A251</f>
        <v>Grimes Mission 228, Japan, Osaka</v>
      </c>
      <c r="C251" s="2" t="str">
        <f>CleanedData!D251</f>
        <v>Japan</v>
      </c>
      <c r="D251" s="2" t="str">
        <f>CleanedData!E251</f>
        <v>Osaka</v>
      </c>
      <c r="E251" s="2" t="str">
        <f>CleanedData!O251</f>
        <v>Osaka</v>
      </c>
      <c r="F251" s="2" t="str">
        <f>CleanedData!M251</f>
        <v>Grimes Mission 228</v>
      </c>
      <c r="G251" s="2" t="str">
        <f>CleanedData!B251</f>
        <v>71093</v>
      </c>
      <c r="H251" s="2" t="str">
        <f>CleanedData!C251</f>
        <v>+29-180441807</v>
      </c>
      <c r="I251" s="2" t="str">
        <f>CleanedData!G251</f>
        <v>Inactive</v>
      </c>
      <c r="J251" s="14">
        <f>CleanedData!H251</f>
        <v>45150</v>
      </c>
      <c r="K251" s="2" t="str">
        <f t="shared" si="25"/>
        <v>OK</v>
      </c>
      <c r="L251" s="2" t="str">
        <f t="shared" si="26"/>
        <v>OK</v>
      </c>
      <c r="M251" s="2" t="str">
        <f t="shared" si="27"/>
        <v>OK</v>
      </c>
      <c r="N251" s="2" t="str">
        <f t="shared" si="28"/>
        <v>MATCH</v>
      </c>
      <c r="O251" s="2" t="str">
        <f t="shared" si="29"/>
        <v>OK</v>
      </c>
      <c r="P251" s="2">
        <f t="shared" si="30"/>
        <v>0</v>
      </c>
      <c r="Q251" s="2" t="str">
        <f t="shared" si="31"/>
        <v>2023-08</v>
      </c>
      <c r="R251" s="3" t="s">
        <v>16</v>
      </c>
      <c r="S251" s="2">
        <f>IF(tblChecks[[#This Row],[AnyError]]="ERROR",1,0)</f>
        <v>0</v>
      </c>
      <c r="T251" s="2">
        <f>IF(tblChecks[[#This Row],[MissingStreet]]="MISSING",1,0)</f>
        <v>0</v>
      </c>
      <c r="U251" t="str">
        <f t="shared" si="24"/>
        <v>OK</v>
      </c>
    </row>
    <row r="252" spans="1:21" x14ac:dyDescent="0.3">
      <c r="A252" s="1" t="str">
        <f>CleanedData!F252</f>
        <v>PROP00251</v>
      </c>
      <c r="B252" s="2" t="str">
        <f>CleanedData!A252</f>
        <v>Reed Plaza 157, USA, Houston</v>
      </c>
      <c r="C252" s="2" t="str">
        <f>CleanedData!D252</f>
        <v>USA</v>
      </c>
      <c r="D252" s="2" t="str">
        <f>CleanedData!E252</f>
        <v>Houston</v>
      </c>
      <c r="E252" s="2" t="str">
        <f>CleanedData!O252</f>
        <v>Houston</v>
      </c>
      <c r="F252" s="2" t="str">
        <f>CleanedData!M252</f>
        <v>Reed Plaza 157</v>
      </c>
      <c r="G252" s="2" t="str">
        <f>CleanedData!B252</f>
        <v>71729</v>
      </c>
      <c r="H252" s="2" t="str">
        <f>CleanedData!C252</f>
        <v>+1-299578454</v>
      </c>
      <c r="I252" s="2" t="str">
        <f>CleanedData!G252</f>
        <v>Active</v>
      </c>
      <c r="J252" s="14">
        <f>CleanedData!H252</f>
        <v>44952</v>
      </c>
      <c r="K252" s="2" t="str">
        <f t="shared" si="25"/>
        <v>OK</v>
      </c>
      <c r="L252" s="2" t="str">
        <f t="shared" si="26"/>
        <v>OK</v>
      </c>
      <c r="M252" s="2" t="str">
        <f t="shared" si="27"/>
        <v>OK</v>
      </c>
      <c r="N252" s="2" t="str">
        <f t="shared" si="28"/>
        <v>MATCH</v>
      </c>
      <c r="O252" s="2" t="str">
        <f t="shared" si="29"/>
        <v>OK</v>
      </c>
      <c r="P252" s="2">
        <f t="shared" si="30"/>
        <v>0</v>
      </c>
      <c r="Q252" s="2" t="str">
        <f t="shared" si="31"/>
        <v>2023-01</v>
      </c>
      <c r="R252" s="3" t="s">
        <v>16</v>
      </c>
      <c r="S252" s="2">
        <f>IF(tblChecks[[#This Row],[AnyError]]="ERROR",1,0)</f>
        <v>0</v>
      </c>
      <c r="T252" s="2">
        <f>IF(tblChecks[[#This Row],[MissingStreet]]="MISSING",1,0)</f>
        <v>0</v>
      </c>
      <c r="U252" t="str">
        <f t="shared" si="24"/>
        <v>OK</v>
      </c>
    </row>
    <row r="253" spans="1:21" x14ac:dyDescent="0.3">
      <c r="A253" s="1" t="str">
        <f>CleanedData!F253</f>
        <v>PROP00252</v>
      </c>
      <c r="B253" s="2" t="str">
        <f>CleanedData!A253</f>
        <v>Italy, Naples, Gibson Islands 48</v>
      </c>
      <c r="C253" s="2" t="str">
        <f>CleanedData!D253</f>
        <v>Italy</v>
      </c>
      <c r="D253" s="2" t="str">
        <f>CleanedData!E253</f>
        <v>Naples</v>
      </c>
      <c r="E253" s="2" t="str">
        <f>CleanedData!O253</f>
        <v>Naples</v>
      </c>
      <c r="F253" s="2" t="str">
        <f>CleanedData!M253</f>
        <v>Gibson Islands 48</v>
      </c>
      <c r="G253" s="2" t="str">
        <f>CleanedData!B253</f>
        <v>25228</v>
      </c>
      <c r="H253" s="2" t="str">
        <f>CleanedData!C253</f>
        <v>+22-524433573</v>
      </c>
      <c r="I253" s="2" t="str">
        <f>CleanedData!G253</f>
        <v>Active</v>
      </c>
      <c r="J253" s="14">
        <f>CleanedData!H253</f>
        <v>44906</v>
      </c>
      <c r="K253" s="2" t="str">
        <f t="shared" si="25"/>
        <v>OK</v>
      </c>
      <c r="L253" s="2" t="str">
        <f t="shared" si="26"/>
        <v>OK</v>
      </c>
      <c r="M253" s="2" t="str">
        <f t="shared" si="27"/>
        <v>OK</v>
      </c>
      <c r="N253" s="2" t="str">
        <f t="shared" si="28"/>
        <v>MATCH</v>
      </c>
      <c r="O253" s="2" t="str">
        <f t="shared" si="29"/>
        <v>OK</v>
      </c>
      <c r="P253" s="2">
        <f t="shared" si="30"/>
        <v>0</v>
      </c>
      <c r="Q253" s="2" t="str">
        <f t="shared" si="31"/>
        <v>2022-12</v>
      </c>
      <c r="R253" s="3" t="s">
        <v>23</v>
      </c>
      <c r="S253" s="2">
        <f>IF(tblChecks[[#This Row],[AnyError]]="ERROR",1,0)</f>
        <v>0</v>
      </c>
      <c r="T253" s="2">
        <f>IF(tblChecks[[#This Row],[MissingStreet]]="MISSING",1,0)</f>
        <v>0</v>
      </c>
      <c r="U253" t="str">
        <f t="shared" si="24"/>
        <v>OK</v>
      </c>
    </row>
    <row r="254" spans="1:21" x14ac:dyDescent="0.3">
      <c r="A254" s="1" t="str">
        <f>CleanedData!F254</f>
        <v>PROP00253</v>
      </c>
      <c r="B254" s="2" t="str">
        <f>CleanedData!A254</f>
        <v>AustraliaAdelaide</v>
      </c>
      <c r="C254" s="2" t="str">
        <f>CleanedData!D254</f>
        <v>Australia</v>
      </c>
      <c r="D254" s="2" t="str">
        <f>CleanedData!E254</f>
        <v>Adelaide</v>
      </c>
      <c r="E254" s="2" t="str">
        <f>CleanedData!O254</f>
        <v>Adelaide</v>
      </c>
      <c r="F254" s="2" t="str">
        <f>CleanedData!M254</f>
        <v/>
      </c>
      <c r="G254" s="2" t="str">
        <f>CleanedData!B254</f>
        <v>54342</v>
      </c>
      <c r="H254" s="2" t="str">
        <f>CleanedData!C254</f>
        <v>+92-762276073</v>
      </c>
      <c r="I254" s="2" t="str">
        <f>CleanedData!G254</f>
        <v>Active</v>
      </c>
      <c r="J254" s="14">
        <f>CleanedData!H254</f>
        <v>45597</v>
      </c>
      <c r="K254" s="2" t="str">
        <f t="shared" si="25"/>
        <v>MISSING</v>
      </c>
      <c r="L254" s="2" t="str">
        <f t="shared" si="26"/>
        <v>OK</v>
      </c>
      <c r="M254" s="2" t="str">
        <f t="shared" si="27"/>
        <v>OK</v>
      </c>
      <c r="N254" s="2" t="str">
        <f t="shared" si="28"/>
        <v>MATCH</v>
      </c>
      <c r="O254" s="2" t="str">
        <f t="shared" si="29"/>
        <v>ERROR</v>
      </c>
      <c r="P254" s="2">
        <f t="shared" si="30"/>
        <v>1</v>
      </c>
      <c r="Q254" s="2" t="str">
        <f t="shared" si="31"/>
        <v>2024-11</v>
      </c>
      <c r="R254" s="3" t="s">
        <v>39</v>
      </c>
      <c r="S254" s="2">
        <f>IF(tblChecks[[#This Row],[AnyError]]="ERROR",1,0)</f>
        <v>1</v>
      </c>
      <c r="T254" s="2">
        <f>IF(tblChecks[[#This Row],[MissingStreet]]="MISSING",1,0)</f>
        <v>1</v>
      </c>
      <c r="U254" t="str">
        <f t="shared" si="24"/>
        <v>MissingStreet</v>
      </c>
    </row>
    <row r="255" spans="1:21" x14ac:dyDescent="0.3">
      <c r="A255" s="1" t="str">
        <f>CleanedData!F255</f>
        <v>PROP00254</v>
      </c>
      <c r="B255" s="2" t="str">
        <f>CleanedData!A255</f>
        <v>Louis Mountains 287, Bilbao</v>
      </c>
      <c r="C255" s="2" t="str">
        <f>CleanedData!D255</f>
        <v>Spain</v>
      </c>
      <c r="D255" s="2" t="str">
        <f>CleanedData!E255</f>
        <v>Bilbao</v>
      </c>
      <c r="E255" s="2" t="str">
        <f>CleanedData!O255</f>
        <v>Bilbao</v>
      </c>
      <c r="F255" s="2" t="str">
        <f>CleanedData!M255</f>
        <v>Louis Mountains 287</v>
      </c>
      <c r="G255" s="2" t="str">
        <f>CleanedData!B255</f>
        <v>92936</v>
      </c>
      <c r="H255" s="2" t="str">
        <f>CleanedData!C255</f>
        <v>+24-859746679</v>
      </c>
      <c r="I255" s="2" t="str">
        <f>CleanedData!G255</f>
        <v>Active</v>
      </c>
      <c r="J255" s="14">
        <f>CleanedData!H255</f>
        <v>45918</v>
      </c>
      <c r="K255" s="2" t="str">
        <f t="shared" si="25"/>
        <v>OK</v>
      </c>
      <c r="L255" s="2" t="str">
        <f t="shared" si="26"/>
        <v>OK</v>
      </c>
      <c r="M255" s="2" t="str">
        <f t="shared" si="27"/>
        <v>OK</v>
      </c>
      <c r="N255" s="2" t="str">
        <f t="shared" si="28"/>
        <v>MATCH</v>
      </c>
      <c r="O255" s="2" t="str">
        <f t="shared" si="29"/>
        <v>OK</v>
      </c>
      <c r="P255" s="2">
        <f t="shared" si="30"/>
        <v>0</v>
      </c>
      <c r="Q255" s="2" t="str">
        <f t="shared" si="31"/>
        <v>2025-09</v>
      </c>
      <c r="R255" s="3" t="s">
        <v>54</v>
      </c>
      <c r="S255" s="2">
        <f>IF(tblChecks[[#This Row],[AnyError]]="ERROR",1,0)</f>
        <v>0</v>
      </c>
      <c r="T255" s="2">
        <f>IF(tblChecks[[#This Row],[MissingStreet]]="MISSING",1,0)</f>
        <v>0</v>
      </c>
      <c r="U255" t="str">
        <f t="shared" si="24"/>
        <v>OK</v>
      </c>
    </row>
    <row r="256" spans="1:21" x14ac:dyDescent="0.3">
      <c r="A256" s="1" t="str">
        <f>CleanedData!F256</f>
        <v>PROP00255</v>
      </c>
      <c r="B256" s="2" t="str">
        <f>CleanedData!A256</f>
        <v>Hughes Shore 118, Japan, Nagoya</v>
      </c>
      <c r="C256" s="2" t="str">
        <f>CleanedData!D256</f>
        <v>Japan</v>
      </c>
      <c r="D256" s="2" t="str">
        <f>CleanedData!E256</f>
        <v>Nagoya</v>
      </c>
      <c r="E256" s="2" t="str">
        <f>CleanedData!O256</f>
        <v>Nagoya</v>
      </c>
      <c r="F256" s="2" t="str">
        <f>CleanedData!M256</f>
        <v>Hughes Shore 118</v>
      </c>
      <c r="G256" s="2" t="str">
        <f>CleanedData!B256</f>
        <v>85962</v>
      </c>
      <c r="H256" s="2" t="str">
        <f>CleanedData!C256</f>
        <v>+55-721726327</v>
      </c>
      <c r="I256" s="2" t="str">
        <f>CleanedData!G256</f>
        <v>Active</v>
      </c>
      <c r="J256" s="14">
        <f>CleanedData!H256</f>
        <v>45376</v>
      </c>
      <c r="K256" s="2" t="str">
        <f t="shared" si="25"/>
        <v>OK</v>
      </c>
      <c r="L256" s="2" t="str">
        <f t="shared" si="26"/>
        <v>OK</v>
      </c>
      <c r="M256" s="2" t="str">
        <f t="shared" si="27"/>
        <v>OK</v>
      </c>
      <c r="N256" s="2" t="str">
        <f t="shared" si="28"/>
        <v>MATCH</v>
      </c>
      <c r="O256" s="2" t="str">
        <f t="shared" si="29"/>
        <v>OK</v>
      </c>
      <c r="P256" s="2">
        <f t="shared" si="30"/>
        <v>0</v>
      </c>
      <c r="Q256" s="2" t="str">
        <f t="shared" si="31"/>
        <v>2024-03</v>
      </c>
      <c r="R256" s="3" t="s">
        <v>33</v>
      </c>
      <c r="S256" s="2">
        <f>IF(tblChecks[[#This Row],[AnyError]]="ERROR",1,0)</f>
        <v>0</v>
      </c>
      <c r="T256" s="2">
        <f>IF(tblChecks[[#This Row],[MissingStreet]]="MISSING",1,0)</f>
        <v>0</v>
      </c>
      <c r="U256" t="str">
        <f t="shared" si="24"/>
        <v>OK</v>
      </c>
    </row>
    <row r="257" spans="1:21" x14ac:dyDescent="0.3">
      <c r="A257" s="1" t="str">
        <f>CleanedData!F257</f>
        <v>PROP00256</v>
      </c>
      <c r="B257" s="2" t="str">
        <f>CleanedData!A257</f>
        <v>Tyler Camp 66, Japan, Kyoto</v>
      </c>
      <c r="C257" s="2" t="str">
        <f>CleanedData!D257</f>
        <v>Japan</v>
      </c>
      <c r="D257" s="2" t="str">
        <f>CleanedData!E257</f>
        <v>Kyoto</v>
      </c>
      <c r="E257" s="2" t="str">
        <f>CleanedData!O257</f>
        <v>Kyoto</v>
      </c>
      <c r="F257" s="2" t="str">
        <f>CleanedData!M257</f>
        <v>Tyler Camp 66</v>
      </c>
      <c r="G257" s="2" t="str">
        <f>CleanedData!B257</f>
        <v>17048</v>
      </c>
      <c r="H257" s="2" t="str">
        <f>CleanedData!C257</f>
        <v>+51-303625489</v>
      </c>
      <c r="I257" s="2" t="str">
        <f>CleanedData!G257</f>
        <v>Active</v>
      </c>
      <c r="J257" s="14">
        <f>CleanedData!H257</f>
        <v>45429</v>
      </c>
      <c r="K257" s="2" t="str">
        <f t="shared" si="25"/>
        <v>OK</v>
      </c>
      <c r="L257" s="2" t="str">
        <f t="shared" si="26"/>
        <v>OK</v>
      </c>
      <c r="M257" s="2" t="str">
        <f t="shared" si="27"/>
        <v>OK</v>
      </c>
      <c r="N257" s="2" t="str">
        <f t="shared" si="28"/>
        <v>MATCH</v>
      </c>
      <c r="O257" s="2" t="str">
        <f t="shared" si="29"/>
        <v>OK</v>
      </c>
      <c r="P257" s="2">
        <f t="shared" si="30"/>
        <v>0</v>
      </c>
      <c r="Q257" s="2" t="str">
        <f t="shared" si="31"/>
        <v>2024-05</v>
      </c>
      <c r="R257" s="3" t="s">
        <v>16</v>
      </c>
      <c r="S257" s="2">
        <f>IF(tblChecks[[#This Row],[AnyError]]="ERROR",1,0)</f>
        <v>0</v>
      </c>
      <c r="T257" s="2">
        <f>IF(tblChecks[[#This Row],[MissingStreet]]="MISSING",1,0)</f>
        <v>0</v>
      </c>
      <c r="U257" t="str">
        <f t="shared" si="24"/>
        <v>OK</v>
      </c>
    </row>
    <row r="258" spans="1:21" x14ac:dyDescent="0.3">
      <c r="A258" s="1" t="str">
        <f>CleanedData!F258</f>
        <v>PROP00257</v>
      </c>
      <c r="B258" s="2" t="str">
        <f>CleanedData!A258</f>
        <v>Kane Well294, Seville, Spain</v>
      </c>
      <c r="C258" s="2" t="str">
        <f>CleanedData!D258</f>
        <v>Spain</v>
      </c>
      <c r="D258" s="2" t="str">
        <f>CleanedData!E258</f>
        <v>Seville</v>
      </c>
      <c r="E258" s="2" t="str">
        <f>CleanedData!O258</f>
        <v>Seville</v>
      </c>
      <c r="F258" s="2" t="str">
        <f>CleanedData!M258</f>
        <v>Kane Well294</v>
      </c>
      <c r="G258" s="2" t="str">
        <f>CleanedData!B258</f>
        <v>58212</v>
      </c>
      <c r="H258" s="2" t="str">
        <f>CleanedData!C258</f>
        <v>+9-768866473</v>
      </c>
      <c r="I258" s="2" t="str">
        <f>CleanedData!G258</f>
        <v>Active</v>
      </c>
      <c r="J258" s="14">
        <f>CleanedData!H258</f>
        <v>45273</v>
      </c>
      <c r="K258" s="2" t="str">
        <f t="shared" si="25"/>
        <v>OK</v>
      </c>
      <c r="L258" s="2" t="str">
        <f t="shared" si="26"/>
        <v>OK</v>
      </c>
      <c r="M258" s="2" t="str">
        <f t="shared" si="27"/>
        <v>OK</v>
      </c>
      <c r="N258" s="2" t="str">
        <f t="shared" si="28"/>
        <v>MATCH</v>
      </c>
      <c r="O258" s="2" t="str">
        <f t="shared" si="29"/>
        <v>OK</v>
      </c>
      <c r="P258" s="2">
        <f t="shared" si="30"/>
        <v>0</v>
      </c>
      <c r="Q258" s="2" t="str">
        <f t="shared" si="31"/>
        <v>2023-12</v>
      </c>
      <c r="R258" s="3" t="s">
        <v>23</v>
      </c>
      <c r="S258" s="2">
        <f>IF(tblChecks[[#This Row],[AnyError]]="ERROR",1,0)</f>
        <v>0</v>
      </c>
      <c r="T258" s="2">
        <f>IF(tblChecks[[#This Row],[MissingStreet]]="MISSING",1,0)</f>
        <v>0</v>
      </c>
      <c r="U258" t="str">
        <f t="shared" ref="U258:U321" si="32">IF(K258="MISSING","MissingStreet",
IF(L258="INVALID","PostalCode_INVALID",
IF(M258="INVALID","Phone_INVALID","OK")))</f>
        <v>OK</v>
      </c>
    </row>
    <row r="259" spans="1:21" x14ac:dyDescent="0.3">
      <c r="A259" s="1" t="str">
        <f>CleanedData!F259</f>
        <v>PROP00258</v>
      </c>
      <c r="B259" s="2" t="str">
        <f>CleanedData!A259</f>
        <v>Canada, Montreal</v>
      </c>
      <c r="C259" s="2" t="str">
        <f>CleanedData!D259</f>
        <v>Canada</v>
      </c>
      <c r="D259" s="2" t="str">
        <f>CleanedData!E259</f>
        <v>Montreal</v>
      </c>
      <c r="E259" s="2" t="str">
        <f>CleanedData!O259</f>
        <v>Montreal</v>
      </c>
      <c r="F259" s="2" t="str">
        <f>CleanedData!M259</f>
        <v>Montreal</v>
      </c>
      <c r="G259" s="2" t="str">
        <f>CleanedData!B259</f>
        <v>2512</v>
      </c>
      <c r="H259" s="2" t="str">
        <f>CleanedData!C259</f>
        <v>+45-896798087</v>
      </c>
      <c r="I259" s="2" t="str">
        <f>CleanedData!G259</f>
        <v>Inactive</v>
      </c>
      <c r="J259" s="14">
        <f>CleanedData!H259</f>
        <v>45886</v>
      </c>
      <c r="K259" s="2" t="str">
        <f t="shared" ref="K259:K322" si="33">IF(TRIM(F259)="","MISSING","OK")</f>
        <v>OK</v>
      </c>
      <c r="L259" s="2" t="str">
        <f t="shared" ref="L259:L322" si="34">IF(LEN(TRIM(G259))&lt;3,"INVALID","OK")</f>
        <v>OK</v>
      </c>
      <c r="M259" s="2" t="str">
        <f t="shared" ref="M259:M322" si="35">IF(LEN(SUBSTITUTE(SUBSTITUTE(H259," ",""),"-",""))&gt;=7,"OK","INVALID")</f>
        <v>OK</v>
      </c>
      <c r="N259" s="2" t="str">
        <f t="shared" ref="N259:N322" si="36">IF(E259="","NO_EXTRACT",
 IF(LOWER(TRIM(E259))=LOWER(TRIM(D259)),"MATCH","CHECK"))</f>
        <v>MATCH</v>
      </c>
      <c r="O259" s="2" t="str">
        <f t="shared" ref="O259:O322" si="37">IF(OR(K259="MISSING",L259="INVALID",M259="INVALID"),"ERROR","OK")</f>
        <v>OK</v>
      </c>
      <c r="P259" s="2">
        <f t="shared" ref="P259:P322" si="38">(K259="MISSING")*1 + (L259="INVALID")*1 + (M259="INVALID")*1</f>
        <v>0</v>
      </c>
      <c r="Q259" s="2" t="str">
        <f t="shared" ref="Q259:Q322" si="39">YEAR(J259) &amp; "-" &amp; TEXT(MONTH(J259),"00")</f>
        <v>2025-08</v>
      </c>
      <c r="R259" s="3" t="s">
        <v>33</v>
      </c>
      <c r="S259" s="2">
        <f>IF(tblChecks[[#This Row],[AnyError]]="ERROR",1,0)</f>
        <v>0</v>
      </c>
      <c r="T259" s="2">
        <f>IF(tblChecks[[#This Row],[MissingStreet]]="MISSING",1,0)</f>
        <v>0</v>
      </c>
      <c r="U259" t="str">
        <f t="shared" si="32"/>
        <v>OK</v>
      </c>
    </row>
    <row r="260" spans="1:21" x14ac:dyDescent="0.3">
      <c r="A260" s="1" t="str">
        <f>CleanedData!F260</f>
        <v>PROP00259</v>
      </c>
      <c r="B260" s="2" t="str">
        <f>CleanedData!A260</f>
        <v>Hamburg, Robert Shoal 173, Germany</v>
      </c>
      <c r="C260" s="2" t="str">
        <f>CleanedData!D260</f>
        <v>Germany</v>
      </c>
      <c r="D260" s="2" t="str">
        <f>CleanedData!E260</f>
        <v>Hamburg</v>
      </c>
      <c r="E260" s="2" t="str">
        <f>CleanedData!O260</f>
        <v>Hamburg</v>
      </c>
      <c r="F260" s="2" t="str">
        <f>CleanedData!M260</f>
        <v>Robert Shoal 173</v>
      </c>
      <c r="G260" s="2" t="str">
        <f>CleanedData!B260</f>
        <v>20733</v>
      </c>
      <c r="H260" s="2" t="str">
        <f>CleanedData!C260</f>
        <v>+91-926118343</v>
      </c>
      <c r="I260" s="2" t="str">
        <f>CleanedData!G260</f>
        <v>Inactive</v>
      </c>
      <c r="J260" s="14">
        <f>CleanedData!H260</f>
        <v>45057</v>
      </c>
      <c r="K260" s="2" t="str">
        <f t="shared" si="33"/>
        <v>OK</v>
      </c>
      <c r="L260" s="2" t="str">
        <f t="shared" si="34"/>
        <v>OK</v>
      </c>
      <c r="M260" s="2" t="str">
        <f t="shared" si="35"/>
        <v>OK</v>
      </c>
      <c r="N260" s="2" t="str">
        <f t="shared" si="36"/>
        <v>MATCH</v>
      </c>
      <c r="O260" s="2" t="str">
        <f t="shared" si="37"/>
        <v>OK</v>
      </c>
      <c r="P260" s="2">
        <f t="shared" si="38"/>
        <v>0</v>
      </c>
      <c r="Q260" s="2" t="str">
        <f t="shared" si="39"/>
        <v>2023-05</v>
      </c>
      <c r="R260" s="3" t="s">
        <v>33</v>
      </c>
      <c r="S260" s="2">
        <f>IF(tblChecks[[#This Row],[AnyError]]="ERROR",1,0)</f>
        <v>0</v>
      </c>
      <c r="T260" s="2">
        <f>IF(tblChecks[[#This Row],[MissingStreet]]="MISSING",1,0)</f>
        <v>0</v>
      </c>
      <c r="U260" t="str">
        <f t="shared" si="32"/>
        <v>OK</v>
      </c>
    </row>
    <row r="261" spans="1:21" x14ac:dyDescent="0.3">
      <c r="A261" s="1" t="str">
        <f>CleanedData!F261</f>
        <v>PROP00260</v>
      </c>
      <c r="B261" s="2" t="str">
        <f>CleanedData!A261</f>
        <v>LyonTerrance Greens77, France</v>
      </c>
      <c r="C261" s="2" t="str">
        <f>CleanedData!D261</f>
        <v>France</v>
      </c>
      <c r="D261" s="2" t="str">
        <f>CleanedData!E261</f>
        <v>Lyon</v>
      </c>
      <c r="E261" s="2" t="str">
        <f>CleanedData!O261</f>
        <v>Lyon</v>
      </c>
      <c r="F261" s="2" t="str">
        <f>CleanedData!M261</f>
        <v>LyonTerrance Greens77</v>
      </c>
      <c r="G261" s="2" t="str">
        <f>CleanedData!B261</f>
        <v>44876</v>
      </c>
      <c r="H261" s="2" t="str">
        <f>CleanedData!C261</f>
        <v>+92-674319716</v>
      </c>
      <c r="I261" s="2" t="str">
        <f>CleanedData!G261</f>
        <v>Inactive</v>
      </c>
      <c r="J261" s="14">
        <f>CleanedData!H261</f>
        <v>45497</v>
      </c>
      <c r="K261" s="2" t="str">
        <f t="shared" si="33"/>
        <v>OK</v>
      </c>
      <c r="L261" s="2" t="str">
        <f t="shared" si="34"/>
        <v>OK</v>
      </c>
      <c r="M261" s="2" t="str">
        <f t="shared" si="35"/>
        <v>OK</v>
      </c>
      <c r="N261" s="2" t="str">
        <f t="shared" si="36"/>
        <v>MATCH</v>
      </c>
      <c r="O261" s="2" t="str">
        <f t="shared" si="37"/>
        <v>OK</v>
      </c>
      <c r="P261" s="2">
        <f t="shared" si="38"/>
        <v>0</v>
      </c>
      <c r="Q261" s="2" t="str">
        <f t="shared" si="39"/>
        <v>2024-07</v>
      </c>
      <c r="R261" s="3" t="s">
        <v>54</v>
      </c>
      <c r="S261" s="2">
        <f>IF(tblChecks[[#This Row],[AnyError]]="ERROR",1,0)</f>
        <v>0</v>
      </c>
      <c r="T261" s="2">
        <f>IF(tblChecks[[#This Row],[MissingStreet]]="MISSING",1,0)</f>
        <v>0</v>
      </c>
      <c r="U261" t="str">
        <f t="shared" si="32"/>
        <v>OK</v>
      </c>
    </row>
    <row r="262" spans="1:21" x14ac:dyDescent="0.3">
      <c r="A262" s="1" t="str">
        <f>CleanedData!F262</f>
        <v>PROP00261</v>
      </c>
      <c r="B262" s="2" t="str">
        <f>CleanedData!A262</f>
        <v>ItalyMilan</v>
      </c>
      <c r="C262" s="2" t="str">
        <f>CleanedData!D262</f>
        <v>Italy</v>
      </c>
      <c r="D262" s="2" t="str">
        <f>CleanedData!E262</f>
        <v>Milan</v>
      </c>
      <c r="E262" s="2" t="str">
        <f>CleanedData!O262</f>
        <v>Milan</v>
      </c>
      <c r="F262" s="2" t="str">
        <f>CleanedData!M262</f>
        <v/>
      </c>
      <c r="G262" s="2" t="str">
        <f>CleanedData!B262</f>
        <v>43566</v>
      </c>
      <c r="H262" s="2" t="str">
        <f>CleanedData!C262</f>
        <v>+28-424131603</v>
      </c>
      <c r="I262" s="2" t="str">
        <f>CleanedData!G262</f>
        <v>Inactive</v>
      </c>
      <c r="J262" s="14">
        <f>CleanedData!H262</f>
        <v>45068</v>
      </c>
      <c r="K262" s="2" t="str">
        <f t="shared" si="33"/>
        <v>MISSING</v>
      </c>
      <c r="L262" s="2" t="str">
        <f t="shared" si="34"/>
        <v>OK</v>
      </c>
      <c r="M262" s="2" t="str">
        <f t="shared" si="35"/>
        <v>OK</v>
      </c>
      <c r="N262" s="2" t="str">
        <f t="shared" si="36"/>
        <v>MATCH</v>
      </c>
      <c r="O262" s="2" t="str">
        <f t="shared" si="37"/>
        <v>ERROR</v>
      </c>
      <c r="P262" s="2">
        <f t="shared" si="38"/>
        <v>1</v>
      </c>
      <c r="Q262" s="2" t="str">
        <f t="shared" si="39"/>
        <v>2023-05</v>
      </c>
      <c r="R262" s="3" t="s">
        <v>33</v>
      </c>
      <c r="S262" s="2">
        <f>IF(tblChecks[[#This Row],[AnyError]]="ERROR",1,0)</f>
        <v>1</v>
      </c>
      <c r="T262" s="2">
        <f>IF(tblChecks[[#This Row],[MissingStreet]]="MISSING",1,0)</f>
        <v>1</v>
      </c>
      <c r="U262" t="str">
        <f t="shared" si="32"/>
        <v>MissingStreet</v>
      </c>
    </row>
    <row r="263" spans="1:21" x14ac:dyDescent="0.3">
      <c r="A263" s="1" t="str">
        <f>CleanedData!F263</f>
        <v>PROP00262</v>
      </c>
      <c r="B263" s="2" t="str">
        <f>CleanedData!A263</f>
        <v>Finley Road136, Salvador, Brazil</v>
      </c>
      <c r="C263" s="2" t="str">
        <f>CleanedData!D263</f>
        <v>Brazil</v>
      </c>
      <c r="D263" s="2" t="str">
        <f>CleanedData!E263</f>
        <v>Salvador</v>
      </c>
      <c r="E263" s="2" t="str">
        <f>CleanedData!O263</f>
        <v>Salvador</v>
      </c>
      <c r="F263" s="2" t="str">
        <f>CleanedData!M263</f>
        <v>Finley Road136</v>
      </c>
      <c r="G263" s="2" t="str">
        <f>CleanedData!B263</f>
        <v>94704</v>
      </c>
      <c r="H263" s="2" t="str">
        <f>CleanedData!C263</f>
        <v>+12-553723849</v>
      </c>
      <c r="I263" s="2" t="str">
        <f>CleanedData!G263</f>
        <v>Active</v>
      </c>
      <c r="J263" s="14">
        <f>CleanedData!H263</f>
        <v>45486</v>
      </c>
      <c r="K263" s="2" t="str">
        <f t="shared" si="33"/>
        <v>OK</v>
      </c>
      <c r="L263" s="2" t="str">
        <f t="shared" si="34"/>
        <v>OK</v>
      </c>
      <c r="M263" s="2" t="str">
        <f t="shared" si="35"/>
        <v>OK</v>
      </c>
      <c r="N263" s="2" t="str">
        <f t="shared" si="36"/>
        <v>MATCH</v>
      </c>
      <c r="O263" s="2" t="str">
        <f t="shared" si="37"/>
        <v>OK</v>
      </c>
      <c r="P263" s="2">
        <f t="shared" si="38"/>
        <v>0</v>
      </c>
      <c r="Q263" s="2" t="str">
        <f t="shared" si="39"/>
        <v>2024-07</v>
      </c>
      <c r="R263" s="3" t="s">
        <v>23</v>
      </c>
      <c r="S263" s="2">
        <f>IF(tblChecks[[#This Row],[AnyError]]="ERROR",1,0)</f>
        <v>0</v>
      </c>
      <c r="T263" s="2">
        <f>IF(tblChecks[[#This Row],[MissingStreet]]="MISSING",1,0)</f>
        <v>0</v>
      </c>
      <c r="U263" t="str">
        <f t="shared" si="32"/>
        <v>OK</v>
      </c>
    </row>
    <row r="264" spans="1:21" x14ac:dyDescent="0.3">
      <c r="A264" s="1" t="str">
        <f>CleanedData!F264</f>
        <v>PROP00263</v>
      </c>
      <c r="B264" s="2" t="str">
        <f>CleanedData!A264</f>
        <v>BrasíliaBrennan Camp37, Brazil</v>
      </c>
      <c r="C264" s="2" t="str">
        <f>CleanedData!D264</f>
        <v>Brazil</v>
      </c>
      <c r="D264" s="2" t="str">
        <f>CleanedData!E264</f>
        <v>Brasília</v>
      </c>
      <c r="E264" s="2" t="str">
        <f>CleanedData!O264</f>
        <v>Brasília</v>
      </c>
      <c r="F264" s="2" t="str">
        <f>CleanedData!M264</f>
        <v>BrasíliaBrennan Camp37</v>
      </c>
      <c r="G264" s="2" t="str">
        <f>CleanedData!B264</f>
        <v>81432</v>
      </c>
      <c r="H264" s="2" t="str">
        <f>CleanedData!C264</f>
        <v>+21-246932754</v>
      </c>
      <c r="I264" s="2" t="str">
        <f>CleanedData!G264</f>
        <v>Inactive</v>
      </c>
      <c r="J264" s="14">
        <f>CleanedData!H264</f>
        <v>45103</v>
      </c>
      <c r="K264" s="2" t="str">
        <f t="shared" si="33"/>
        <v>OK</v>
      </c>
      <c r="L264" s="2" t="str">
        <f t="shared" si="34"/>
        <v>OK</v>
      </c>
      <c r="M264" s="2" t="str">
        <f t="shared" si="35"/>
        <v>OK</v>
      </c>
      <c r="N264" s="2" t="str">
        <f t="shared" si="36"/>
        <v>MATCH</v>
      </c>
      <c r="O264" s="2" t="str">
        <f t="shared" si="37"/>
        <v>OK</v>
      </c>
      <c r="P264" s="2">
        <f t="shared" si="38"/>
        <v>0</v>
      </c>
      <c r="Q264" s="2" t="str">
        <f t="shared" si="39"/>
        <v>2023-06</v>
      </c>
      <c r="R264" s="3" t="s">
        <v>16</v>
      </c>
      <c r="S264" s="2">
        <f>IF(tblChecks[[#This Row],[AnyError]]="ERROR",1,0)</f>
        <v>0</v>
      </c>
      <c r="T264" s="2">
        <f>IF(tblChecks[[#This Row],[MissingStreet]]="MISSING",1,0)</f>
        <v>0</v>
      </c>
      <c r="U264" t="str">
        <f t="shared" si="32"/>
        <v>OK</v>
      </c>
    </row>
    <row r="265" spans="1:21" x14ac:dyDescent="0.3">
      <c r="A265" s="1" t="str">
        <f>CleanedData!F265</f>
        <v>PROP00264</v>
      </c>
      <c r="B265" s="2" t="str">
        <f>CleanedData!A265</f>
        <v>Frankfurt, Jimmy Spur 173, Germany</v>
      </c>
      <c r="C265" s="2" t="str">
        <f>CleanedData!D265</f>
        <v>Germany</v>
      </c>
      <c r="D265" s="2" t="str">
        <f>CleanedData!E265</f>
        <v>Frankfurt</v>
      </c>
      <c r="E265" s="2" t="str">
        <f>CleanedData!O265</f>
        <v>Frankfurt</v>
      </c>
      <c r="F265" s="2" t="str">
        <f>CleanedData!M265</f>
        <v>Jimmy Spur 173</v>
      </c>
      <c r="G265" s="2" t="str">
        <f>CleanedData!B265</f>
        <v>38168</v>
      </c>
      <c r="H265" s="2" t="str">
        <f>CleanedData!C265</f>
        <v>+97-535199213</v>
      </c>
      <c r="I265" s="2" t="str">
        <f>CleanedData!G265</f>
        <v>Inactive</v>
      </c>
      <c r="J265" s="14">
        <f>CleanedData!H265</f>
        <v>45745</v>
      </c>
      <c r="K265" s="2" t="str">
        <f t="shared" si="33"/>
        <v>OK</v>
      </c>
      <c r="L265" s="2" t="str">
        <f t="shared" si="34"/>
        <v>OK</v>
      </c>
      <c r="M265" s="2" t="str">
        <f t="shared" si="35"/>
        <v>OK</v>
      </c>
      <c r="N265" s="2" t="str">
        <f t="shared" si="36"/>
        <v>MATCH</v>
      </c>
      <c r="O265" s="2" t="str">
        <f t="shared" si="37"/>
        <v>OK</v>
      </c>
      <c r="P265" s="2">
        <f t="shared" si="38"/>
        <v>0</v>
      </c>
      <c r="Q265" s="2" t="str">
        <f t="shared" si="39"/>
        <v>2025-03</v>
      </c>
      <c r="R265" s="3" t="s">
        <v>16</v>
      </c>
      <c r="S265" s="2">
        <f>IF(tblChecks[[#This Row],[AnyError]]="ERROR",1,0)</f>
        <v>0</v>
      </c>
      <c r="T265" s="2">
        <f>IF(tblChecks[[#This Row],[MissingStreet]]="MISSING",1,0)</f>
        <v>0</v>
      </c>
      <c r="U265" t="str">
        <f t="shared" si="32"/>
        <v>OK</v>
      </c>
    </row>
    <row r="266" spans="1:21" x14ac:dyDescent="0.3">
      <c r="A266" s="1" t="str">
        <f>CleanedData!F266</f>
        <v>PROP00265</v>
      </c>
      <c r="B266" s="2" t="str">
        <f>CleanedData!A266</f>
        <v>CanadaMontreal</v>
      </c>
      <c r="C266" s="2" t="str">
        <f>CleanedData!D266</f>
        <v>Canada</v>
      </c>
      <c r="D266" s="2" t="str">
        <f>CleanedData!E266</f>
        <v>Montreal</v>
      </c>
      <c r="E266" s="2" t="str">
        <f>CleanedData!O266</f>
        <v>Montreal</v>
      </c>
      <c r="F266" s="2" t="str">
        <f>CleanedData!M266</f>
        <v/>
      </c>
      <c r="G266" s="2" t="str">
        <f>CleanedData!B266</f>
        <v>13404</v>
      </c>
      <c r="H266" s="2" t="str">
        <f>CleanedData!C266</f>
        <v>+20-374893134</v>
      </c>
      <c r="I266" s="2" t="str">
        <f>CleanedData!G266</f>
        <v>Inactive</v>
      </c>
      <c r="J266" s="14">
        <f>CleanedData!H266</f>
        <v>45300</v>
      </c>
      <c r="K266" s="2" t="str">
        <f t="shared" si="33"/>
        <v>MISSING</v>
      </c>
      <c r="L266" s="2" t="str">
        <f t="shared" si="34"/>
        <v>OK</v>
      </c>
      <c r="M266" s="2" t="str">
        <f t="shared" si="35"/>
        <v>OK</v>
      </c>
      <c r="N266" s="2" t="str">
        <f t="shared" si="36"/>
        <v>MATCH</v>
      </c>
      <c r="O266" s="2" t="str">
        <f t="shared" si="37"/>
        <v>ERROR</v>
      </c>
      <c r="P266" s="2">
        <f t="shared" si="38"/>
        <v>1</v>
      </c>
      <c r="Q266" s="2" t="str">
        <f t="shared" si="39"/>
        <v>2024-01</v>
      </c>
      <c r="R266" s="3" t="s">
        <v>33</v>
      </c>
      <c r="S266" s="2">
        <f>IF(tblChecks[[#This Row],[AnyError]]="ERROR",1,0)</f>
        <v>1</v>
      </c>
      <c r="T266" s="2">
        <f>IF(tblChecks[[#This Row],[MissingStreet]]="MISSING",1,0)</f>
        <v>1</v>
      </c>
      <c r="U266" t="str">
        <f t="shared" si="32"/>
        <v>MissingStreet</v>
      </c>
    </row>
    <row r="267" spans="1:21" x14ac:dyDescent="0.3">
      <c r="A267" s="1" t="str">
        <f>CleanedData!F267</f>
        <v>PROP00266</v>
      </c>
      <c r="B267" s="2" t="str">
        <f>CleanedData!A267</f>
        <v>UKManchester</v>
      </c>
      <c r="C267" s="2" t="str">
        <f>CleanedData!D267</f>
        <v>UK</v>
      </c>
      <c r="D267" s="2" t="str">
        <f>CleanedData!E267</f>
        <v>Manchester</v>
      </c>
      <c r="E267" s="2" t="str">
        <f>CleanedData!O267</f>
        <v>Manchester</v>
      </c>
      <c r="F267" s="2" t="str">
        <f>CleanedData!M267</f>
        <v/>
      </c>
      <c r="G267" s="2" t="str">
        <f>CleanedData!B267</f>
        <v>39752</v>
      </c>
      <c r="H267" s="2" t="str">
        <f>CleanedData!C267</f>
        <v>+77-374505712</v>
      </c>
      <c r="I267" s="2" t="str">
        <f>CleanedData!G267</f>
        <v>Active</v>
      </c>
      <c r="J267" s="14">
        <f>CleanedData!H267</f>
        <v>45096</v>
      </c>
      <c r="K267" s="2" t="str">
        <f t="shared" si="33"/>
        <v>MISSING</v>
      </c>
      <c r="L267" s="2" t="str">
        <f t="shared" si="34"/>
        <v>OK</v>
      </c>
      <c r="M267" s="2" t="str">
        <f t="shared" si="35"/>
        <v>OK</v>
      </c>
      <c r="N267" s="2" t="str">
        <f t="shared" si="36"/>
        <v>MATCH</v>
      </c>
      <c r="O267" s="2" t="str">
        <f t="shared" si="37"/>
        <v>ERROR</v>
      </c>
      <c r="P267" s="2">
        <f t="shared" si="38"/>
        <v>1</v>
      </c>
      <c r="Q267" s="2" t="str">
        <f t="shared" si="39"/>
        <v>2023-06</v>
      </c>
      <c r="R267" s="3" t="s">
        <v>54</v>
      </c>
      <c r="S267" s="2">
        <f>IF(tblChecks[[#This Row],[AnyError]]="ERROR",1,0)</f>
        <v>1</v>
      </c>
      <c r="T267" s="2">
        <f>IF(tblChecks[[#This Row],[MissingStreet]]="MISSING",1,0)</f>
        <v>1</v>
      </c>
      <c r="U267" t="str">
        <f t="shared" si="32"/>
        <v>MissingStreet</v>
      </c>
    </row>
    <row r="268" spans="1:21" x14ac:dyDescent="0.3">
      <c r="A268" s="1" t="str">
        <f>CleanedData!F268</f>
        <v>PROP00267</v>
      </c>
      <c r="B268" s="2" t="str">
        <f>CleanedData!A268</f>
        <v>UKLeedsBrandon Underpass29</v>
      </c>
      <c r="C268" s="2" t="str">
        <f>CleanedData!D268</f>
        <v>UK</v>
      </c>
      <c r="D268" s="2" t="str">
        <f>CleanedData!E268</f>
        <v>Leeds</v>
      </c>
      <c r="E268" s="2" t="str">
        <f>CleanedData!O268</f>
        <v>Leeds</v>
      </c>
      <c r="F268" s="2" t="str">
        <f>CleanedData!M268</f>
        <v>UKLeedsBrandon Underpass29</v>
      </c>
      <c r="G268" s="2" t="str">
        <f>CleanedData!B268</f>
        <v>7856</v>
      </c>
      <c r="H268" s="2" t="str">
        <f>CleanedData!C268</f>
        <v>+76-116541530</v>
      </c>
      <c r="I268" s="2" t="str">
        <f>CleanedData!G268</f>
        <v>Active</v>
      </c>
      <c r="J268" s="14">
        <f>CleanedData!H268</f>
        <v>44918</v>
      </c>
      <c r="K268" s="2" t="str">
        <f t="shared" si="33"/>
        <v>OK</v>
      </c>
      <c r="L268" s="2" t="str">
        <f t="shared" si="34"/>
        <v>OK</v>
      </c>
      <c r="M268" s="2" t="str">
        <f t="shared" si="35"/>
        <v>OK</v>
      </c>
      <c r="N268" s="2" t="str">
        <f t="shared" si="36"/>
        <v>MATCH</v>
      </c>
      <c r="O268" s="2" t="str">
        <f t="shared" si="37"/>
        <v>OK</v>
      </c>
      <c r="P268" s="2">
        <f t="shared" si="38"/>
        <v>0</v>
      </c>
      <c r="Q268" s="2" t="str">
        <f t="shared" si="39"/>
        <v>2022-12</v>
      </c>
      <c r="R268" s="3" t="s">
        <v>39</v>
      </c>
      <c r="S268" s="2">
        <f>IF(tblChecks[[#This Row],[AnyError]]="ERROR",1,0)</f>
        <v>0</v>
      </c>
      <c r="T268" s="2">
        <f>IF(tblChecks[[#This Row],[MissingStreet]]="MISSING",1,0)</f>
        <v>0</v>
      </c>
      <c r="U268" t="str">
        <f t="shared" si="32"/>
        <v>OK</v>
      </c>
    </row>
    <row r="269" spans="1:21" x14ac:dyDescent="0.3">
      <c r="A269" s="1" t="str">
        <f>CleanedData!F269</f>
        <v>PROP00268</v>
      </c>
      <c r="B269" s="2" t="str">
        <f>CleanedData!A269</f>
        <v>SapporoHoward Meadows30, Japan</v>
      </c>
      <c r="C269" s="2" t="str">
        <f>CleanedData!D269</f>
        <v>Japan</v>
      </c>
      <c r="D269" s="2" t="str">
        <f>CleanedData!E269</f>
        <v>Sapporo</v>
      </c>
      <c r="E269" s="2" t="str">
        <f>CleanedData!O269</f>
        <v>Sapporo</v>
      </c>
      <c r="F269" s="2" t="str">
        <f>CleanedData!M269</f>
        <v>SapporoHoward Meadows30</v>
      </c>
      <c r="G269" s="2" t="str">
        <f>CleanedData!B269</f>
        <v>19581</v>
      </c>
      <c r="H269" s="2" t="str">
        <f>CleanedData!C269</f>
        <v>+50-157477530</v>
      </c>
      <c r="I269" s="2" t="str">
        <f>CleanedData!G269</f>
        <v>Inactive</v>
      </c>
      <c r="J269" s="14">
        <f>CleanedData!H269</f>
        <v>45917</v>
      </c>
      <c r="K269" s="2" t="str">
        <f t="shared" si="33"/>
        <v>OK</v>
      </c>
      <c r="L269" s="2" t="str">
        <f t="shared" si="34"/>
        <v>OK</v>
      </c>
      <c r="M269" s="2" t="str">
        <f t="shared" si="35"/>
        <v>OK</v>
      </c>
      <c r="N269" s="2" t="str">
        <f t="shared" si="36"/>
        <v>MATCH</v>
      </c>
      <c r="O269" s="2" t="str">
        <f t="shared" si="37"/>
        <v>OK</v>
      </c>
      <c r="P269" s="2">
        <f t="shared" si="38"/>
        <v>0</v>
      </c>
      <c r="Q269" s="2" t="str">
        <f t="shared" si="39"/>
        <v>2025-09</v>
      </c>
      <c r="R269" s="3" t="s">
        <v>54</v>
      </c>
      <c r="S269" s="2">
        <f>IF(tblChecks[[#This Row],[AnyError]]="ERROR",1,0)</f>
        <v>0</v>
      </c>
      <c r="T269" s="2">
        <f>IF(tblChecks[[#This Row],[MissingStreet]]="MISSING",1,0)</f>
        <v>0</v>
      </c>
      <c r="U269" t="str">
        <f t="shared" si="32"/>
        <v>OK</v>
      </c>
    </row>
    <row r="270" spans="1:21" x14ac:dyDescent="0.3">
      <c r="A270" s="1" t="str">
        <f>CleanedData!F270</f>
        <v>PROP00269</v>
      </c>
      <c r="B270" s="2" t="str">
        <f>CleanedData!A270</f>
        <v>Amanda Port 2, Calgary</v>
      </c>
      <c r="C270" s="2" t="str">
        <f>CleanedData!D270</f>
        <v>Canada</v>
      </c>
      <c r="D270" s="2" t="str">
        <f>CleanedData!E270</f>
        <v>Calgary</v>
      </c>
      <c r="E270" s="2" t="str">
        <f>CleanedData!O270</f>
        <v>Calgary</v>
      </c>
      <c r="F270" s="2" t="str">
        <f>CleanedData!M270</f>
        <v>Amanda Port 2</v>
      </c>
      <c r="G270" s="2" t="str">
        <f>CleanedData!B270</f>
        <v>89865</v>
      </c>
      <c r="H270" s="2" t="str">
        <f>CleanedData!C270</f>
        <v>+53-274569602</v>
      </c>
      <c r="I270" s="2" t="str">
        <f>CleanedData!G270</f>
        <v>Inactive</v>
      </c>
      <c r="J270" s="14">
        <f>CleanedData!H270</f>
        <v>45604</v>
      </c>
      <c r="K270" s="2" t="str">
        <f t="shared" si="33"/>
        <v>OK</v>
      </c>
      <c r="L270" s="2" t="str">
        <f t="shared" si="34"/>
        <v>OK</v>
      </c>
      <c r="M270" s="2" t="str">
        <f t="shared" si="35"/>
        <v>OK</v>
      </c>
      <c r="N270" s="2" t="str">
        <f t="shared" si="36"/>
        <v>MATCH</v>
      </c>
      <c r="O270" s="2" t="str">
        <f t="shared" si="37"/>
        <v>OK</v>
      </c>
      <c r="P270" s="2">
        <f t="shared" si="38"/>
        <v>0</v>
      </c>
      <c r="Q270" s="2" t="str">
        <f t="shared" si="39"/>
        <v>2024-11</v>
      </c>
      <c r="R270" s="3" t="s">
        <v>23</v>
      </c>
      <c r="S270" s="2">
        <f>IF(tblChecks[[#This Row],[AnyError]]="ERROR",1,0)</f>
        <v>0</v>
      </c>
      <c r="T270" s="2">
        <f>IF(tblChecks[[#This Row],[MissingStreet]]="MISSING",1,0)</f>
        <v>0</v>
      </c>
      <c r="U270" t="str">
        <f t="shared" si="32"/>
        <v>OK</v>
      </c>
    </row>
    <row r="271" spans="1:21" x14ac:dyDescent="0.3">
      <c r="A271" s="1" t="str">
        <f>CleanedData!F271</f>
        <v>PROP00270</v>
      </c>
      <c r="B271" s="2" t="str">
        <f>CleanedData!A271</f>
        <v>George Common 184, Naples</v>
      </c>
      <c r="C271" s="2" t="str">
        <f>CleanedData!D271</f>
        <v>Italy</v>
      </c>
      <c r="D271" s="2" t="str">
        <f>CleanedData!E271</f>
        <v>Naples</v>
      </c>
      <c r="E271" s="2" t="str">
        <f>CleanedData!O271</f>
        <v>Naples</v>
      </c>
      <c r="F271" s="2" t="str">
        <f>CleanedData!M271</f>
        <v>George Common 184</v>
      </c>
      <c r="G271" s="2" t="str">
        <f>CleanedData!B271</f>
        <v>80388</v>
      </c>
      <c r="H271" s="2" t="str">
        <f>CleanedData!C271</f>
        <v>+20-187421837</v>
      </c>
      <c r="I271" s="2" t="str">
        <f>CleanedData!G271</f>
        <v>Inactive</v>
      </c>
      <c r="J271" s="14">
        <f>CleanedData!H271</f>
        <v>45550</v>
      </c>
      <c r="K271" s="2" t="str">
        <f t="shared" si="33"/>
        <v>OK</v>
      </c>
      <c r="L271" s="2" t="str">
        <f t="shared" si="34"/>
        <v>OK</v>
      </c>
      <c r="M271" s="2" t="str">
        <f t="shared" si="35"/>
        <v>OK</v>
      </c>
      <c r="N271" s="2" t="str">
        <f t="shared" si="36"/>
        <v>MATCH</v>
      </c>
      <c r="O271" s="2" t="str">
        <f t="shared" si="37"/>
        <v>OK</v>
      </c>
      <c r="P271" s="2">
        <f t="shared" si="38"/>
        <v>0</v>
      </c>
      <c r="Q271" s="2" t="str">
        <f t="shared" si="39"/>
        <v>2024-09</v>
      </c>
      <c r="R271" s="3" t="s">
        <v>33</v>
      </c>
      <c r="S271" s="2">
        <f>IF(tblChecks[[#This Row],[AnyError]]="ERROR",1,0)</f>
        <v>0</v>
      </c>
      <c r="T271" s="2">
        <f>IF(tblChecks[[#This Row],[MissingStreet]]="MISSING",1,0)</f>
        <v>0</v>
      </c>
      <c r="U271" t="str">
        <f t="shared" si="32"/>
        <v>OK</v>
      </c>
    </row>
    <row r="272" spans="1:21" x14ac:dyDescent="0.3">
      <c r="A272" s="1" t="str">
        <f>CleanedData!F272</f>
        <v>PROP00271</v>
      </c>
      <c r="B272" s="2" t="str">
        <f>CleanedData!A272</f>
        <v>JapanNagoya</v>
      </c>
      <c r="C272" s="2" t="str">
        <f>CleanedData!D272</f>
        <v>Japan</v>
      </c>
      <c r="D272" s="2" t="str">
        <f>CleanedData!E272</f>
        <v>Nagoya</v>
      </c>
      <c r="E272" s="2" t="str">
        <f>CleanedData!O272</f>
        <v>Nagoya</v>
      </c>
      <c r="F272" s="2" t="str">
        <f>CleanedData!M272</f>
        <v/>
      </c>
      <c r="G272" s="2" t="str">
        <f>CleanedData!B272</f>
        <v>65731</v>
      </c>
      <c r="H272" s="2" t="str">
        <f>CleanedData!C272</f>
        <v>+59-885960030</v>
      </c>
      <c r="I272" s="2" t="str">
        <f>CleanedData!G272</f>
        <v>Inactive</v>
      </c>
      <c r="J272" s="14">
        <f>CleanedData!H272</f>
        <v>44979</v>
      </c>
      <c r="K272" s="2" t="str">
        <f t="shared" si="33"/>
        <v>MISSING</v>
      </c>
      <c r="L272" s="2" t="str">
        <f t="shared" si="34"/>
        <v>OK</v>
      </c>
      <c r="M272" s="2" t="str">
        <f t="shared" si="35"/>
        <v>OK</v>
      </c>
      <c r="N272" s="2" t="str">
        <f t="shared" si="36"/>
        <v>MATCH</v>
      </c>
      <c r="O272" s="2" t="str">
        <f t="shared" si="37"/>
        <v>ERROR</v>
      </c>
      <c r="P272" s="2">
        <f t="shared" si="38"/>
        <v>1</v>
      </c>
      <c r="Q272" s="2" t="str">
        <f t="shared" si="39"/>
        <v>2023-02</v>
      </c>
      <c r="R272" s="3" t="s">
        <v>54</v>
      </c>
      <c r="S272" s="2">
        <f>IF(tblChecks[[#This Row],[AnyError]]="ERROR",1,0)</f>
        <v>1</v>
      </c>
      <c r="T272" s="2">
        <f>IF(tblChecks[[#This Row],[MissingStreet]]="MISSING",1,0)</f>
        <v>1</v>
      </c>
      <c r="U272" t="str">
        <f t="shared" si="32"/>
        <v>MissingStreet</v>
      </c>
    </row>
    <row r="273" spans="1:21" x14ac:dyDescent="0.3">
      <c r="A273" s="1" t="str">
        <f>CleanedData!F273</f>
        <v>PROP00272</v>
      </c>
      <c r="B273" s="2" t="str">
        <f>CleanedData!A273</f>
        <v>Jesse Route 278, USA, Phoenix</v>
      </c>
      <c r="C273" s="2" t="str">
        <f>CleanedData!D273</f>
        <v>USA</v>
      </c>
      <c r="D273" s="2" t="str">
        <f>CleanedData!E273</f>
        <v>Phoenix</v>
      </c>
      <c r="E273" s="2" t="str">
        <f>CleanedData!O273</f>
        <v>Phoenix</v>
      </c>
      <c r="F273" s="2" t="str">
        <f>CleanedData!M273</f>
        <v>Jesse Route 278</v>
      </c>
      <c r="G273" s="2" t="str">
        <f>CleanedData!B273</f>
        <v>33790</v>
      </c>
      <c r="H273" s="2" t="str">
        <f>CleanedData!C273</f>
        <v>+1-457366445</v>
      </c>
      <c r="I273" s="2" t="str">
        <f>CleanedData!G273</f>
        <v>Active</v>
      </c>
      <c r="J273" s="14">
        <f>CleanedData!H273</f>
        <v>45346</v>
      </c>
      <c r="K273" s="2" t="str">
        <f t="shared" si="33"/>
        <v>OK</v>
      </c>
      <c r="L273" s="2" t="str">
        <f t="shared" si="34"/>
        <v>OK</v>
      </c>
      <c r="M273" s="2" t="str">
        <f t="shared" si="35"/>
        <v>OK</v>
      </c>
      <c r="N273" s="2" t="str">
        <f t="shared" si="36"/>
        <v>MATCH</v>
      </c>
      <c r="O273" s="2" t="str">
        <f t="shared" si="37"/>
        <v>OK</v>
      </c>
      <c r="P273" s="2">
        <f t="shared" si="38"/>
        <v>0</v>
      </c>
      <c r="Q273" s="2" t="str">
        <f t="shared" si="39"/>
        <v>2024-02</v>
      </c>
      <c r="R273" s="3" t="s">
        <v>33</v>
      </c>
      <c r="S273" s="2">
        <f>IF(tblChecks[[#This Row],[AnyError]]="ERROR",1,0)</f>
        <v>0</v>
      </c>
      <c r="T273" s="2">
        <f>IF(tblChecks[[#This Row],[MissingStreet]]="MISSING",1,0)</f>
        <v>0</v>
      </c>
      <c r="U273" t="str">
        <f t="shared" si="32"/>
        <v>OK</v>
      </c>
    </row>
    <row r="274" spans="1:21" x14ac:dyDescent="0.3">
      <c r="A274" s="1" t="str">
        <f>CleanedData!F274</f>
        <v>PROP00273</v>
      </c>
      <c r="B274" s="2" t="str">
        <f>CleanedData!A274</f>
        <v>CanadaVancouver</v>
      </c>
      <c r="C274" s="2" t="str">
        <f>CleanedData!D274</f>
        <v>Canada</v>
      </c>
      <c r="D274" s="2" t="str">
        <f>CleanedData!E274</f>
        <v>Vancouver</v>
      </c>
      <c r="E274" s="2" t="str">
        <f>CleanedData!O274</f>
        <v>Vancouver</v>
      </c>
      <c r="F274" s="2" t="str">
        <f>CleanedData!M274</f>
        <v/>
      </c>
      <c r="G274" s="2" t="str">
        <f>CleanedData!B274</f>
        <v>61482</v>
      </c>
      <c r="H274" s="2" t="str">
        <f>CleanedData!C274</f>
        <v>+29-904892516</v>
      </c>
      <c r="I274" s="2" t="str">
        <f>CleanedData!G274</f>
        <v>Inactive</v>
      </c>
      <c r="J274" s="14">
        <f>CleanedData!H274</f>
        <v>45089</v>
      </c>
      <c r="K274" s="2" t="str">
        <f t="shared" si="33"/>
        <v>MISSING</v>
      </c>
      <c r="L274" s="2" t="str">
        <f t="shared" si="34"/>
        <v>OK</v>
      </c>
      <c r="M274" s="2" t="str">
        <f t="shared" si="35"/>
        <v>OK</v>
      </c>
      <c r="N274" s="2" t="str">
        <f t="shared" si="36"/>
        <v>MATCH</v>
      </c>
      <c r="O274" s="2" t="str">
        <f t="shared" si="37"/>
        <v>ERROR</v>
      </c>
      <c r="P274" s="2">
        <f t="shared" si="38"/>
        <v>1</v>
      </c>
      <c r="Q274" s="2" t="str">
        <f t="shared" si="39"/>
        <v>2023-06</v>
      </c>
      <c r="R274" s="3" t="s">
        <v>33</v>
      </c>
      <c r="S274" s="2">
        <f>IF(tblChecks[[#This Row],[AnyError]]="ERROR",1,0)</f>
        <v>1</v>
      </c>
      <c r="T274" s="2">
        <f>IF(tblChecks[[#This Row],[MissingStreet]]="MISSING",1,0)</f>
        <v>1</v>
      </c>
      <c r="U274" t="str">
        <f t="shared" si="32"/>
        <v>MissingStreet</v>
      </c>
    </row>
    <row r="275" spans="1:21" x14ac:dyDescent="0.3">
      <c r="A275" s="1" t="str">
        <f>CleanedData!F275</f>
        <v>PROP00274</v>
      </c>
      <c r="B275" s="2" t="str">
        <f>CleanedData!A275</f>
        <v>USAHouston</v>
      </c>
      <c r="C275" s="2" t="str">
        <f>CleanedData!D275</f>
        <v>USA</v>
      </c>
      <c r="D275" s="2" t="str">
        <f>CleanedData!E275</f>
        <v>Houston</v>
      </c>
      <c r="E275" s="2" t="str">
        <f>CleanedData!O275</f>
        <v>Houston</v>
      </c>
      <c r="F275" s="2" t="str">
        <f>CleanedData!M275</f>
        <v/>
      </c>
      <c r="G275" s="2" t="str">
        <f>CleanedData!B275</f>
        <v>10182</v>
      </c>
      <c r="H275" s="2" t="str">
        <f>CleanedData!C275</f>
        <v>+23-232848465</v>
      </c>
      <c r="I275" s="2" t="str">
        <f>CleanedData!G275</f>
        <v>Active</v>
      </c>
      <c r="J275" s="14">
        <f>CleanedData!H275</f>
        <v>45766</v>
      </c>
      <c r="K275" s="2" t="str">
        <f t="shared" si="33"/>
        <v>MISSING</v>
      </c>
      <c r="L275" s="2" t="str">
        <f t="shared" si="34"/>
        <v>OK</v>
      </c>
      <c r="M275" s="2" t="str">
        <f t="shared" si="35"/>
        <v>OK</v>
      </c>
      <c r="N275" s="2" t="str">
        <f t="shared" si="36"/>
        <v>MATCH</v>
      </c>
      <c r="O275" s="2" t="str">
        <f t="shared" si="37"/>
        <v>ERROR</v>
      </c>
      <c r="P275" s="2">
        <f t="shared" si="38"/>
        <v>1</v>
      </c>
      <c r="Q275" s="2" t="str">
        <f t="shared" si="39"/>
        <v>2025-04</v>
      </c>
      <c r="R275" s="3" t="s">
        <v>39</v>
      </c>
      <c r="S275" s="2">
        <f>IF(tblChecks[[#This Row],[AnyError]]="ERROR",1,0)</f>
        <v>1</v>
      </c>
      <c r="T275" s="2">
        <f>IF(tblChecks[[#This Row],[MissingStreet]]="MISSING",1,0)</f>
        <v>1</v>
      </c>
      <c r="U275" t="str">
        <f t="shared" si="32"/>
        <v>MissingStreet</v>
      </c>
    </row>
    <row r="276" spans="1:21" x14ac:dyDescent="0.3">
      <c r="A276" s="1" t="str">
        <f>CleanedData!F276</f>
        <v>PROP00275</v>
      </c>
      <c r="B276" s="2" t="str">
        <f>CleanedData!A276</f>
        <v>Germany, Cologne</v>
      </c>
      <c r="C276" s="2" t="str">
        <f>CleanedData!D276</f>
        <v>Germany</v>
      </c>
      <c r="D276" s="2" t="str">
        <f>CleanedData!E276</f>
        <v>Cologne</v>
      </c>
      <c r="E276" s="2" t="str">
        <f>CleanedData!O276</f>
        <v>Cologne</v>
      </c>
      <c r="F276" s="2" t="str">
        <f>CleanedData!M276</f>
        <v>Cologne</v>
      </c>
      <c r="G276" s="2" t="str">
        <f>CleanedData!B276</f>
        <v>39711</v>
      </c>
      <c r="H276" s="2" t="str">
        <f>CleanedData!C276</f>
        <v>+95-993398160</v>
      </c>
      <c r="I276" s="2" t="str">
        <f>CleanedData!G276</f>
        <v>Inactive</v>
      </c>
      <c r="J276" s="14">
        <f>CleanedData!H276</f>
        <v>44908</v>
      </c>
      <c r="K276" s="2" t="str">
        <f t="shared" si="33"/>
        <v>OK</v>
      </c>
      <c r="L276" s="2" t="str">
        <f t="shared" si="34"/>
        <v>OK</v>
      </c>
      <c r="M276" s="2" t="str">
        <f t="shared" si="35"/>
        <v>OK</v>
      </c>
      <c r="N276" s="2" t="str">
        <f t="shared" si="36"/>
        <v>MATCH</v>
      </c>
      <c r="O276" s="2" t="str">
        <f t="shared" si="37"/>
        <v>OK</v>
      </c>
      <c r="P276" s="2">
        <f t="shared" si="38"/>
        <v>0</v>
      </c>
      <c r="Q276" s="2" t="str">
        <f t="shared" si="39"/>
        <v>2022-12</v>
      </c>
      <c r="R276" s="3" t="s">
        <v>23</v>
      </c>
      <c r="S276" s="2">
        <f>IF(tblChecks[[#This Row],[AnyError]]="ERROR",1,0)</f>
        <v>0</v>
      </c>
      <c r="T276" s="2">
        <f>IF(tblChecks[[#This Row],[MissingStreet]]="MISSING",1,0)</f>
        <v>0</v>
      </c>
      <c r="U276" t="str">
        <f t="shared" si="32"/>
        <v>OK</v>
      </c>
    </row>
    <row r="277" spans="1:21" x14ac:dyDescent="0.3">
      <c r="A277" s="1" t="str">
        <f>CleanedData!F277</f>
        <v>PROP00276</v>
      </c>
      <c r="B277" s="2" t="str">
        <f>CleanedData!A277</f>
        <v>GermanyFrankfurt, Germany</v>
      </c>
      <c r="C277" s="2" t="str">
        <f>CleanedData!D277</f>
        <v>Germany</v>
      </c>
      <c r="D277" s="2" t="str">
        <f>CleanedData!E277</f>
        <v>Frankfurt</v>
      </c>
      <c r="E277" s="2" t="str">
        <f>CleanedData!O277</f>
        <v>Frankfurt</v>
      </c>
      <c r="F277" s="2" t="str">
        <f>CleanedData!M277</f>
        <v>Germany</v>
      </c>
      <c r="G277" s="2" t="str">
        <f>CleanedData!B277</f>
        <v>40100</v>
      </c>
      <c r="H277" s="2" t="str">
        <f>CleanedData!C277</f>
        <v>+94-720786363</v>
      </c>
      <c r="I277" s="2" t="str">
        <f>CleanedData!G277</f>
        <v>Inactive</v>
      </c>
      <c r="J277" s="14">
        <f>CleanedData!H277</f>
        <v>45306</v>
      </c>
      <c r="K277" s="2" t="str">
        <f t="shared" si="33"/>
        <v>OK</v>
      </c>
      <c r="L277" s="2" t="str">
        <f t="shared" si="34"/>
        <v>OK</v>
      </c>
      <c r="M277" s="2" t="str">
        <f t="shared" si="35"/>
        <v>OK</v>
      </c>
      <c r="N277" s="2" t="str">
        <f t="shared" si="36"/>
        <v>MATCH</v>
      </c>
      <c r="O277" s="2" t="str">
        <f t="shared" si="37"/>
        <v>OK</v>
      </c>
      <c r="P277" s="2">
        <f t="shared" si="38"/>
        <v>0</v>
      </c>
      <c r="Q277" s="2" t="str">
        <f t="shared" si="39"/>
        <v>2024-01</v>
      </c>
      <c r="R277" s="3" t="s">
        <v>39</v>
      </c>
      <c r="S277" s="2">
        <f>IF(tblChecks[[#This Row],[AnyError]]="ERROR",1,0)</f>
        <v>0</v>
      </c>
      <c r="T277" s="2">
        <f>IF(tblChecks[[#This Row],[MissingStreet]]="MISSING",1,0)</f>
        <v>0</v>
      </c>
      <c r="U277" t="str">
        <f t="shared" si="32"/>
        <v>OK</v>
      </c>
    </row>
    <row r="278" spans="1:21" x14ac:dyDescent="0.3">
      <c r="A278" s="1" t="str">
        <f>CleanedData!F278</f>
        <v>PROP00277</v>
      </c>
      <c r="B278" s="2" t="str">
        <f>CleanedData!A278</f>
        <v>Calgary, Yvonne Walk 269, Canada</v>
      </c>
      <c r="C278" s="2" t="str">
        <f>CleanedData!D278</f>
        <v>Canada</v>
      </c>
      <c r="D278" s="2" t="str">
        <f>CleanedData!E278</f>
        <v>Calgary</v>
      </c>
      <c r="E278" s="2" t="str">
        <f>CleanedData!O278</f>
        <v>Calgary</v>
      </c>
      <c r="F278" s="2" t="str">
        <f>CleanedData!M278</f>
        <v>Yvonne Walk 269</v>
      </c>
      <c r="G278" s="2" t="str">
        <f>CleanedData!B278</f>
        <v>63836</v>
      </c>
      <c r="H278" s="2" t="str">
        <f>CleanedData!C278</f>
        <v>+97-172788544</v>
      </c>
      <c r="I278" s="2" t="str">
        <f>CleanedData!G278</f>
        <v>Active</v>
      </c>
      <c r="J278" s="14">
        <f>CleanedData!H278</f>
        <v>45606</v>
      </c>
      <c r="K278" s="2" t="str">
        <f t="shared" si="33"/>
        <v>OK</v>
      </c>
      <c r="L278" s="2" t="str">
        <f t="shared" si="34"/>
        <v>OK</v>
      </c>
      <c r="M278" s="2" t="str">
        <f t="shared" si="35"/>
        <v>OK</v>
      </c>
      <c r="N278" s="2" t="str">
        <f t="shared" si="36"/>
        <v>MATCH</v>
      </c>
      <c r="O278" s="2" t="str">
        <f t="shared" si="37"/>
        <v>OK</v>
      </c>
      <c r="P278" s="2">
        <f t="shared" si="38"/>
        <v>0</v>
      </c>
      <c r="Q278" s="2" t="str">
        <f t="shared" si="39"/>
        <v>2024-11</v>
      </c>
      <c r="R278" s="3" t="s">
        <v>33</v>
      </c>
      <c r="S278" s="2">
        <f>IF(tblChecks[[#This Row],[AnyError]]="ERROR",1,0)</f>
        <v>0</v>
      </c>
      <c r="T278" s="2">
        <f>IF(tblChecks[[#This Row],[MissingStreet]]="MISSING",1,0)</f>
        <v>0</v>
      </c>
      <c r="U278" t="str">
        <f t="shared" si="32"/>
        <v>OK</v>
      </c>
    </row>
    <row r="279" spans="1:21" x14ac:dyDescent="0.3">
      <c r="A279" s="1" t="str">
        <f>CleanedData!F279</f>
        <v>PROP00278</v>
      </c>
      <c r="B279" s="2" t="str">
        <f>CleanedData!A279</f>
        <v>AustraliaAdelaide, Australia</v>
      </c>
      <c r="C279" s="2" t="str">
        <f>CleanedData!D279</f>
        <v>Australia</v>
      </c>
      <c r="D279" s="2" t="str">
        <f>CleanedData!E279</f>
        <v>Adelaide</v>
      </c>
      <c r="E279" s="2" t="str">
        <f>CleanedData!O279</f>
        <v>Adelaide</v>
      </c>
      <c r="F279" s="2" t="str">
        <f>CleanedData!M279</f>
        <v>Australia</v>
      </c>
      <c r="G279" s="2" t="str">
        <f>CleanedData!B279</f>
        <v>47550</v>
      </c>
      <c r="H279" s="2" t="str">
        <f>CleanedData!C279</f>
        <v>+53-569562534</v>
      </c>
      <c r="I279" s="2" t="str">
        <f>CleanedData!G279</f>
        <v>Active</v>
      </c>
      <c r="J279" s="14">
        <f>CleanedData!H279</f>
        <v>45055</v>
      </c>
      <c r="K279" s="2" t="str">
        <f t="shared" si="33"/>
        <v>OK</v>
      </c>
      <c r="L279" s="2" t="str">
        <f t="shared" si="34"/>
        <v>OK</v>
      </c>
      <c r="M279" s="2" t="str">
        <f t="shared" si="35"/>
        <v>OK</v>
      </c>
      <c r="N279" s="2" t="str">
        <f t="shared" si="36"/>
        <v>MATCH</v>
      </c>
      <c r="O279" s="2" t="str">
        <f t="shared" si="37"/>
        <v>OK</v>
      </c>
      <c r="P279" s="2">
        <f t="shared" si="38"/>
        <v>0</v>
      </c>
      <c r="Q279" s="2" t="str">
        <f t="shared" si="39"/>
        <v>2023-05</v>
      </c>
      <c r="R279" s="3" t="s">
        <v>54</v>
      </c>
      <c r="S279" s="2">
        <f>IF(tblChecks[[#This Row],[AnyError]]="ERROR",1,0)</f>
        <v>0</v>
      </c>
      <c r="T279" s="2">
        <f>IF(tblChecks[[#This Row],[MissingStreet]]="MISSING",1,0)</f>
        <v>0</v>
      </c>
      <c r="U279" t="str">
        <f t="shared" si="32"/>
        <v>OK</v>
      </c>
    </row>
    <row r="280" spans="1:21" x14ac:dyDescent="0.3">
      <c r="A280" s="1" t="str">
        <f>CleanedData!F280</f>
        <v>PROP00279</v>
      </c>
      <c r="B280" s="2" t="str">
        <f>CleanedData!A280</f>
        <v>Brazil, Rio de Janeiro</v>
      </c>
      <c r="C280" s="2" t="str">
        <f>CleanedData!D280</f>
        <v>Brazil</v>
      </c>
      <c r="D280" s="2" t="str">
        <f>CleanedData!E280</f>
        <v>Rio de Janeiro</v>
      </c>
      <c r="E280" s="2" t="str">
        <f>CleanedData!O280</f>
        <v>Rio de Janeiro</v>
      </c>
      <c r="F280" s="2" t="str">
        <f>CleanedData!M280</f>
        <v>Rio de Janeiro</v>
      </c>
      <c r="G280" s="2" t="str">
        <f>CleanedData!B280</f>
        <v>3376</v>
      </c>
      <c r="H280" s="2" t="str">
        <f>CleanedData!C280</f>
        <v>+52-736920379</v>
      </c>
      <c r="I280" s="2" t="str">
        <f>CleanedData!G280</f>
        <v>Inactive</v>
      </c>
      <c r="J280" s="14">
        <f>CleanedData!H280</f>
        <v>45412</v>
      </c>
      <c r="K280" s="2" t="str">
        <f t="shared" si="33"/>
        <v>OK</v>
      </c>
      <c r="L280" s="2" t="str">
        <f t="shared" si="34"/>
        <v>OK</v>
      </c>
      <c r="M280" s="2" t="str">
        <f t="shared" si="35"/>
        <v>OK</v>
      </c>
      <c r="N280" s="2" t="str">
        <f t="shared" si="36"/>
        <v>MATCH</v>
      </c>
      <c r="O280" s="2" t="str">
        <f t="shared" si="37"/>
        <v>OK</v>
      </c>
      <c r="P280" s="2">
        <f t="shared" si="38"/>
        <v>0</v>
      </c>
      <c r="Q280" s="2" t="str">
        <f t="shared" si="39"/>
        <v>2024-04</v>
      </c>
      <c r="R280" s="3" t="s">
        <v>16</v>
      </c>
      <c r="S280" s="2">
        <f>IF(tblChecks[[#This Row],[AnyError]]="ERROR",1,0)</f>
        <v>0</v>
      </c>
      <c r="T280" s="2">
        <f>IF(tblChecks[[#This Row],[MissingStreet]]="MISSING",1,0)</f>
        <v>0</v>
      </c>
      <c r="U280" t="str">
        <f t="shared" si="32"/>
        <v>OK</v>
      </c>
    </row>
    <row r="281" spans="1:21" x14ac:dyDescent="0.3">
      <c r="A281" s="1" t="str">
        <f>CleanedData!F281</f>
        <v>PROP00280</v>
      </c>
      <c r="B281" s="2" t="str">
        <f>CleanedData!A281</f>
        <v>JapanNagoyaHill Port8</v>
      </c>
      <c r="C281" s="2" t="str">
        <f>CleanedData!D281</f>
        <v>Japan</v>
      </c>
      <c r="D281" s="2" t="str">
        <f>CleanedData!E281</f>
        <v>Nagoya</v>
      </c>
      <c r="E281" s="2" t="str">
        <f>CleanedData!O281</f>
        <v>Nagoya</v>
      </c>
      <c r="F281" s="2" t="str">
        <f>CleanedData!M281</f>
        <v>JapanNagoyaHill Port8</v>
      </c>
      <c r="G281" s="2" t="str">
        <f>CleanedData!B281</f>
        <v>90390</v>
      </c>
      <c r="H281" s="2" t="str">
        <f>CleanedData!C281</f>
        <v>+10-401230907</v>
      </c>
      <c r="I281" s="2" t="str">
        <f>CleanedData!G281</f>
        <v>Active</v>
      </c>
      <c r="J281" s="14">
        <f>CleanedData!H281</f>
        <v>45513</v>
      </c>
      <c r="K281" s="2" t="str">
        <f t="shared" si="33"/>
        <v>OK</v>
      </c>
      <c r="L281" s="2" t="str">
        <f t="shared" si="34"/>
        <v>OK</v>
      </c>
      <c r="M281" s="2" t="str">
        <f t="shared" si="35"/>
        <v>OK</v>
      </c>
      <c r="N281" s="2" t="str">
        <f t="shared" si="36"/>
        <v>MATCH</v>
      </c>
      <c r="O281" s="2" t="str">
        <f t="shared" si="37"/>
        <v>OK</v>
      </c>
      <c r="P281" s="2">
        <f t="shared" si="38"/>
        <v>0</v>
      </c>
      <c r="Q281" s="2" t="str">
        <f t="shared" si="39"/>
        <v>2024-08</v>
      </c>
      <c r="R281" s="3" t="s">
        <v>23</v>
      </c>
      <c r="S281" s="2">
        <f>IF(tblChecks[[#This Row],[AnyError]]="ERROR",1,0)</f>
        <v>0</v>
      </c>
      <c r="T281" s="2">
        <f>IF(tblChecks[[#This Row],[MissingStreet]]="MISSING",1,0)</f>
        <v>0</v>
      </c>
      <c r="U281" t="str">
        <f t="shared" si="32"/>
        <v>OK</v>
      </c>
    </row>
    <row r="282" spans="1:21" x14ac:dyDescent="0.3">
      <c r="A282" s="1" t="str">
        <f>CleanedData!F282</f>
        <v>PROP00281</v>
      </c>
      <c r="B282" s="2" t="str">
        <f>CleanedData!A282</f>
        <v>Japan, Tokyo, Renee Summit 183</v>
      </c>
      <c r="C282" s="2" t="str">
        <f>CleanedData!D282</f>
        <v>Japan</v>
      </c>
      <c r="D282" s="2" t="str">
        <f>CleanedData!E282</f>
        <v>Tokyo</v>
      </c>
      <c r="E282" s="2" t="str">
        <f>CleanedData!O282</f>
        <v>Tokyo</v>
      </c>
      <c r="F282" s="2" t="str">
        <f>CleanedData!M282</f>
        <v>Renee Summit 183</v>
      </c>
      <c r="G282" s="2" t="str">
        <f>CleanedData!B282</f>
        <v>65608</v>
      </c>
      <c r="H282" s="2" t="str">
        <f>CleanedData!C282</f>
        <v>+15-737055387</v>
      </c>
      <c r="I282" s="2" t="str">
        <f>CleanedData!G282</f>
        <v>Inactive</v>
      </c>
      <c r="J282" s="14">
        <f>CleanedData!H282</f>
        <v>45303</v>
      </c>
      <c r="K282" s="2" t="str">
        <f t="shared" si="33"/>
        <v>OK</v>
      </c>
      <c r="L282" s="2" t="str">
        <f t="shared" si="34"/>
        <v>OK</v>
      </c>
      <c r="M282" s="2" t="str">
        <f t="shared" si="35"/>
        <v>OK</v>
      </c>
      <c r="N282" s="2" t="str">
        <f t="shared" si="36"/>
        <v>MATCH</v>
      </c>
      <c r="O282" s="2" t="str">
        <f t="shared" si="37"/>
        <v>OK</v>
      </c>
      <c r="P282" s="2">
        <f t="shared" si="38"/>
        <v>0</v>
      </c>
      <c r="Q282" s="2" t="str">
        <f t="shared" si="39"/>
        <v>2024-01</v>
      </c>
      <c r="R282" s="3" t="s">
        <v>16</v>
      </c>
      <c r="S282" s="2">
        <f>IF(tblChecks[[#This Row],[AnyError]]="ERROR",1,0)</f>
        <v>0</v>
      </c>
      <c r="T282" s="2">
        <f>IF(tblChecks[[#This Row],[MissingStreet]]="MISSING",1,0)</f>
        <v>0</v>
      </c>
      <c r="U282" t="str">
        <f t="shared" si="32"/>
        <v>OK</v>
      </c>
    </row>
    <row r="283" spans="1:21" x14ac:dyDescent="0.3">
      <c r="A283" s="1" t="str">
        <f>CleanedData!F283</f>
        <v>PROP00282</v>
      </c>
      <c r="B283" s="2" t="str">
        <f>CleanedData!A283</f>
        <v>BrisbaneParsons Forks64, Australia</v>
      </c>
      <c r="C283" s="2" t="str">
        <f>CleanedData!D283</f>
        <v>Australia</v>
      </c>
      <c r="D283" s="2" t="str">
        <f>CleanedData!E283</f>
        <v>Brisbane</v>
      </c>
      <c r="E283" s="2" t="str">
        <f>CleanedData!O283</f>
        <v>Brisbane</v>
      </c>
      <c r="F283" s="2" t="str">
        <f>CleanedData!M283</f>
        <v>BrisbaneParsons Forks64</v>
      </c>
      <c r="G283" s="2" t="str">
        <f>CleanedData!B283</f>
        <v>80070</v>
      </c>
      <c r="H283" s="2" t="str">
        <f>CleanedData!C283</f>
        <v>+80-678085476</v>
      </c>
      <c r="I283" s="2" t="str">
        <f>CleanedData!G283</f>
        <v>Inactive</v>
      </c>
      <c r="J283" s="14">
        <f>CleanedData!H283</f>
        <v>44979</v>
      </c>
      <c r="K283" s="2" t="str">
        <f t="shared" si="33"/>
        <v>OK</v>
      </c>
      <c r="L283" s="2" t="str">
        <f t="shared" si="34"/>
        <v>OK</v>
      </c>
      <c r="M283" s="2" t="str">
        <f t="shared" si="35"/>
        <v>OK</v>
      </c>
      <c r="N283" s="2" t="str">
        <f t="shared" si="36"/>
        <v>MATCH</v>
      </c>
      <c r="O283" s="2" t="str">
        <f t="shared" si="37"/>
        <v>OK</v>
      </c>
      <c r="P283" s="2">
        <f t="shared" si="38"/>
        <v>0</v>
      </c>
      <c r="Q283" s="2" t="str">
        <f t="shared" si="39"/>
        <v>2023-02</v>
      </c>
      <c r="R283" s="3" t="s">
        <v>23</v>
      </c>
      <c r="S283" s="2">
        <f>IF(tblChecks[[#This Row],[AnyError]]="ERROR",1,0)</f>
        <v>0</v>
      </c>
      <c r="T283" s="2">
        <f>IF(tblChecks[[#This Row],[MissingStreet]]="MISSING",1,0)</f>
        <v>0</v>
      </c>
      <c r="U283" t="str">
        <f t="shared" si="32"/>
        <v>OK</v>
      </c>
    </row>
    <row r="284" spans="1:21" x14ac:dyDescent="0.3">
      <c r="A284" s="1" t="str">
        <f>CleanedData!F284</f>
        <v>PROP00283</v>
      </c>
      <c r="B284" s="2" t="str">
        <f>CleanedData!A284</f>
        <v>MadridRobinson Field59, Spain</v>
      </c>
      <c r="C284" s="2" t="str">
        <f>CleanedData!D284</f>
        <v>Spain</v>
      </c>
      <c r="D284" s="2" t="str">
        <f>CleanedData!E284</f>
        <v>Madrid</v>
      </c>
      <c r="E284" s="2" t="str">
        <f>CleanedData!O284</f>
        <v>Madrid</v>
      </c>
      <c r="F284" s="2" t="str">
        <f>CleanedData!M284</f>
        <v>MadridRobinson Field59</v>
      </c>
      <c r="G284" s="2" t="str">
        <f>CleanedData!B284</f>
        <v>81882</v>
      </c>
      <c r="H284" s="2" t="str">
        <f>CleanedData!C284</f>
        <v>+34-854940653</v>
      </c>
      <c r="I284" s="2" t="str">
        <f>CleanedData!G284</f>
        <v>Active</v>
      </c>
      <c r="J284" s="14">
        <f>CleanedData!H284</f>
        <v>45232</v>
      </c>
      <c r="K284" s="2" t="str">
        <f t="shared" si="33"/>
        <v>OK</v>
      </c>
      <c r="L284" s="2" t="str">
        <f t="shared" si="34"/>
        <v>OK</v>
      </c>
      <c r="M284" s="2" t="str">
        <f t="shared" si="35"/>
        <v>OK</v>
      </c>
      <c r="N284" s="2" t="str">
        <f t="shared" si="36"/>
        <v>MATCH</v>
      </c>
      <c r="O284" s="2" t="str">
        <f t="shared" si="37"/>
        <v>OK</v>
      </c>
      <c r="P284" s="2">
        <f t="shared" si="38"/>
        <v>0</v>
      </c>
      <c r="Q284" s="2" t="str">
        <f t="shared" si="39"/>
        <v>2023-11</v>
      </c>
      <c r="R284" s="3" t="s">
        <v>33</v>
      </c>
      <c r="S284" s="2">
        <f>IF(tblChecks[[#This Row],[AnyError]]="ERROR",1,0)</f>
        <v>0</v>
      </c>
      <c r="T284" s="2">
        <f>IF(tblChecks[[#This Row],[MissingStreet]]="MISSING",1,0)</f>
        <v>0</v>
      </c>
      <c r="U284" t="str">
        <f t="shared" si="32"/>
        <v>OK</v>
      </c>
    </row>
    <row r="285" spans="1:21" x14ac:dyDescent="0.3">
      <c r="A285" s="1" t="str">
        <f>CleanedData!F285</f>
        <v>PROP00284</v>
      </c>
      <c r="B285" s="2" t="str">
        <f>CleanedData!A285</f>
        <v>UKBirmingham, UK</v>
      </c>
      <c r="C285" s="2" t="str">
        <f>CleanedData!D285</f>
        <v>UK</v>
      </c>
      <c r="D285" s="2" t="str">
        <f>CleanedData!E285</f>
        <v>Birmingham</v>
      </c>
      <c r="E285" s="2" t="str">
        <f>CleanedData!O285</f>
        <v>Birmingham</v>
      </c>
      <c r="F285" s="2" t="str">
        <f>CleanedData!M285</f>
        <v>UK</v>
      </c>
      <c r="G285" s="2" t="str">
        <f>CleanedData!B285</f>
        <v>86901</v>
      </c>
      <c r="H285" s="2" t="str">
        <f>CleanedData!C285</f>
        <v>+32-501717196</v>
      </c>
      <c r="I285" s="2" t="str">
        <f>CleanedData!G285</f>
        <v>Active</v>
      </c>
      <c r="J285" s="14">
        <f>CleanedData!H285</f>
        <v>45212</v>
      </c>
      <c r="K285" s="2" t="str">
        <f t="shared" si="33"/>
        <v>OK</v>
      </c>
      <c r="L285" s="2" t="str">
        <f t="shared" si="34"/>
        <v>OK</v>
      </c>
      <c r="M285" s="2" t="str">
        <f t="shared" si="35"/>
        <v>OK</v>
      </c>
      <c r="N285" s="2" t="str">
        <f t="shared" si="36"/>
        <v>MATCH</v>
      </c>
      <c r="O285" s="2" t="str">
        <f t="shared" si="37"/>
        <v>OK</v>
      </c>
      <c r="P285" s="2">
        <f t="shared" si="38"/>
        <v>0</v>
      </c>
      <c r="Q285" s="2" t="str">
        <f t="shared" si="39"/>
        <v>2023-10</v>
      </c>
      <c r="R285" s="3" t="s">
        <v>16</v>
      </c>
      <c r="S285" s="2">
        <f>IF(tblChecks[[#This Row],[AnyError]]="ERROR",1,0)</f>
        <v>0</v>
      </c>
      <c r="T285" s="2">
        <f>IF(tblChecks[[#This Row],[MissingStreet]]="MISSING",1,0)</f>
        <v>0</v>
      </c>
      <c r="U285" t="str">
        <f t="shared" si="32"/>
        <v>OK</v>
      </c>
    </row>
    <row r="286" spans="1:21" x14ac:dyDescent="0.3">
      <c r="A286" s="1" t="str">
        <f>CleanedData!F286</f>
        <v>PROP00285</v>
      </c>
      <c r="B286" s="2" t="str">
        <f>CleanedData!A286</f>
        <v>AustraliaAdelaide</v>
      </c>
      <c r="C286" s="2" t="str">
        <f>CleanedData!D286</f>
        <v>Australia</v>
      </c>
      <c r="D286" s="2" t="str">
        <f>CleanedData!E286</f>
        <v>Adelaide</v>
      </c>
      <c r="E286" s="2" t="str">
        <f>CleanedData!O286</f>
        <v>Adelaide</v>
      </c>
      <c r="F286" s="2" t="str">
        <f>CleanedData!M286</f>
        <v/>
      </c>
      <c r="G286" s="2" t="str">
        <f>CleanedData!B286</f>
        <v>85218</v>
      </c>
      <c r="H286" s="2" t="str">
        <f>CleanedData!C286</f>
        <v>+13-253344605</v>
      </c>
      <c r="I286" s="2" t="str">
        <f>CleanedData!G286</f>
        <v>Inactive</v>
      </c>
      <c r="J286" s="14">
        <f>CleanedData!H286</f>
        <v>45273</v>
      </c>
      <c r="K286" s="2" t="str">
        <f t="shared" si="33"/>
        <v>MISSING</v>
      </c>
      <c r="L286" s="2" t="str">
        <f t="shared" si="34"/>
        <v>OK</v>
      </c>
      <c r="M286" s="2" t="str">
        <f t="shared" si="35"/>
        <v>OK</v>
      </c>
      <c r="N286" s="2" t="str">
        <f t="shared" si="36"/>
        <v>MATCH</v>
      </c>
      <c r="O286" s="2" t="str">
        <f t="shared" si="37"/>
        <v>ERROR</v>
      </c>
      <c r="P286" s="2">
        <f t="shared" si="38"/>
        <v>1</v>
      </c>
      <c r="Q286" s="2" t="str">
        <f t="shared" si="39"/>
        <v>2023-12</v>
      </c>
      <c r="R286" s="3" t="s">
        <v>23</v>
      </c>
      <c r="S286" s="2">
        <f>IF(tblChecks[[#This Row],[AnyError]]="ERROR",1,0)</f>
        <v>1</v>
      </c>
      <c r="T286" s="2">
        <f>IF(tblChecks[[#This Row],[MissingStreet]]="MISSING",1,0)</f>
        <v>1</v>
      </c>
      <c r="U286" t="str">
        <f t="shared" si="32"/>
        <v>MissingStreet</v>
      </c>
    </row>
    <row r="287" spans="1:21" x14ac:dyDescent="0.3">
      <c r="A287" s="1" t="str">
        <f>CleanedData!F287</f>
        <v>PROP00286</v>
      </c>
      <c r="B287" s="2" t="str">
        <f>CleanedData!A287</f>
        <v>Kyle Mill181, Montreal, Canada</v>
      </c>
      <c r="C287" s="2" t="str">
        <f>CleanedData!D287</f>
        <v>Canada</v>
      </c>
      <c r="D287" s="2" t="str">
        <f>CleanedData!E287</f>
        <v>Montreal</v>
      </c>
      <c r="E287" s="2" t="str">
        <f>CleanedData!O287</f>
        <v>Montreal</v>
      </c>
      <c r="F287" s="2" t="str">
        <f>CleanedData!M287</f>
        <v>Kyle Mill181</v>
      </c>
      <c r="G287" s="2" t="str">
        <f>CleanedData!B287</f>
        <v>4874</v>
      </c>
      <c r="H287" s="2" t="str">
        <f>CleanedData!C287</f>
        <v>+20-169655374</v>
      </c>
      <c r="I287" s="2" t="str">
        <f>CleanedData!G287</f>
        <v>Active</v>
      </c>
      <c r="J287" s="14">
        <f>CleanedData!H287</f>
        <v>45880</v>
      </c>
      <c r="K287" s="2" t="str">
        <f t="shared" si="33"/>
        <v>OK</v>
      </c>
      <c r="L287" s="2" t="str">
        <f t="shared" si="34"/>
        <v>OK</v>
      </c>
      <c r="M287" s="2" t="str">
        <f t="shared" si="35"/>
        <v>OK</v>
      </c>
      <c r="N287" s="2" t="str">
        <f t="shared" si="36"/>
        <v>MATCH</v>
      </c>
      <c r="O287" s="2" t="str">
        <f t="shared" si="37"/>
        <v>OK</v>
      </c>
      <c r="P287" s="2">
        <f t="shared" si="38"/>
        <v>0</v>
      </c>
      <c r="Q287" s="2" t="str">
        <f t="shared" si="39"/>
        <v>2025-08</v>
      </c>
      <c r="R287" s="3" t="s">
        <v>39</v>
      </c>
      <c r="S287" s="2">
        <f>IF(tblChecks[[#This Row],[AnyError]]="ERROR",1,0)</f>
        <v>0</v>
      </c>
      <c r="T287" s="2">
        <f>IF(tblChecks[[#This Row],[MissingStreet]]="MISSING",1,0)</f>
        <v>0</v>
      </c>
      <c r="U287" t="str">
        <f t="shared" si="32"/>
        <v>OK</v>
      </c>
    </row>
    <row r="288" spans="1:21" x14ac:dyDescent="0.3">
      <c r="A288" s="1" t="str">
        <f>CleanedData!F288</f>
        <v>PROP00287</v>
      </c>
      <c r="B288" s="2" t="str">
        <f>CleanedData!A288</f>
        <v>Rio de Janeiro, Oconnor Course 202, Brazil</v>
      </c>
      <c r="C288" s="2" t="str">
        <f>CleanedData!D288</f>
        <v>Brazil</v>
      </c>
      <c r="D288" s="2" t="str">
        <f>CleanedData!E288</f>
        <v>Rio de Janeiro</v>
      </c>
      <c r="E288" s="2" t="str">
        <f>CleanedData!O288</f>
        <v>Rio de Janeiro</v>
      </c>
      <c r="F288" s="2" t="str">
        <f>CleanedData!M288</f>
        <v>Oconnor Course 202</v>
      </c>
      <c r="G288" s="2" t="str">
        <f>CleanedData!B288</f>
        <v>39181</v>
      </c>
      <c r="H288" s="2" t="str">
        <f>CleanedData!C288</f>
        <v>+44-154796541</v>
      </c>
      <c r="I288" s="2" t="str">
        <f>CleanedData!G288</f>
        <v>Active</v>
      </c>
      <c r="J288" s="14">
        <f>CleanedData!H288</f>
        <v>45104</v>
      </c>
      <c r="K288" s="2" t="str">
        <f t="shared" si="33"/>
        <v>OK</v>
      </c>
      <c r="L288" s="2" t="str">
        <f t="shared" si="34"/>
        <v>OK</v>
      </c>
      <c r="M288" s="2" t="str">
        <f t="shared" si="35"/>
        <v>OK</v>
      </c>
      <c r="N288" s="2" t="str">
        <f t="shared" si="36"/>
        <v>MATCH</v>
      </c>
      <c r="O288" s="2" t="str">
        <f t="shared" si="37"/>
        <v>OK</v>
      </c>
      <c r="P288" s="2">
        <f t="shared" si="38"/>
        <v>0</v>
      </c>
      <c r="Q288" s="2" t="str">
        <f t="shared" si="39"/>
        <v>2023-06</v>
      </c>
      <c r="R288" s="3" t="s">
        <v>54</v>
      </c>
      <c r="S288" s="2">
        <f>IF(tblChecks[[#This Row],[AnyError]]="ERROR",1,0)</f>
        <v>0</v>
      </c>
      <c r="T288" s="2">
        <f>IF(tblChecks[[#This Row],[MissingStreet]]="MISSING",1,0)</f>
        <v>0</v>
      </c>
      <c r="U288" t="str">
        <f t="shared" si="32"/>
        <v>OK</v>
      </c>
    </row>
    <row r="289" spans="1:21" x14ac:dyDescent="0.3">
      <c r="A289" s="1" t="str">
        <f>CleanedData!F289</f>
        <v>PROP00288</v>
      </c>
      <c r="B289" s="2" t="str">
        <f>CleanedData!A289</f>
        <v>São Paulo, Burgess Extensions 183, Brazil</v>
      </c>
      <c r="C289" s="2" t="str">
        <f>CleanedData!D289</f>
        <v>Brazil</v>
      </c>
      <c r="D289" s="2" t="str">
        <f>CleanedData!E289</f>
        <v>São Paulo</v>
      </c>
      <c r="E289" s="2" t="str">
        <f>CleanedData!O289</f>
        <v>São Paulo</v>
      </c>
      <c r="F289" s="2" t="str">
        <f>CleanedData!M289</f>
        <v>Burgess Extensions 183</v>
      </c>
      <c r="G289" s="2" t="str">
        <f>CleanedData!B289</f>
        <v>26819</v>
      </c>
      <c r="H289" s="2" t="str">
        <f>CleanedData!C289</f>
        <v>+73-854885848</v>
      </c>
      <c r="I289" s="2" t="str">
        <f>CleanedData!G289</f>
        <v>Inactive</v>
      </c>
      <c r="J289" s="14">
        <f>CleanedData!H289</f>
        <v>45719</v>
      </c>
      <c r="K289" s="2" t="str">
        <f t="shared" si="33"/>
        <v>OK</v>
      </c>
      <c r="L289" s="2" t="str">
        <f t="shared" si="34"/>
        <v>OK</v>
      </c>
      <c r="M289" s="2" t="str">
        <f t="shared" si="35"/>
        <v>OK</v>
      </c>
      <c r="N289" s="2" t="str">
        <f t="shared" si="36"/>
        <v>MATCH</v>
      </c>
      <c r="O289" s="2" t="str">
        <f t="shared" si="37"/>
        <v>OK</v>
      </c>
      <c r="P289" s="2">
        <f t="shared" si="38"/>
        <v>0</v>
      </c>
      <c r="Q289" s="2" t="str">
        <f t="shared" si="39"/>
        <v>2025-03</v>
      </c>
      <c r="R289" s="3" t="s">
        <v>16</v>
      </c>
      <c r="S289" s="2">
        <f>IF(tblChecks[[#This Row],[AnyError]]="ERROR",1,0)</f>
        <v>0</v>
      </c>
      <c r="T289" s="2">
        <f>IF(tblChecks[[#This Row],[MissingStreet]]="MISSING",1,0)</f>
        <v>0</v>
      </c>
      <c r="U289" t="str">
        <f t="shared" si="32"/>
        <v>OK</v>
      </c>
    </row>
    <row r="290" spans="1:21" x14ac:dyDescent="0.3">
      <c r="A290" s="1" t="str">
        <f>CleanedData!F290</f>
        <v>PROP00289</v>
      </c>
      <c r="B290" s="2" t="str">
        <f>CleanedData!A290</f>
        <v>Brisbane, Kristin Wells 71, Australia</v>
      </c>
      <c r="C290" s="2" t="str">
        <f>CleanedData!D290</f>
        <v>Australia</v>
      </c>
      <c r="D290" s="2" t="str">
        <f>CleanedData!E290</f>
        <v>Brisbane</v>
      </c>
      <c r="E290" s="2" t="str">
        <f>CleanedData!O290</f>
        <v>Brisbane</v>
      </c>
      <c r="F290" s="2" t="str">
        <f>CleanedData!M290</f>
        <v>Kristin Wells 71</v>
      </c>
      <c r="G290" s="2" t="str">
        <f>CleanedData!B290</f>
        <v>48454</v>
      </c>
      <c r="H290" s="2" t="str">
        <f>CleanedData!C290</f>
        <v>+75-204608927</v>
      </c>
      <c r="I290" s="2" t="str">
        <f>CleanedData!G290</f>
        <v>Inactive</v>
      </c>
      <c r="J290" s="14">
        <f>CleanedData!H290</f>
        <v>45696</v>
      </c>
      <c r="K290" s="2" t="str">
        <f t="shared" si="33"/>
        <v>OK</v>
      </c>
      <c r="L290" s="2" t="str">
        <f t="shared" si="34"/>
        <v>OK</v>
      </c>
      <c r="M290" s="2" t="str">
        <f t="shared" si="35"/>
        <v>OK</v>
      </c>
      <c r="N290" s="2" t="str">
        <f t="shared" si="36"/>
        <v>MATCH</v>
      </c>
      <c r="O290" s="2" t="str">
        <f t="shared" si="37"/>
        <v>OK</v>
      </c>
      <c r="P290" s="2">
        <f t="shared" si="38"/>
        <v>0</v>
      </c>
      <c r="Q290" s="2" t="str">
        <f t="shared" si="39"/>
        <v>2025-02</v>
      </c>
      <c r="R290" s="3" t="s">
        <v>23</v>
      </c>
      <c r="S290" s="2">
        <f>IF(tblChecks[[#This Row],[AnyError]]="ERROR",1,0)</f>
        <v>0</v>
      </c>
      <c r="T290" s="2">
        <f>IF(tblChecks[[#This Row],[MissingStreet]]="MISSING",1,0)</f>
        <v>0</v>
      </c>
      <c r="U290" t="str">
        <f t="shared" si="32"/>
        <v>OK</v>
      </c>
    </row>
    <row r="291" spans="1:21" x14ac:dyDescent="0.3">
      <c r="A291" s="1" t="str">
        <f>CleanedData!F291</f>
        <v>PROP00290</v>
      </c>
      <c r="B291" s="2" t="str">
        <f>CleanedData!A291</f>
        <v>GermanyHamburg, Germany</v>
      </c>
      <c r="C291" s="2" t="str">
        <f>CleanedData!D291</f>
        <v>Germany</v>
      </c>
      <c r="D291" s="2" t="str">
        <f>CleanedData!E291</f>
        <v>Hamburg</v>
      </c>
      <c r="E291" s="2" t="str">
        <f>CleanedData!O291</f>
        <v>Hamburg</v>
      </c>
      <c r="F291" s="2" t="str">
        <f>CleanedData!M291</f>
        <v>Germany</v>
      </c>
      <c r="G291" s="2" t="str">
        <f>CleanedData!B291</f>
        <v>63657</v>
      </c>
      <c r="H291" s="2" t="str">
        <f>CleanedData!C291</f>
        <v>+96-520795808</v>
      </c>
      <c r="I291" s="2" t="str">
        <f>CleanedData!G291</f>
        <v>Active</v>
      </c>
      <c r="J291" s="14">
        <f>CleanedData!H291</f>
        <v>45154</v>
      </c>
      <c r="K291" s="2" t="str">
        <f t="shared" si="33"/>
        <v>OK</v>
      </c>
      <c r="L291" s="2" t="str">
        <f t="shared" si="34"/>
        <v>OK</v>
      </c>
      <c r="M291" s="2" t="str">
        <f t="shared" si="35"/>
        <v>OK</v>
      </c>
      <c r="N291" s="2" t="str">
        <f t="shared" si="36"/>
        <v>MATCH</v>
      </c>
      <c r="O291" s="2" t="str">
        <f t="shared" si="37"/>
        <v>OK</v>
      </c>
      <c r="P291" s="2">
        <f t="shared" si="38"/>
        <v>0</v>
      </c>
      <c r="Q291" s="2" t="str">
        <f t="shared" si="39"/>
        <v>2023-08</v>
      </c>
      <c r="R291" s="3" t="s">
        <v>54</v>
      </c>
      <c r="S291" s="2">
        <f>IF(tblChecks[[#This Row],[AnyError]]="ERROR",1,0)</f>
        <v>0</v>
      </c>
      <c r="T291" s="2">
        <f>IF(tblChecks[[#This Row],[MissingStreet]]="MISSING",1,0)</f>
        <v>0</v>
      </c>
      <c r="U291" t="str">
        <f t="shared" si="32"/>
        <v>OK</v>
      </c>
    </row>
    <row r="292" spans="1:21" x14ac:dyDescent="0.3">
      <c r="A292" s="1" t="str">
        <f>CleanedData!F292</f>
        <v>PROP00291</v>
      </c>
      <c r="B292" s="2" t="str">
        <f>CleanedData!A292</f>
        <v>CanadaMontreal</v>
      </c>
      <c r="C292" s="2" t="str">
        <f>CleanedData!D292</f>
        <v>Canada</v>
      </c>
      <c r="D292" s="2" t="str">
        <f>CleanedData!E292</f>
        <v>Montreal</v>
      </c>
      <c r="E292" s="2" t="str">
        <f>CleanedData!O292</f>
        <v>Montreal</v>
      </c>
      <c r="F292" s="2" t="str">
        <f>CleanedData!M292</f>
        <v/>
      </c>
      <c r="G292" s="2" t="str">
        <f>CleanedData!B292</f>
        <v>15596</v>
      </c>
      <c r="H292" s="2" t="str">
        <f>CleanedData!C292</f>
        <v>+12-509285245</v>
      </c>
      <c r="I292" s="2" t="str">
        <f>CleanedData!G292</f>
        <v>Inactive</v>
      </c>
      <c r="J292" s="14">
        <f>CleanedData!H292</f>
        <v>44952</v>
      </c>
      <c r="K292" s="2" t="str">
        <f t="shared" si="33"/>
        <v>MISSING</v>
      </c>
      <c r="L292" s="2" t="str">
        <f t="shared" si="34"/>
        <v>OK</v>
      </c>
      <c r="M292" s="2" t="str">
        <f t="shared" si="35"/>
        <v>OK</v>
      </c>
      <c r="N292" s="2" t="str">
        <f t="shared" si="36"/>
        <v>MATCH</v>
      </c>
      <c r="O292" s="2" t="str">
        <f t="shared" si="37"/>
        <v>ERROR</v>
      </c>
      <c r="P292" s="2">
        <f t="shared" si="38"/>
        <v>1</v>
      </c>
      <c r="Q292" s="2" t="str">
        <f t="shared" si="39"/>
        <v>2023-01</v>
      </c>
      <c r="R292" s="3" t="s">
        <v>23</v>
      </c>
      <c r="S292" s="2">
        <f>IF(tblChecks[[#This Row],[AnyError]]="ERROR",1,0)</f>
        <v>1</v>
      </c>
      <c r="T292" s="2">
        <f>IF(tblChecks[[#This Row],[MissingStreet]]="MISSING",1,0)</f>
        <v>1</v>
      </c>
      <c r="U292" t="str">
        <f t="shared" si="32"/>
        <v>MissingStreet</v>
      </c>
    </row>
    <row r="293" spans="1:21" x14ac:dyDescent="0.3">
      <c r="A293" s="1" t="str">
        <f>CleanedData!F293</f>
        <v>PROP00292</v>
      </c>
      <c r="B293" s="2" t="str">
        <f>CleanedData!A293</f>
        <v>USA, New York, Mccarty Divide 15</v>
      </c>
      <c r="C293" s="2" t="str">
        <f>CleanedData!D293</f>
        <v>USA</v>
      </c>
      <c r="D293" s="2" t="str">
        <f>CleanedData!E293</f>
        <v>New York</v>
      </c>
      <c r="E293" s="2" t="str">
        <f>CleanedData!O293</f>
        <v>New York</v>
      </c>
      <c r="F293" s="2" t="str">
        <f>CleanedData!M293</f>
        <v>Mccarty Divide 15</v>
      </c>
      <c r="G293" s="2" t="str">
        <f>CleanedData!B293</f>
        <v>99349</v>
      </c>
      <c r="H293" s="2" t="str">
        <f>CleanedData!C293</f>
        <v>+82-220182858</v>
      </c>
      <c r="I293" s="2" t="str">
        <f>CleanedData!G293</f>
        <v>Active</v>
      </c>
      <c r="J293" s="14">
        <f>CleanedData!H293</f>
        <v>45920</v>
      </c>
      <c r="K293" s="2" t="str">
        <f t="shared" si="33"/>
        <v>OK</v>
      </c>
      <c r="L293" s="2" t="str">
        <f t="shared" si="34"/>
        <v>OK</v>
      </c>
      <c r="M293" s="2" t="str">
        <f t="shared" si="35"/>
        <v>OK</v>
      </c>
      <c r="N293" s="2" t="str">
        <f t="shared" si="36"/>
        <v>MATCH</v>
      </c>
      <c r="O293" s="2" t="str">
        <f t="shared" si="37"/>
        <v>OK</v>
      </c>
      <c r="P293" s="2">
        <f t="shared" si="38"/>
        <v>0</v>
      </c>
      <c r="Q293" s="2" t="str">
        <f t="shared" si="39"/>
        <v>2025-09</v>
      </c>
      <c r="R293" s="3" t="s">
        <v>23</v>
      </c>
      <c r="S293" s="2">
        <f>IF(tblChecks[[#This Row],[AnyError]]="ERROR",1,0)</f>
        <v>0</v>
      </c>
      <c r="T293" s="2">
        <f>IF(tblChecks[[#This Row],[MissingStreet]]="MISSING",1,0)</f>
        <v>0</v>
      </c>
      <c r="U293" t="str">
        <f t="shared" si="32"/>
        <v>OK</v>
      </c>
    </row>
    <row r="294" spans="1:21" x14ac:dyDescent="0.3">
      <c r="A294" s="1" t="str">
        <f>CleanedData!F294</f>
        <v>PROP00293</v>
      </c>
      <c r="B294" s="2" t="str">
        <f>CleanedData!A294</f>
        <v>AustraliaMelbourne</v>
      </c>
      <c r="C294" s="2" t="str">
        <f>CleanedData!D294</f>
        <v>Australia</v>
      </c>
      <c r="D294" s="2" t="str">
        <f>CleanedData!E294</f>
        <v>Melbourne</v>
      </c>
      <c r="E294" s="2" t="str">
        <f>CleanedData!O294</f>
        <v>Melbourne</v>
      </c>
      <c r="F294" s="2" t="str">
        <f>CleanedData!M294</f>
        <v/>
      </c>
      <c r="G294" s="2" t="str">
        <f>CleanedData!B294</f>
        <v>88896</v>
      </c>
      <c r="H294" s="2" t="str">
        <f>CleanedData!C294</f>
        <v>+25-517989908</v>
      </c>
      <c r="I294" s="2" t="str">
        <f>CleanedData!G294</f>
        <v>Active</v>
      </c>
      <c r="J294" s="14">
        <f>CleanedData!H294</f>
        <v>45895</v>
      </c>
      <c r="K294" s="2" t="str">
        <f t="shared" si="33"/>
        <v>MISSING</v>
      </c>
      <c r="L294" s="2" t="str">
        <f t="shared" si="34"/>
        <v>OK</v>
      </c>
      <c r="M294" s="2" t="str">
        <f t="shared" si="35"/>
        <v>OK</v>
      </c>
      <c r="N294" s="2" t="str">
        <f t="shared" si="36"/>
        <v>MATCH</v>
      </c>
      <c r="O294" s="2" t="str">
        <f t="shared" si="37"/>
        <v>ERROR</v>
      </c>
      <c r="P294" s="2">
        <f t="shared" si="38"/>
        <v>1</v>
      </c>
      <c r="Q294" s="2" t="str">
        <f t="shared" si="39"/>
        <v>2025-08</v>
      </c>
      <c r="R294" s="3" t="s">
        <v>23</v>
      </c>
      <c r="S294" s="2">
        <f>IF(tblChecks[[#This Row],[AnyError]]="ERROR",1,0)</f>
        <v>1</v>
      </c>
      <c r="T294" s="2">
        <f>IF(tblChecks[[#This Row],[MissingStreet]]="MISSING",1,0)</f>
        <v>1</v>
      </c>
      <c r="U294" t="str">
        <f t="shared" si="32"/>
        <v>MissingStreet</v>
      </c>
    </row>
    <row r="295" spans="1:21" x14ac:dyDescent="0.3">
      <c r="A295" s="1" t="str">
        <f>CleanedData!F295</f>
        <v>PROP00294</v>
      </c>
      <c r="B295" s="2" t="str">
        <f>CleanedData!A295</f>
        <v>Coffey Unions 116, Germany, Cologne</v>
      </c>
      <c r="C295" s="2" t="str">
        <f>CleanedData!D295</f>
        <v>Germany</v>
      </c>
      <c r="D295" s="2" t="str">
        <f>CleanedData!E295</f>
        <v>Cologne</v>
      </c>
      <c r="E295" s="2" t="str">
        <f>CleanedData!O295</f>
        <v>Cologne</v>
      </c>
      <c r="F295" s="2" t="str">
        <f>CleanedData!M295</f>
        <v>Coffey Unions 116</v>
      </c>
      <c r="G295" s="2" t="str">
        <f>CleanedData!B295</f>
        <v>73549</v>
      </c>
      <c r="H295" s="2" t="str">
        <f>CleanedData!C295</f>
        <v>+82-979950186</v>
      </c>
      <c r="I295" s="2" t="str">
        <f>CleanedData!G295</f>
        <v>Active</v>
      </c>
      <c r="J295" s="14">
        <f>CleanedData!H295</f>
        <v>45871</v>
      </c>
      <c r="K295" s="2" t="str">
        <f t="shared" si="33"/>
        <v>OK</v>
      </c>
      <c r="L295" s="2" t="str">
        <f t="shared" si="34"/>
        <v>OK</v>
      </c>
      <c r="M295" s="2" t="str">
        <f t="shared" si="35"/>
        <v>OK</v>
      </c>
      <c r="N295" s="2" t="str">
        <f t="shared" si="36"/>
        <v>MATCH</v>
      </c>
      <c r="O295" s="2" t="str">
        <f t="shared" si="37"/>
        <v>OK</v>
      </c>
      <c r="P295" s="2">
        <f t="shared" si="38"/>
        <v>0</v>
      </c>
      <c r="Q295" s="2" t="str">
        <f t="shared" si="39"/>
        <v>2025-08</v>
      </c>
      <c r="R295" s="3" t="s">
        <v>33</v>
      </c>
      <c r="S295" s="2">
        <f>IF(tblChecks[[#This Row],[AnyError]]="ERROR",1,0)</f>
        <v>0</v>
      </c>
      <c r="T295" s="2">
        <f>IF(tblChecks[[#This Row],[MissingStreet]]="MISSING",1,0)</f>
        <v>0</v>
      </c>
      <c r="U295" t="str">
        <f t="shared" si="32"/>
        <v>OK</v>
      </c>
    </row>
    <row r="296" spans="1:21" x14ac:dyDescent="0.3">
      <c r="A296" s="1" t="str">
        <f>CleanedData!F296</f>
        <v>PROP00295</v>
      </c>
      <c r="B296" s="2" t="str">
        <f>CleanedData!A296</f>
        <v>Davis Locks 25, Italy, Naples</v>
      </c>
      <c r="C296" s="2" t="str">
        <f>CleanedData!D296</f>
        <v>Italy</v>
      </c>
      <c r="D296" s="2" t="str">
        <f>CleanedData!E296</f>
        <v>Naples</v>
      </c>
      <c r="E296" s="2" t="str">
        <f>CleanedData!O296</f>
        <v>Naples</v>
      </c>
      <c r="F296" s="2" t="str">
        <f>CleanedData!M296</f>
        <v>Davis Locks 25</v>
      </c>
      <c r="G296" s="2" t="str">
        <f>CleanedData!B296</f>
        <v>2325</v>
      </c>
      <c r="H296" s="2" t="str">
        <f>CleanedData!C296</f>
        <v>+68-483600749</v>
      </c>
      <c r="I296" s="2" t="str">
        <f>CleanedData!G296</f>
        <v>Active</v>
      </c>
      <c r="J296" s="14">
        <f>CleanedData!H296</f>
        <v>45443</v>
      </c>
      <c r="K296" s="2" t="str">
        <f t="shared" si="33"/>
        <v>OK</v>
      </c>
      <c r="L296" s="2" t="str">
        <f t="shared" si="34"/>
        <v>OK</v>
      </c>
      <c r="M296" s="2" t="str">
        <f t="shared" si="35"/>
        <v>OK</v>
      </c>
      <c r="N296" s="2" t="str">
        <f t="shared" si="36"/>
        <v>MATCH</v>
      </c>
      <c r="O296" s="2" t="str">
        <f t="shared" si="37"/>
        <v>OK</v>
      </c>
      <c r="P296" s="2">
        <f t="shared" si="38"/>
        <v>0</v>
      </c>
      <c r="Q296" s="2" t="str">
        <f t="shared" si="39"/>
        <v>2024-05</v>
      </c>
      <c r="R296" s="3" t="s">
        <v>39</v>
      </c>
      <c r="S296" s="2">
        <f>IF(tblChecks[[#This Row],[AnyError]]="ERROR",1,0)</f>
        <v>0</v>
      </c>
      <c r="T296" s="2">
        <f>IF(tblChecks[[#This Row],[MissingStreet]]="MISSING",1,0)</f>
        <v>0</v>
      </c>
      <c r="U296" t="str">
        <f t="shared" si="32"/>
        <v>OK</v>
      </c>
    </row>
    <row r="297" spans="1:21" x14ac:dyDescent="0.3">
      <c r="A297" s="1" t="str">
        <f>CleanedData!F297</f>
        <v>PROP00296</v>
      </c>
      <c r="B297" s="2" t="str">
        <f>CleanedData!A297</f>
        <v>Italy, Naples, Herrera Motorway 169</v>
      </c>
      <c r="C297" s="2" t="str">
        <f>CleanedData!D297</f>
        <v>Italy</v>
      </c>
      <c r="D297" s="2" t="str">
        <f>CleanedData!E297</f>
        <v>Naples</v>
      </c>
      <c r="E297" s="2" t="str">
        <f>CleanedData!O297</f>
        <v>Naples</v>
      </c>
      <c r="F297" s="2" t="str">
        <f>CleanedData!M297</f>
        <v>Herrera Motorway 169</v>
      </c>
      <c r="G297" s="2" t="str">
        <f>CleanedData!B297</f>
        <v>48812</v>
      </c>
      <c r="H297" s="2" t="str">
        <f>CleanedData!C297</f>
        <v>+82-174512198</v>
      </c>
      <c r="I297" s="2" t="str">
        <f>CleanedData!G297</f>
        <v>Active</v>
      </c>
      <c r="J297" s="14">
        <f>CleanedData!H297</f>
        <v>45941</v>
      </c>
      <c r="K297" s="2" t="str">
        <f t="shared" si="33"/>
        <v>OK</v>
      </c>
      <c r="L297" s="2" t="str">
        <f t="shared" si="34"/>
        <v>OK</v>
      </c>
      <c r="M297" s="2" t="str">
        <f t="shared" si="35"/>
        <v>OK</v>
      </c>
      <c r="N297" s="2" t="str">
        <f t="shared" si="36"/>
        <v>MATCH</v>
      </c>
      <c r="O297" s="2" t="str">
        <f t="shared" si="37"/>
        <v>OK</v>
      </c>
      <c r="P297" s="2">
        <f t="shared" si="38"/>
        <v>0</v>
      </c>
      <c r="Q297" s="2" t="str">
        <f t="shared" si="39"/>
        <v>2025-10</v>
      </c>
      <c r="R297" s="3" t="s">
        <v>16</v>
      </c>
      <c r="S297" s="2">
        <f>IF(tblChecks[[#This Row],[AnyError]]="ERROR",1,0)</f>
        <v>0</v>
      </c>
      <c r="T297" s="2">
        <f>IF(tblChecks[[#This Row],[MissingStreet]]="MISSING",1,0)</f>
        <v>0</v>
      </c>
      <c r="U297" t="str">
        <f t="shared" si="32"/>
        <v>OK</v>
      </c>
    </row>
    <row r="298" spans="1:21" x14ac:dyDescent="0.3">
      <c r="A298" s="1" t="str">
        <f>CleanedData!F298</f>
        <v>PROP00297</v>
      </c>
      <c r="B298" s="2" t="str">
        <f>CleanedData!A298</f>
        <v>Leeds, Richards View 78, UK</v>
      </c>
      <c r="C298" s="2" t="str">
        <f>CleanedData!D298</f>
        <v>UK</v>
      </c>
      <c r="D298" s="2" t="str">
        <f>CleanedData!E298</f>
        <v>Leeds</v>
      </c>
      <c r="E298" s="2" t="str">
        <f>CleanedData!O298</f>
        <v>Leeds</v>
      </c>
      <c r="F298" s="2" t="str">
        <f>CleanedData!M298</f>
        <v>Richards View 78</v>
      </c>
      <c r="G298" s="2" t="str">
        <f>CleanedData!B298</f>
        <v>84196</v>
      </c>
      <c r="H298" s="2" t="str">
        <f>CleanedData!C298</f>
        <v>+23-863508817</v>
      </c>
      <c r="I298" s="2" t="str">
        <f>CleanedData!G298</f>
        <v>Active</v>
      </c>
      <c r="J298" s="14">
        <f>CleanedData!H298</f>
        <v>45711</v>
      </c>
      <c r="K298" s="2" t="str">
        <f t="shared" si="33"/>
        <v>OK</v>
      </c>
      <c r="L298" s="2" t="str">
        <f t="shared" si="34"/>
        <v>OK</v>
      </c>
      <c r="M298" s="2" t="str">
        <f t="shared" si="35"/>
        <v>OK</v>
      </c>
      <c r="N298" s="2" t="str">
        <f t="shared" si="36"/>
        <v>MATCH</v>
      </c>
      <c r="O298" s="2" t="str">
        <f t="shared" si="37"/>
        <v>OK</v>
      </c>
      <c r="P298" s="2">
        <f t="shared" si="38"/>
        <v>0</v>
      </c>
      <c r="Q298" s="2" t="str">
        <f t="shared" si="39"/>
        <v>2025-02</v>
      </c>
      <c r="R298" s="3" t="s">
        <v>39</v>
      </c>
      <c r="S298" s="2">
        <f>IF(tblChecks[[#This Row],[AnyError]]="ERROR",1,0)</f>
        <v>0</v>
      </c>
      <c r="T298" s="2">
        <f>IF(tblChecks[[#This Row],[MissingStreet]]="MISSING",1,0)</f>
        <v>0</v>
      </c>
      <c r="U298" t="str">
        <f t="shared" si="32"/>
        <v>OK</v>
      </c>
    </row>
    <row r="299" spans="1:21" x14ac:dyDescent="0.3">
      <c r="A299" s="1" t="str">
        <f>CleanedData!F299</f>
        <v>PROP00298</v>
      </c>
      <c r="B299" s="2" t="str">
        <f>CleanedData!A299</f>
        <v>GermanyBerlin</v>
      </c>
      <c r="C299" s="2" t="str">
        <f>CleanedData!D299</f>
        <v>Germany</v>
      </c>
      <c r="D299" s="2" t="str">
        <f>CleanedData!E299</f>
        <v>Berlin</v>
      </c>
      <c r="E299" s="2" t="str">
        <f>CleanedData!O299</f>
        <v>Berlin</v>
      </c>
      <c r="F299" s="2" t="str">
        <f>CleanedData!M299</f>
        <v/>
      </c>
      <c r="G299" s="2" t="str">
        <f>CleanedData!B299</f>
        <v>62298</v>
      </c>
      <c r="H299" s="2" t="str">
        <f>CleanedData!C299</f>
        <v>+28-385042285</v>
      </c>
      <c r="I299" s="2" t="str">
        <f>CleanedData!G299</f>
        <v>Inactive</v>
      </c>
      <c r="J299" s="14">
        <f>CleanedData!H299</f>
        <v>45134</v>
      </c>
      <c r="K299" s="2" t="str">
        <f t="shared" si="33"/>
        <v>MISSING</v>
      </c>
      <c r="L299" s="2" t="str">
        <f t="shared" si="34"/>
        <v>OK</v>
      </c>
      <c r="M299" s="2" t="str">
        <f t="shared" si="35"/>
        <v>OK</v>
      </c>
      <c r="N299" s="2" t="str">
        <f t="shared" si="36"/>
        <v>MATCH</v>
      </c>
      <c r="O299" s="2" t="str">
        <f t="shared" si="37"/>
        <v>ERROR</v>
      </c>
      <c r="P299" s="2">
        <f t="shared" si="38"/>
        <v>1</v>
      </c>
      <c r="Q299" s="2" t="str">
        <f t="shared" si="39"/>
        <v>2023-07</v>
      </c>
      <c r="R299" s="3" t="s">
        <v>54</v>
      </c>
      <c r="S299" s="2">
        <f>IF(tblChecks[[#This Row],[AnyError]]="ERROR",1,0)</f>
        <v>1</v>
      </c>
      <c r="T299" s="2">
        <f>IF(tblChecks[[#This Row],[MissingStreet]]="MISSING",1,0)</f>
        <v>1</v>
      </c>
      <c r="U299" t="str">
        <f t="shared" si="32"/>
        <v>MissingStreet</v>
      </c>
    </row>
    <row r="300" spans="1:21" x14ac:dyDescent="0.3">
      <c r="A300" s="1" t="str">
        <f>CleanedData!F300</f>
        <v>PROP00299</v>
      </c>
      <c r="B300" s="2" t="str">
        <f>CleanedData!A300</f>
        <v>Leeds, Christine Points 207, UK</v>
      </c>
      <c r="C300" s="2" t="str">
        <f>CleanedData!D300</f>
        <v>UK</v>
      </c>
      <c r="D300" s="2" t="str">
        <f>CleanedData!E300</f>
        <v>Leeds</v>
      </c>
      <c r="E300" s="2" t="str">
        <f>CleanedData!O300</f>
        <v>Leeds</v>
      </c>
      <c r="F300" s="2" t="str">
        <f>CleanedData!M300</f>
        <v>Christine Points 207</v>
      </c>
      <c r="G300" s="2" t="str">
        <f>CleanedData!B300</f>
        <v>43493</v>
      </c>
      <c r="H300" s="2" t="str">
        <f>CleanedData!C300</f>
        <v>+88-126384432</v>
      </c>
      <c r="I300" s="2" t="str">
        <f>CleanedData!G300</f>
        <v>Inactive</v>
      </c>
      <c r="J300" s="14">
        <f>CleanedData!H300</f>
        <v>45287</v>
      </c>
      <c r="K300" s="2" t="str">
        <f t="shared" si="33"/>
        <v>OK</v>
      </c>
      <c r="L300" s="2" t="str">
        <f t="shared" si="34"/>
        <v>OK</v>
      </c>
      <c r="M300" s="2" t="str">
        <f t="shared" si="35"/>
        <v>OK</v>
      </c>
      <c r="N300" s="2" t="str">
        <f t="shared" si="36"/>
        <v>MATCH</v>
      </c>
      <c r="O300" s="2" t="str">
        <f t="shared" si="37"/>
        <v>OK</v>
      </c>
      <c r="P300" s="2">
        <f t="shared" si="38"/>
        <v>0</v>
      </c>
      <c r="Q300" s="2" t="str">
        <f t="shared" si="39"/>
        <v>2023-12</v>
      </c>
      <c r="R300" s="3" t="s">
        <v>54</v>
      </c>
      <c r="S300" s="2">
        <f>IF(tblChecks[[#This Row],[AnyError]]="ERROR",1,0)</f>
        <v>0</v>
      </c>
      <c r="T300" s="2">
        <f>IF(tblChecks[[#This Row],[MissingStreet]]="MISSING",1,0)</f>
        <v>0</v>
      </c>
      <c r="U300" t="str">
        <f t="shared" si="32"/>
        <v>OK</v>
      </c>
    </row>
    <row r="301" spans="1:21" x14ac:dyDescent="0.3">
      <c r="A301" s="1" t="str">
        <f>CleanedData!F301</f>
        <v>PROP00300</v>
      </c>
      <c r="B301" s="2" t="str">
        <f>CleanedData!A301</f>
        <v>Deborah Roads 279, Italy, Florence</v>
      </c>
      <c r="C301" s="2" t="str">
        <f>CleanedData!D301</f>
        <v>Italy</v>
      </c>
      <c r="D301" s="2" t="str">
        <f>CleanedData!E301</f>
        <v>Florence</v>
      </c>
      <c r="E301" s="2" t="str">
        <f>CleanedData!O301</f>
        <v>Florence</v>
      </c>
      <c r="F301" s="2" t="str">
        <f>CleanedData!M301</f>
        <v>Deborah Roads 279</v>
      </c>
      <c r="G301" s="2" t="str">
        <f>CleanedData!B301</f>
        <v>61353</v>
      </c>
      <c r="H301" s="2" t="str">
        <f>CleanedData!C301</f>
        <v>+63-751929397</v>
      </c>
      <c r="I301" s="2" t="str">
        <f>CleanedData!G301</f>
        <v>Inactive</v>
      </c>
      <c r="J301" s="14">
        <f>CleanedData!H301</f>
        <v>45878</v>
      </c>
      <c r="K301" s="2" t="str">
        <f t="shared" si="33"/>
        <v>OK</v>
      </c>
      <c r="L301" s="2" t="str">
        <f t="shared" si="34"/>
        <v>OK</v>
      </c>
      <c r="M301" s="2" t="str">
        <f t="shared" si="35"/>
        <v>OK</v>
      </c>
      <c r="N301" s="2" t="str">
        <f t="shared" si="36"/>
        <v>MATCH</v>
      </c>
      <c r="O301" s="2" t="str">
        <f t="shared" si="37"/>
        <v>OK</v>
      </c>
      <c r="P301" s="2">
        <f t="shared" si="38"/>
        <v>0</v>
      </c>
      <c r="Q301" s="2" t="str">
        <f t="shared" si="39"/>
        <v>2025-08</v>
      </c>
      <c r="R301" s="3" t="s">
        <v>54</v>
      </c>
      <c r="S301" s="2">
        <f>IF(tblChecks[[#This Row],[AnyError]]="ERROR",1,0)</f>
        <v>0</v>
      </c>
      <c r="T301" s="2">
        <f>IF(tblChecks[[#This Row],[MissingStreet]]="MISSING",1,0)</f>
        <v>0</v>
      </c>
      <c r="U301" t="str">
        <f t="shared" si="32"/>
        <v>OK</v>
      </c>
    </row>
    <row r="302" spans="1:21" x14ac:dyDescent="0.3">
      <c r="A302" s="1" t="str">
        <f>CleanedData!F302</f>
        <v>PROP00301</v>
      </c>
      <c r="B302" s="2" t="str">
        <f>CleanedData!A302</f>
        <v>Banks Crescent 116, France, Paris</v>
      </c>
      <c r="C302" s="2" t="str">
        <f>CleanedData!D302</f>
        <v>France</v>
      </c>
      <c r="D302" s="2" t="str">
        <f>CleanedData!E302</f>
        <v>Paris</v>
      </c>
      <c r="E302" s="2" t="str">
        <f>CleanedData!O302</f>
        <v>Paris</v>
      </c>
      <c r="F302" s="2" t="str">
        <f>CleanedData!M302</f>
        <v>Banks Crescent 116</v>
      </c>
      <c r="G302" s="2" t="str">
        <f>CleanedData!B302</f>
        <v>18821</v>
      </c>
      <c r="H302" s="2" t="str">
        <f>CleanedData!C302</f>
        <v>+85-135214085</v>
      </c>
      <c r="I302" s="2" t="str">
        <f>CleanedData!G302</f>
        <v>Active</v>
      </c>
      <c r="J302" s="14">
        <f>CleanedData!H302</f>
        <v>45926</v>
      </c>
      <c r="K302" s="2" t="str">
        <f t="shared" si="33"/>
        <v>OK</v>
      </c>
      <c r="L302" s="2" t="str">
        <f t="shared" si="34"/>
        <v>OK</v>
      </c>
      <c r="M302" s="2" t="str">
        <f t="shared" si="35"/>
        <v>OK</v>
      </c>
      <c r="N302" s="2" t="str">
        <f t="shared" si="36"/>
        <v>MATCH</v>
      </c>
      <c r="O302" s="2" t="str">
        <f t="shared" si="37"/>
        <v>OK</v>
      </c>
      <c r="P302" s="2">
        <f t="shared" si="38"/>
        <v>0</v>
      </c>
      <c r="Q302" s="2" t="str">
        <f t="shared" si="39"/>
        <v>2025-09</v>
      </c>
      <c r="R302" s="3" t="s">
        <v>54</v>
      </c>
      <c r="S302" s="2">
        <f>IF(tblChecks[[#This Row],[AnyError]]="ERROR",1,0)</f>
        <v>0</v>
      </c>
      <c r="T302" s="2">
        <f>IF(tblChecks[[#This Row],[MissingStreet]]="MISSING",1,0)</f>
        <v>0</v>
      </c>
      <c r="U302" t="str">
        <f t="shared" si="32"/>
        <v>OK</v>
      </c>
    </row>
    <row r="303" spans="1:21" x14ac:dyDescent="0.3">
      <c r="A303" s="1" t="str">
        <f>CleanedData!F303</f>
        <v>PROP00302</v>
      </c>
      <c r="B303" s="2" t="str">
        <f>CleanedData!A303</f>
        <v>Canada, Montreal, Sophia Hollow 204</v>
      </c>
      <c r="C303" s="2" t="str">
        <f>CleanedData!D303</f>
        <v>Canada</v>
      </c>
      <c r="D303" s="2" t="str">
        <f>CleanedData!E303</f>
        <v>Montreal</v>
      </c>
      <c r="E303" s="2" t="str">
        <f>CleanedData!O303</f>
        <v>Montreal</v>
      </c>
      <c r="F303" s="2" t="str">
        <f>CleanedData!M303</f>
        <v>Sophia Hollow 204</v>
      </c>
      <c r="G303" s="2" t="str">
        <f>CleanedData!B303</f>
        <v>65070</v>
      </c>
      <c r="H303" s="2" t="str">
        <f>CleanedData!C303</f>
        <v>+51-140880382</v>
      </c>
      <c r="I303" s="2" t="str">
        <f>CleanedData!G303</f>
        <v>Active</v>
      </c>
      <c r="J303" s="14">
        <f>CleanedData!H303</f>
        <v>45732</v>
      </c>
      <c r="K303" s="2" t="str">
        <f t="shared" si="33"/>
        <v>OK</v>
      </c>
      <c r="L303" s="2" t="str">
        <f t="shared" si="34"/>
        <v>OK</v>
      </c>
      <c r="M303" s="2" t="str">
        <f t="shared" si="35"/>
        <v>OK</v>
      </c>
      <c r="N303" s="2" t="str">
        <f t="shared" si="36"/>
        <v>MATCH</v>
      </c>
      <c r="O303" s="2" t="str">
        <f t="shared" si="37"/>
        <v>OK</v>
      </c>
      <c r="P303" s="2">
        <f t="shared" si="38"/>
        <v>0</v>
      </c>
      <c r="Q303" s="2" t="str">
        <f t="shared" si="39"/>
        <v>2025-03</v>
      </c>
      <c r="R303" s="3" t="s">
        <v>23</v>
      </c>
      <c r="S303" s="2">
        <f>IF(tblChecks[[#This Row],[AnyError]]="ERROR",1,0)</f>
        <v>0</v>
      </c>
      <c r="T303" s="2">
        <f>IF(tblChecks[[#This Row],[MissingStreet]]="MISSING",1,0)</f>
        <v>0</v>
      </c>
      <c r="U303" t="str">
        <f t="shared" si="32"/>
        <v>OK</v>
      </c>
    </row>
    <row r="304" spans="1:21" x14ac:dyDescent="0.3">
      <c r="A304" s="1" t="str">
        <f>CleanedData!F304</f>
        <v>PROP00303</v>
      </c>
      <c r="B304" s="2" t="str">
        <f>CleanedData!A304</f>
        <v>GermanyBerlinColton Plain44</v>
      </c>
      <c r="C304" s="2" t="str">
        <f>CleanedData!D304</f>
        <v>Germany</v>
      </c>
      <c r="D304" s="2" t="str">
        <f>CleanedData!E304</f>
        <v>Berlin</v>
      </c>
      <c r="E304" s="2" t="str">
        <f>CleanedData!O304</f>
        <v>Berlin</v>
      </c>
      <c r="F304" s="2" t="str">
        <f>CleanedData!M304</f>
        <v>GermanyBerlinColton Plain44</v>
      </c>
      <c r="G304" s="2" t="str">
        <f>CleanedData!B304</f>
        <v>18282</v>
      </c>
      <c r="H304" s="2" t="str">
        <f>CleanedData!C304</f>
        <v>+52-392879985</v>
      </c>
      <c r="I304" s="2" t="str">
        <f>CleanedData!G304</f>
        <v>Active</v>
      </c>
      <c r="J304" s="14">
        <f>CleanedData!H304</f>
        <v>45580</v>
      </c>
      <c r="K304" s="2" t="str">
        <f t="shared" si="33"/>
        <v>OK</v>
      </c>
      <c r="L304" s="2" t="str">
        <f t="shared" si="34"/>
        <v>OK</v>
      </c>
      <c r="M304" s="2" t="str">
        <f t="shared" si="35"/>
        <v>OK</v>
      </c>
      <c r="N304" s="2" t="str">
        <f t="shared" si="36"/>
        <v>MATCH</v>
      </c>
      <c r="O304" s="2" t="str">
        <f t="shared" si="37"/>
        <v>OK</v>
      </c>
      <c r="P304" s="2">
        <f t="shared" si="38"/>
        <v>0</v>
      </c>
      <c r="Q304" s="2" t="str">
        <f t="shared" si="39"/>
        <v>2024-10</v>
      </c>
      <c r="R304" s="3" t="s">
        <v>23</v>
      </c>
      <c r="S304" s="2">
        <f>IF(tblChecks[[#This Row],[AnyError]]="ERROR",1,0)</f>
        <v>0</v>
      </c>
      <c r="T304" s="2">
        <f>IF(tblChecks[[#This Row],[MissingStreet]]="MISSING",1,0)</f>
        <v>0</v>
      </c>
      <c r="U304" t="str">
        <f t="shared" si="32"/>
        <v>OK</v>
      </c>
    </row>
    <row r="305" spans="1:21" x14ac:dyDescent="0.3">
      <c r="A305" s="1" t="str">
        <f>CleanedData!F305</f>
        <v>PROP00304</v>
      </c>
      <c r="B305" s="2" t="str">
        <f>CleanedData!A305</f>
        <v>Chavez Skyway 138, Brazil, Salvador</v>
      </c>
      <c r="C305" s="2" t="str">
        <f>CleanedData!D305</f>
        <v>Brazil</v>
      </c>
      <c r="D305" s="2" t="str">
        <f>CleanedData!E305</f>
        <v>Salvador</v>
      </c>
      <c r="E305" s="2" t="str">
        <f>CleanedData!O305</f>
        <v>Salvador</v>
      </c>
      <c r="F305" s="2" t="str">
        <f>CleanedData!M305</f>
        <v>Chavez Skyway 138</v>
      </c>
      <c r="G305" s="2" t="str">
        <f>CleanedData!B305</f>
        <v>97905</v>
      </c>
      <c r="H305" s="2" t="str">
        <f>CleanedData!C305</f>
        <v>+81-778539798</v>
      </c>
      <c r="I305" s="2" t="str">
        <f>CleanedData!G305</f>
        <v>Active</v>
      </c>
      <c r="J305" s="14">
        <f>CleanedData!H305</f>
        <v>45062</v>
      </c>
      <c r="K305" s="2" t="str">
        <f t="shared" si="33"/>
        <v>OK</v>
      </c>
      <c r="L305" s="2" t="str">
        <f t="shared" si="34"/>
        <v>OK</v>
      </c>
      <c r="M305" s="2" t="str">
        <f t="shared" si="35"/>
        <v>OK</v>
      </c>
      <c r="N305" s="2" t="str">
        <f t="shared" si="36"/>
        <v>MATCH</v>
      </c>
      <c r="O305" s="2" t="str">
        <f t="shared" si="37"/>
        <v>OK</v>
      </c>
      <c r="P305" s="2">
        <f t="shared" si="38"/>
        <v>0</v>
      </c>
      <c r="Q305" s="2" t="str">
        <f t="shared" si="39"/>
        <v>2023-05</v>
      </c>
      <c r="R305" s="3" t="s">
        <v>23</v>
      </c>
      <c r="S305" s="2">
        <f>IF(tblChecks[[#This Row],[AnyError]]="ERROR",1,0)</f>
        <v>0</v>
      </c>
      <c r="T305" s="2">
        <f>IF(tblChecks[[#This Row],[MissingStreet]]="MISSING",1,0)</f>
        <v>0</v>
      </c>
      <c r="U305" t="str">
        <f t="shared" si="32"/>
        <v>OK</v>
      </c>
    </row>
    <row r="306" spans="1:21" x14ac:dyDescent="0.3">
      <c r="A306" s="1" t="str">
        <f>CleanedData!F306</f>
        <v>PROP00305</v>
      </c>
      <c r="B306" s="2" t="str">
        <f>CleanedData!A306</f>
        <v>Brazil, Fortaleza</v>
      </c>
      <c r="C306" s="2" t="str">
        <f>CleanedData!D306</f>
        <v>Brazil</v>
      </c>
      <c r="D306" s="2" t="str">
        <f>CleanedData!E306</f>
        <v>Fortaleza</v>
      </c>
      <c r="E306" s="2" t="str">
        <f>CleanedData!O306</f>
        <v>Fortaleza</v>
      </c>
      <c r="F306" s="2" t="str">
        <f>CleanedData!M306</f>
        <v>Fortaleza</v>
      </c>
      <c r="G306" s="2" t="str">
        <f>CleanedData!B306</f>
        <v>20754</v>
      </c>
      <c r="H306" s="2" t="str">
        <f>CleanedData!C306</f>
        <v>+40-285554409</v>
      </c>
      <c r="I306" s="2" t="str">
        <f>CleanedData!G306</f>
        <v>Inactive</v>
      </c>
      <c r="J306" s="14">
        <f>CleanedData!H306</f>
        <v>45731</v>
      </c>
      <c r="K306" s="2" t="str">
        <f t="shared" si="33"/>
        <v>OK</v>
      </c>
      <c r="L306" s="2" t="str">
        <f t="shared" si="34"/>
        <v>OK</v>
      </c>
      <c r="M306" s="2" t="str">
        <f t="shared" si="35"/>
        <v>OK</v>
      </c>
      <c r="N306" s="2" t="str">
        <f t="shared" si="36"/>
        <v>MATCH</v>
      </c>
      <c r="O306" s="2" t="str">
        <f t="shared" si="37"/>
        <v>OK</v>
      </c>
      <c r="P306" s="2">
        <f t="shared" si="38"/>
        <v>0</v>
      </c>
      <c r="Q306" s="2" t="str">
        <f t="shared" si="39"/>
        <v>2025-03</v>
      </c>
      <c r="R306" s="3" t="s">
        <v>54</v>
      </c>
      <c r="S306" s="2">
        <f>IF(tblChecks[[#This Row],[AnyError]]="ERROR",1,0)</f>
        <v>0</v>
      </c>
      <c r="T306" s="2">
        <f>IF(tblChecks[[#This Row],[MissingStreet]]="MISSING",1,0)</f>
        <v>0</v>
      </c>
      <c r="U306" t="str">
        <f t="shared" si="32"/>
        <v>OK</v>
      </c>
    </row>
    <row r="307" spans="1:21" x14ac:dyDescent="0.3">
      <c r="A307" s="1" t="str">
        <f>CleanedData!F307</f>
        <v>PROP00306</v>
      </c>
      <c r="B307" s="2" t="str">
        <f>CleanedData!A307</f>
        <v>Paris, Pena Village 84, France</v>
      </c>
      <c r="C307" s="2" t="str">
        <f>CleanedData!D307</f>
        <v>France</v>
      </c>
      <c r="D307" s="2" t="str">
        <f>CleanedData!E307</f>
        <v>Paris</v>
      </c>
      <c r="E307" s="2" t="str">
        <f>CleanedData!O307</f>
        <v>Paris</v>
      </c>
      <c r="F307" s="2" t="str">
        <f>CleanedData!M307</f>
        <v>Pena Village 84</v>
      </c>
      <c r="G307" s="2" t="str">
        <f>CleanedData!B307</f>
        <v>64640</v>
      </c>
      <c r="H307" s="2" t="str">
        <f>CleanedData!C307</f>
        <v>+18-150879126</v>
      </c>
      <c r="I307" s="2" t="str">
        <f>CleanedData!G307</f>
        <v>Inactive</v>
      </c>
      <c r="J307" s="14">
        <f>CleanedData!H307</f>
        <v>45331</v>
      </c>
      <c r="K307" s="2" t="str">
        <f t="shared" si="33"/>
        <v>OK</v>
      </c>
      <c r="L307" s="2" t="str">
        <f t="shared" si="34"/>
        <v>OK</v>
      </c>
      <c r="M307" s="2" t="str">
        <f t="shared" si="35"/>
        <v>OK</v>
      </c>
      <c r="N307" s="2" t="str">
        <f t="shared" si="36"/>
        <v>MATCH</v>
      </c>
      <c r="O307" s="2" t="str">
        <f t="shared" si="37"/>
        <v>OK</v>
      </c>
      <c r="P307" s="2">
        <f t="shared" si="38"/>
        <v>0</v>
      </c>
      <c r="Q307" s="2" t="str">
        <f t="shared" si="39"/>
        <v>2024-02</v>
      </c>
      <c r="R307" s="3" t="s">
        <v>16</v>
      </c>
      <c r="S307" s="2">
        <f>IF(tblChecks[[#This Row],[AnyError]]="ERROR",1,0)</f>
        <v>0</v>
      </c>
      <c r="T307" s="2">
        <f>IF(tblChecks[[#This Row],[MissingStreet]]="MISSING",1,0)</f>
        <v>0</v>
      </c>
      <c r="U307" t="str">
        <f t="shared" si="32"/>
        <v>OK</v>
      </c>
    </row>
    <row r="308" spans="1:21" x14ac:dyDescent="0.3">
      <c r="A308" s="1" t="str">
        <f>CleanedData!F308</f>
        <v>PROP00307</v>
      </c>
      <c r="B308" s="2" t="str">
        <f>CleanedData!A308</f>
        <v>NaplesCrosby Harbors180, Italy</v>
      </c>
      <c r="C308" s="2" t="str">
        <f>CleanedData!D308</f>
        <v>Italy</v>
      </c>
      <c r="D308" s="2" t="str">
        <f>CleanedData!E308</f>
        <v>Naples</v>
      </c>
      <c r="E308" s="2" t="str">
        <f>CleanedData!O308</f>
        <v>Naples</v>
      </c>
      <c r="F308" s="2" t="str">
        <f>CleanedData!M308</f>
        <v>NaplesCrosby Harbors180</v>
      </c>
      <c r="G308" s="2" t="str">
        <f>CleanedData!B308</f>
        <v>4789</v>
      </c>
      <c r="H308" s="2" t="str">
        <f>CleanedData!C308</f>
        <v>+50-476359228</v>
      </c>
      <c r="I308" s="2" t="str">
        <f>CleanedData!G308</f>
        <v>Active</v>
      </c>
      <c r="J308" s="14">
        <f>CleanedData!H308</f>
        <v>45242</v>
      </c>
      <c r="K308" s="2" t="str">
        <f t="shared" si="33"/>
        <v>OK</v>
      </c>
      <c r="L308" s="2" t="str">
        <f t="shared" si="34"/>
        <v>OK</v>
      </c>
      <c r="M308" s="2" t="str">
        <f t="shared" si="35"/>
        <v>OK</v>
      </c>
      <c r="N308" s="2" t="str">
        <f t="shared" si="36"/>
        <v>MATCH</v>
      </c>
      <c r="O308" s="2" t="str">
        <f t="shared" si="37"/>
        <v>OK</v>
      </c>
      <c r="P308" s="2">
        <f t="shared" si="38"/>
        <v>0</v>
      </c>
      <c r="Q308" s="2" t="str">
        <f t="shared" si="39"/>
        <v>2023-11</v>
      </c>
      <c r="R308" s="3" t="s">
        <v>39</v>
      </c>
      <c r="S308" s="2">
        <f>IF(tblChecks[[#This Row],[AnyError]]="ERROR",1,0)</f>
        <v>0</v>
      </c>
      <c r="T308" s="2">
        <f>IF(tblChecks[[#This Row],[MissingStreet]]="MISSING",1,0)</f>
        <v>0</v>
      </c>
      <c r="U308" t="str">
        <f t="shared" si="32"/>
        <v>OK</v>
      </c>
    </row>
    <row r="309" spans="1:21" x14ac:dyDescent="0.3">
      <c r="A309" s="1" t="str">
        <f>CleanedData!F309</f>
        <v>PROP00308</v>
      </c>
      <c r="B309" s="2" t="str">
        <f>CleanedData!A309</f>
        <v>Japan, Sapporo</v>
      </c>
      <c r="C309" s="2" t="str">
        <f>CleanedData!D309</f>
        <v>Japan</v>
      </c>
      <c r="D309" s="2" t="str">
        <f>CleanedData!E309</f>
        <v>Sapporo</v>
      </c>
      <c r="E309" s="2" t="str">
        <f>CleanedData!O309</f>
        <v>Sapporo</v>
      </c>
      <c r="F309" s="2" t="str">
        <f>CleanedData!M309</f>
        <v>Sapporo</v>
      </c>
      <c r="G309" s="2" t="str">
        <f>CleanedData!B309</f>
        <v>31448</v>
      </c>
      <c r="H309" s="2" t="str">
        <f>CleanedData!C309</f>
        <v>+99-495225028</v>
      </c>
      <c r="I309" s="2" t="str">
        <f>CleanedData!G309</f>
        <v>Inactive</v>
      </c>
      <c r="J309" s="14">
        <f>CleanedData!H309</f>
        <v>45591</v>
      </c>
      <c r="K309" s="2" t="str">
        <f t="shared" si="33"/>
        <v>OK</v>
      </c>
      <c r="L309" s="2" t="str">
        <f t="shared" si="34"/>
        <v>OK</v>
      </c>
      <c r="M309" s="2" t="str">
        <f t="shared" si="35"/>
        <v>OK</v>
      </c>
      <c r="N309" s="2" t="str">
        <f t="shared" si="36"/>
        <v>MATCH</v>
      </c>
      <c r="O309" s="2" t="str">
        <f t="shared" si="37"/>
        <v>OK</v>
      </c>
      <c r="P309" s="2">
        <f t="shared" si="38"/>
        <v>0</v>
      </c>
      <c r="Q309" s="2" t="str">
        <f t="shared" si="39"/>
        <v>2024-10</v>
      </c>
      <c r="R309" s="3" t="s">
        <v>33</v>
      </c>
      <c r="S309" s="2">
        <f>IF(tblChecks[[#This Row],[AnyError]]="ERROR",1,0)</f>
        <v>0</v>
      </c>
      <c r="T309" s="2">
        <f>IF(tblChecks[[#This Row],[MissingStreet]]="MISSING",1,0)</f>
        <v>0</v>
      </c>
      <c r="U309" t="str">
        <f t="shared" si="32"/>
        <v>OK</v>
      </c>
    </row>
    <row r="310" spans="1:21" x14ac:dyDescent="0.3">
      <c r="A310" s="1" t="str">
        <f>CleanedData!F310</f>
        <v>PROP00309</v>
      </c>
      <c r="B310" s="2" t="str">
        <f>CleanedData!A310</f>
        <v>Garcia Spur146, Kyoto, Japan</v>
      </c>
      <c r="C310" s="2" t="str">
        <f>CleanedData!D310</f>
        <v>Japan</v>
      </c>
      <c r="D310" s="2" t="str">
        <f>CleanedData!E310</f>
        <v>Kyoto</v>
      </c>
      <c r="E310" s="2" t="str">
        <f>CleanedData!O310</f>
        <v>Kyoto</v>
      </c>
      <c r="F310" s="2" t="str">
        <f>CleanedData!M310</f>
        <v>Garcia Spur146</v>
      </c>
      <c r="G310" s="2" t="str">
        <f>CleanedData!B310</f>
        <v>48648</v>
      </c>
      <c r="H310" s="2" t="str">
        <f>CleanedData!C310</f>
        <v>+64-902246995</v>
      </c>
      <c r="I310" s="2" t="str">
        <f>CleanedData!G310</f>
        <v>Active</v>
      </c>
      <c r="J310" s="14">
        <f>CleanedData!H310</f>
        <v>45023</v>
      </c>
      <c r="K310" s="2" t="str">
        <f t="shared" si="33"/>
        <v>OK</v>
      </c>
      <c r="L310" s="2" t="str">
        <f t="shared" si="34"/>
        <v>OK</v>
      </c>
      <c r="M310" s="2" t="str">
        <f t="shared" si="35"/>
        <v>OK</v>
      </c>
      <c r="N310" s="2" t="str">
        <f t="shared" si="36"/>
        <v>MATCH</v>
      </c>
      <c r="O310" s="2" t="str">
        <f t="shared" si="37"/>
        <v>OK</v>
      </c>
      <c r="P310" s="2">
        <f t="shared" si="38"/>
        <v>0</v>
      </c>
      <c r="Q310" s="2" t="str">
        <f t="shared" si="39"/>
        <v>2023-04</v>
      </c>
      <c r="R310" s="3" t="s">
        <v>54</v>
      </c>
      <c r="S310" s="2">
        <f>IF(tblChecks[[#This Row],[AnyError]]="ERROR",1,0)</f>
        <v>0</v>
      </c>
      <c r="T310" s="2">
        <f>IF(tblChecks[[#This Row],[MissingStreet]]="MISSING",1,0)</f>
        <v>0</v>
      </c>
      <c r="U310" t="str">
        <f t="shared" si="32"/>
        <v>OK</v>
      </c>
    </row>
    <row r="311" spans="1:21" x14ac:dyDescent="0.3">
      <c r="A311" s="1" t="str">
        <f>CleanedData!F311</f>
        <v>PROP00310</v>
      </c>
      <c r="B311" s="2" t="str">
        <f>CleanedData!A311</f>
        <v>MontrealBrown Harbor209, Canada</v>
      </c>
      <c r="C311" s="2" t="str">
        <f>CleanedData!D311</f>
        <v>Canada</v>
      </c>
      <c r="D311" s="2" t="str">
        <f>CleanedData!E311</f>
        <v>Montreal</v>
      </c>
      <c r="E311" s="2" t="str">
        <f>CleanedData!O311</f>
        <v>Montreal</v>
      </c>
      <c r="F311" s="2" t="str">
        <f>CleanedData!M311</f>
        <v>MontrealBrown Harbor209</v>
      </c>
      <c r="G311" s="2" t="str">
        <f>CleanedData!B311</f>
        <v>25379</v>
      </c>
      <c r="H311" s="2" t="str">
        <f>CleanedData!C311</f>
        <v>+91-846025871</v>
      </c>
      <c r="I311" s="2" t="str">
        <f>CleanedData!G311</f>
        <v>Active</v>
      </c>
      <c r="J311" s="14">
        <f>CleanedData!H311</f>
        <v>45559</v>
      </c>
      <c r="K311" s="2" t="str">
        <f t="shared" si="33"/>
        <v>OK</v>
      </c>
      <c r="L311" s="2" t="str">
        <f t="shared" si="34"/>
        <v>OK</v>
      </c>
      <c r="M311" s="2" t="str">
        <f t="shared" si="35"/>
        <v>OK</v>
      </c>
      <c r="N311" s="2" t="str">
        <f t="shared" si="36"/>
        <v>MATCH</v>
      </c>
      <c r="O311" s="2" t="str">
        <f t="shared" si="37"/>
        <v>OK</v>
      </c>
      <c r="P311" s="2">
        <f t="shared" si="38"/>
        <v>0</v>
      </c>
      <c r="Q311" s="2" t="str">
        <f t="shared" si="39"/>
        <v>2024-09</v>
      </c>
      <c r="R311" s="3" t="s">
        <v>54</v>
      </c>
      <c r="S311" s="2">
        <f>IF(tblChecks[[#This Row],[AnyError]]="ERROR",1,0)</f>
        <v>0</v>
      </c>
      <c r="T311" s="2">
        <f>IF(tblChecks[[#This Row],[MissingStreet]]="MISSING",1,0)</f>
        <v>0</v>
      </c>
      <c r="U311" t="str">
        <f t="shared" si="32"/>
        <v>OK</v>
      </c>
    </row>
    <row r="312" spans="1:21" x14ac:dyDescent="0.3">
      <c r="A312" s="1" t="str">
        <f>CleanedData!F312</f>
        <v>PROP00311</v>
      </c>
      <c r="B312" s="2" t="str">
        <f>CleanedData!A312</f>
        <v>UKLondonStacy View2</v>
      </c>
      <c r="C312" s="2" t="str">
        <f>CleanedData!D312</f>
        <v>UK</v>
      </c>
      <c r="D312" s="2" t="str">
        <f>CleanedData!E312</f>
        <v>London</v>
      </c>
      <c r="E312" s="2" t="str">
        <f>CleanedData!O312</f>
        <v>London</v>
      </c>
      <c r="F312" s="2" t="str">
        <f>CleanedData!M312</f>
        <v>UKLondonStacy View2</v>
      </c>
      <c r="G312" s="2" t="str">
        <f>CleanedData!B312</f>
        <v>60101</v>
      </c>
      <c r="H312" s="2" t="str">
        <f>CleanedData!C312</f>
        <v>+64-488462965</v>
      </c>
      <c r="I312" s="2" t="str">
        <f>CleanedData!G312</f>
        <v>Inactive</v>
      </c>
      <c r="J312" s="14">
        <f>CleanedData!H312</f>
        <v>45081</v>
      </c>
      <c r="K312" s="2" t="str">
        <f t="shared" si="33"/>
        <v>OK</v>
      </c>
      <c r="L312" s="2" t="str">
        <f t="shared" si="34"/>
        <v>OK</v>
      </c>
      <c r="M312" s="2" t="str">
        <f t="shared" si="35"/>
        <v>OK</v>
      </c>
      <c r="N312" s="2" t="str">
        <f t="shared" si="36"/>
        <v>MATCH</v>
      </c>
      <c r="O312" s="2" t="str">
        <f t="shared" si="37"/>
        <v>OK</v>
      </c>
      <c r="P312" s="2">
        <f t="shared" si="38"/>
        <v>0</v>
      </c>
      <c r="Q312" s="2" t="str">
        <f t="shared" si="39"/>
        <v>2023-06</v>
      </c>
      <c r="R312" s="3" t="s">
        <v>23</v>
      </c>
      <c r="S312" s="2">
        <f>IF(tblChecks[[#This Row],[AnyError]]="ERROR",1,0)</f>
        <v>0</v>
      </c>
      <c r="T312" s="2">
        <f>IF(tblChecks[[#This Row],[MissingStreet]]="MISSING",1,0)</f>
        <v>0</v>
      </c>
      <c r="U312" t="str">
        <f t="shared" si="32"/>
        <v>OK</v>
      </c>
    </row>
    <row r="313" spans="1:21" x14ac:dyDescent="0.3">
      <c r="A313" s="1" t="str">
        <f>CleanedData!F313</f>
        <v>PROP00312</v>
      </c>
      <c r="B313" s="2" t="str">
        <f>CleanedData!A313</f>
        <v>Salvador, Elizabeth Row 194, Brazil</v>
      </c>
      <c r="C313" s="2" t="str">
        <f>CleanedData!D313</f>
        <v>Brazil</v>
      </c>
      <c r="D313" s="2" t="str">
        <f>CleanedData!E313</f>
        <v>Salvador</v>
      </c>
      <c r="E313" s="2" t="str">
        <f>CleanedData!O313</f>
        <v>Salvador</v>
      </c>
      <c r="F313" s="2" t="str">
        <f>CleanedData!M313</f>
        <v>Elizabeth Row 194</v>
      </c>
      <c r="G313" s="2" t="str">
        <f>CleanedData!B313</f>
        <v>84320</v>
      </c>
      <c r="H313" s="2" t="str">
        <f>CleanedData!C313</f>
        <v>+94-237322065</v>
      </c>
      <c r="I313" s="2" t="str">
        <f>CleanedData!G313</f>
        <v>Active</v>
      </c>
      <c r="J313" s="14">
        <f>CleanedData!H313</f>
        <v>45478</v>
      </c>
      <c r="K313" s="2" t="str">
        <f t="shared" si="33"/>
        <v>OK</v>
      </c>
      <c r="L313" s="2" t="str">
        <f t="shared" si="34"/>
        <v>OK</v>
      </c>
      <c r="M313" s="2" t="str">
        <f t="shared" si="35"/>
        <v>OK</v>
      </c>
      <c r="N313" s="2" t="str">
        <f t="shared" si="36"/>
        <v>MATCH</v>
      </c>
      <c r="O313" s="2" t="str">
        <f t="shared" si="37"/>
        <v>OK</v>
      </c>
      <c r="P313" s="2">
        <f t="shared" si="38"/>
        <v>0</v>
      </c>
      <c r="Q313" s="2" t="str">
        <f t="shared" si="39"/>
        <v>2024-07</v>
      </c>
      <c r="R313" s="3" t="s">
        <v>16</v>
      </c>
      <c r="S313" s="2">
        <f>IF(tblChecks[[#This Row],[AnyError]]="ERROR",1,0)</f>
        <v>0</v>
      </c>
      <c r="T313" s="2">
        <f>IF(tblChecks[[#This Row],[MissingStreet]]="MISSING",1,0)</f>
        <v>0</v>
      </c>
      <c r="U313" t="str">
        <f t="shared" si="32"/>
        <v>OK</v>
      </c>
    </row>
    <row r="314" spans="1:21" x14ac:dyDescent="0.3">
      <c r="A314" s="1" t="str">
        <f>CleanedData!F314</f>
        <v>PROP00313</v>
      </c>
      <c r="B314" s="2" t="str">
        <f>CleanedData!A314</f>
        <v>FranceParis</v>
      </c>
      <c r="C314" s="2" t="str">
        <f>CleanedData!D314</f>
        <v>France</v>
      </c>
      <c r="D314" s="2" t="str">
        <f>CleanedData!E314</f>
        <v>Paris</v>
      </c>
      <c r="E314" s="2" t="str">
        <f>CleanedData!O314</f>
        <v>Paris</v>
      </c>
      <c r="F314" s="2" t="str">
        <f>CleanedData!M314</f>
        <v/>
      </c>
      <c r="G314" s="2" t="str">
        <f>CleanedData!B314</f>
        <v>32426</v>
      </c>
      <c r="H314" s="2" t="str">
        <f>CleanedData!C314</f>
        <v>+12-586674372</v>
      </c>
      <c r="I314" s="2" t="str">
        <f>CleanedData!G314</f>
        <v>Inactive</v>
      </c>
      <c r="J314" s="14">
        <f>CleanedData!H314</f>
        <v>45590</v>
      </c>
      <c r="K314" s="2" t="str">
        <f t="shared" si="33"/>
        <v>MISSING</v>
      </c>
      <c r="L314" s="2" t="str">
        <f t="shared" si="34"/>
        <v>OK</v>
      </c>
      <c r="M314" s="2" t="str">
        <f t="shared" si="35"/>
        <v>OK</v>
      </c>
      <c r="N314" s="2" t="str">
        <f t="shared" si="36"/>
        <v>MATCH</v>
      </c>
      <c r="O314" s="2" t="str">
        <f t="shared" si="37"/>
        <v>ERROR</v>
      </c>
      <c r="P314" s="2">
        <f t="shared" si="38"/>
        <v>1</v>
      </c>
      <c r="Q314" s="2" t="str">
        <f t="shared" si="39"/>
        <v>2024-10</v>
      </c>
      <c r="R314" s="3" t="s">
        <v>33</v>
      </c>
      <c r="S314" s="2">
        <f>IF(tblChecks[[#This Row],[AnyError]]="ERROR",1,0)</f>
        <v>1</v>
      </c>
      <c r="T314" s="2">
        <f>IF(tblChecks[[#This Row],[MissingStreet]]="MISSING",1,0)</f>
        <v>1</v>
      </c>
      <c r="U314" t="str">
        <f t="shared" si="32"/>
        <v>MissingStreet</v>
      </c>
    </row>
    <row r="315" spans="1:21" x14ac:dyDescent="0.3">
      <c r="A315" s="1" t="str">
        <f>CleanedData!F315</f>
        <v>PROP00314</v>
      </c>
      <c r="B315" s="2" t="str">
        <f>CleanedData!A315</f>
        <v>Australia, Brisbane</v>
      </c>
      <c r="C315" s="2" t="str">
        <f>CleanedData!D315</f>
        <v>Australia</v>
      </c>
      <c r="D315" s="2" t="str">
        <f>CleanedData!E315</f>
        <v>Brisbane</v>
      </c>
      <c r="E315" s="2" t="str">
        <f>CleanedData!O315</f>
        <v>Brisbane</v>
      </c>
      <c r="F315" s="2" t="str">
        <f>CleanedData!M315</f>
        <v>Brisbane</v>
      </c>
      <c r="G315" s="2" t="str">
        <f>CleanedData!B315</f>
        <v>9493</v>
      </c>
      <c r="H315" s="2" t="str">
        <f>CleanedData!C315</f>
        <v>+86-729075789</v>
      </c>
      <c r="I315" s="2" t="str">
        <f>CleanedData!G315</f>
        <v>Active</v>
      </c>
      <c r="J315" s="14">
        <f>CleanedData!H315</f>
        <v>45702</v>
      </c>
      <c r="K315" s="2" t="str">
        <f t="shared" si="33"/>
        <v>OK</v>
      </c>
      <c r="L315" s="2" t="str">
        <f t="shared" si="34"/>
        <v>OK</v>
      </c>
      <c r="M315" s="2" t="str">
        <f t="shared" si="35"/>
        <v>OK</v>
      </c>
      <c r="N315" s="2" t="str">
        <f t="shared" si="36"/>
        <v>MATCH</v>
      </c>
      <c r="O315" s="2" t="str">
        <f t="shared" si="37"/>
        <v>OK</v>
      </c>
      <c r="P315" s="2">
        <f t="shared" si="38"/>
        <v>0</v>
      </c>
      <c r="Q315" s="2" t="str">
        <f t="shared" si="39"/>
        <v>2025-02</v>
      </c>
      <c r="R315" s="3" t="s">
        <v>23</v>
      </c>
      <c r="S315" s="2">
        <f>IF(tblChecks[[#This Row],[AnyError]]="ERROR",1,0)</f>
        <v>0</v>
      </c>
      <c r="T315" s="2">
        <f>IF(tblChecks[[#This Row],[MissingStreet]]="MISSING",1,0)</f>
        <v>0</v>
      </c>
      <c r="U315" t="str">
        <f t="shared" si="32"/>
        <v>OK</v>
      </c>
    </row>
    <row r="316" spans="1:21" x14ac:dyDescent="0.3">
      <c r="A316" s="1" t="str">
        <f>CleanedData!F316</f>
        <v>PROP00315</v>
      </c>
      <c r="B316" s="2" t="str">
        <f>CleanedData!A316</f>
        <v>JapanSapporo, Japan</v>
      </c>
      <c r="C316" s="2" t="str">
        <f>CleanedData!D316</f>
        <v>Japan</v>
      </c>
      <c r="D316" s="2" t="str">
        <f>CleanedData!E316</f>
        <v>Sapporo</v>
      </c>
      <c r="E316" s="2" t="str">
        <f>CleanedData!O316</f>
        <v>Sapporo</v>
      </c>
      <c r="F316" s="2" t="str">
        <f>CleanedData!M316</f>
        <v>Japan</v>
      </c>
      <c r="G316" s="2" t="str">
        <f>CleanedData!B316</f>
        <v>31040</v>
      </c>
      <c r="H316" s="2" t="str">
        <f>CleanedData!C316</f>
        <v>+55-687532531</v>
      </c>
      <c r="I316" s="2" t="str">
        <f>CleanedData!G316</f>
        <v>Inactive</v>
      </c>
      <c r="J316" s="14">
        <f>CleanedData!H316</f>
        <v>45166</v>
      </c>
      <c r="K316" s="2" t="str">
        <f t="shared" si="33"/>
        <v>OK</v>
      </c>
      <c r="L316" s="2" t="str">
        <f t="shared" si="34"/>
        <v>OK</v>
      </c>
      <c r="M316" s="2" t="str">
        <f t="shared" si="35"/>
        <v>OK</v>
      </c>
      <c r="N316" s="2" t="str">
        <f t="shared" si="36"/>
        <v>MATCH</v>
      </c>
      <c r="O316" s="2" t="str">
        <f t="shared" si="37"/>
        <v>OK</v>
      </c>
      <c r="P316" s="2">
        <f t="shared" si="38"/>
        <v>0</v>
      </c>
      <c r="Q316" s="2" t="str">
        <f t="shared" si="39"/>
        <v>2023-08</v>
      </c>
      <c r="R316" s="3" t="s">
        <v>54</v>
      </c>
      <c r="S316" s="2">
        <f>IF(tblChecks[[#This Row],[AnyError]]="ERROR",1,0)</f>
        <v>0</v>
      </c>
      <c r="T316" s="2">
        <f>IF(tblChecks[[#This Row],[MissingStreet]]="MISSING",1,0)</f>
        <v>0</v>
      </c>
      <c r="U316" t="str">
        <f t="shared" si="32"/>
        <v>OK</v>
      </c>
    </row>
    <row r="317" spans="1:21" x14ac:dyDescent="0.3">
      <c r="A317" s="1" t="str">
        <f>CleanedData!F317</f>
        <v>PROP00316</v>
      </c>
      <c r="B317" s="2" t="str">
        <f>CleanedData!A317</f>
        <v>USA, Los Angeles</v>
      </c>
      <c r="C317" s="2" t="str">
        <f>CleanedData!D317</f>
        <v>USA</v>
      </c>
      <c r="D317" s="2" t="str">
        <f>CleanedData!E317</f>
        <v>Los Angeles</v>
      </c>
      <c r="E317" s="2" t="str">
        <f>CleanedData!O317</f>
        <v>Los Angeles</v>
      </c>
      <c r="F317" s="2" t="str">
        <f>CleanedData!M317</f>
        <v>Los Angeles</v>
      </c>
      <c r="G317" s="2" t="str">
        <f>CleanedData!B317</f>
        <v>78617</v>
      </c>
      <c r="H317" s="2" t="str">
        <f>CleanedData!C317</f>
        <v>+95-555391646</v>
      </c>
      <c r="I317" s="2" t="str">
        <f>CleanedData!G317</f>
        <v>Active</v>
      </c>
      <c r="J317" s="14">
        <f>CleanedData!H317</f>
        <v>45200</v>
      </c>
      <c r="K317" s="2" t="str">
        <f t="shared" si="33"/>
        <v>OK</v>
      </c>
      <c r="L317" s="2" t="str">
        <f t="shared" si="34"/>
        <v>OK</v>
      </c>
      <c r="M317" s="2" t="str">
        <f t="shared" si="35"/>
        <v>OK</v>
      </c>
      <c r="N317" s="2" t="str">
        <f t="shared" si="36"/>
        <v>MATCH</v>
      </c>
      <c r="O317" s="2" t="str">
        <f t="shared" si="37"/>
        <v>OK</v>
      </c>
      <c r="P317" s="2">
        <f t="shared" si="38"/>
        <v>0</v>
      </c>
      <c r="Q317" s="2" t="str">
        <f t="shared" si="39"/>
        <v>2023-10</v>
      </c>
      <c r="R317" s="3" t="s">
        <v>39</v>
      </c>
      <c r="S317" s="2">
        <f>IF(tblChecks[[#This Row],[AnyError]]="ERROR",1,0)</f>
        <v>0</v>
      </c>
      <c r="T317" s="2">
        <f>IF(tblChecks[[#This Row],[MissingStreet]]="MISSING",1,0)</f>
        <v>0</v>
      </c>
      <c r="U317" t="str">
        <f t="shared" si="32"/>
        <v>OK</v>
      </c>
    </row>
    <row r="318" spans="1:21" x14ac:dyDescent="0.3">
      <c r="A318" s="1" t="str">
        <f>CleanedData!F318</f>
        <v>PROP00317</v>
      </c>
      <c r="B318" s="2" t="str">
        <f>CleanedData!A318</f>
        <v>UK, Leeds</v>
      </c>
      <c r="C318" s="2" t="str">
        <f>CleanedData!D318</f>
        <v>UK</v>
      </c>
      <c r="D318" s="2" t="str">
        <f>CleanedData!E318</f>
        <v>Leeds</v>
      </c>
      <c r="E318" s="2" t="str">
        <f>CleanedData!O318</f>
        <v>Leeds</v>
      </c>
      <c r="F318" s="2" t="str">
        <f>CleanedData!M318</f>
        <v>Leeds</v>
      </c>
      <c r="G318" s="2" t="str">
        <f>CleanedData!B318</f>
        <v>17539</v>
      </c>
      <c r="H318" s="2" t="str">
        <f>CleanedData!C318</f>
        <v>+41-492066828</v>
      </c>
      <c r="I318" s="2" t="str">
        <f>CleanedData!G318</f>
        <v>Inactive</v>
      </c>
      <c r="J318" s="14">
        <f>CleanedData!H318</f>
        <v>45793</v>
      </c>
      <c r="K318" s="2" t="str">
        <f t="shared" si="33"/>
        <v>OK</v>
      </c>
      <c r="L318" s="2" t="str">
        <f t="shared" si="34"/>
        <v>OK</v>
      </c>
      <c r="M318" s="2" t="str">
        <f t="shared" si="35"/>
        <v>OK</v>
      </c>
      <c r="N318" s="2" t="str">
        <f t="shared" si="36"/>
        <v>MATCH</v>
      </c>
      <c r="O318" s="2" t="str">
        <f t="shared" si="37"/>
        <v>OK</v>
      </c>
      <c r="P318" s="2">
        <f t="shared" si="38"/>
        <v>0</v>
      </c>
      <c r="Q318" s="2" t="str">
        <f t="shared" si="39"/>
        <v>2025-05</v>
      </c>
      <c r="R318" s="3" t="s">
        <v>16</v>
      </c>
      <c r="S318" s="2">
        <f>IF(tblChecks[[#This Row],[AnyError]]="ERROR",1,0)</f>
        <v>0</v>
      </c>
      <c r="T318" s="2">
        <f>IF(tblChecks[[#This Row],[MissingStreet]]="MISSING",1,0)</f>
        <v>0</v>
      </c>
      <c r="U318" t="str">
        <f t="shared" si="32"/>
        <v>OK</v>
      </c>
    </row>
    <row r="319" spans="1:21" x14ac:dyDescent="0.3">
      <c r="A319" s="1" t="str">
        <f>CleanedData!F319</f>
        <v>PROP00318</v>
      </c>
      <c r="B319" s="2" t="str">
        <f>CleanedData!A319</f>
        <v>FranceToulouseLindsey Creek215</v>
      </c>
      <c r="C319" s="2" t="str">
        <f>CleanedData!D319</f>
        <v>France</v>
      </c>
      <c r="D319" s="2" t="str">
        <f>CleanedData!E319</f>
        <v>Toulouse</v>
      </c>
      <c r="E319" s="2" t="str">
        <f>CleanedData!O319</f>
        <v>Toulouse</v>
      </c>
      <c r="F319" s="2" t="str">
        <f>CleanedData!M319</f>
        <v>FranceToulouseLindsey Creek215</v>
      </c>
      <c r="G319" s="2" t="str">
        <f>CleanedData!B319</f>
        <v>87147</v>
      </c>
      <c r="H319" s="2" t="str">
        <f>CleanedData!C319</f>
        <v>+99-754162255</v>
      </c>
      <c r="I319" s="2" t="str">
        <f>CleanedData!G319</f>
        <v>Active</v>
      </c>
      <c r="J319" s="14">
        <f>CleanedData!H319</f>
        <v>45813</v>
      </c>
      <c r="K319" s="2" t="str">
        <f t="shared" si="33"/>
        <v>OK</v>
      </c>
      <c r="L319" s="2" t="str">
        <f t="shared" si="34"/>
        <v>OK</v>
      </c>
      <c r="M319" s="2" t="str">
        <f t="shared" si="35"/>
        <v>OK</v>
      </c>
      <c r="N319" s="2" t="str">
        <f t="shared" si="36"/>
        <v>MATCH</v>
      </c>
      <c r="O319" s="2" t="str">
        <f t="shared" si="37"/>
        <v>OK</v>
      </c>
      <c r="P319" s="2">
        <f t="shared" si="38"/>
        <v>0</v>
      </c>
      <c r="Q319" s="2" t="str">
        <f t="shared" si="39"/>
        <v>2025-06</v>
      </c>
      <c r="R319" s="3" t="s">
        <v>23</v>
      </c>
      <c r="S319" s="2">
        <f>IF(tblChecks[[#This Row],[AnyError]]="ERROR",1,0)</f>
        <v>0</v>
      </c>
      <c r="T319" s="2">
        <f>IF(tblChecks[[#This Row],[MissingStreet]]="MISSING",1,0)</f>
        <v>0</v>
      </c>
      <c r="U319" t="str">
        <f t="shared" si="32"/>
        <v>OK</v>
      </c>
    </row>
    <row r="320" spans="1:21" x14ac:dyDescent="0.3">
      <c r="A320" s="1" t="str">
        <f>CleanedData!F320</f>
        <v>PROP00319</v>
      </c>
      <c r="B320" s="2" t="str">
        <f>CleanedData!A320</f>
        <v>CanadaCalgary</v>
      </c>
      <c r="C320" s="2" t="str">
        <f>CleanedData!D320</f>
        <v>Canada</v>
      </c>
      <c r="D320" s="2" t="str">
        <f>CleanedData!E320</f>
        <v>Calgary</v>
      </c>
      <c r="E320" s="2" t="str">
        <f>CleanedData!O320</f>
        <v>Calgary</v>
      </c>
      <c r="F320" s="2" t="str">
        <f>CleanedData!M320</f>
        <v/>
      </c>
      <c r="G320" s="2" t="str">
        <f>CleanedData!B320</f>
        <v>31687</v>
      </c>
      <c r="H320" s="2" t="str">
        <f>CleanedData!C320</f>
        <v>+53-950873380</v>
      </c>
      <c r="I320" s="2" t="str">
        <f>CleanedData!G320</f>
        <v>Inactive</v>
      </c>
      <c r="J320" s="14">
        <f>CleanedData!H320</f>
        <v>45725</v>
      </c>
      <c r="K320" s="2" t="str">
        <f t="shared" si="33"/>
        <v>MISSING</v>
      </c>
      <c r="L320" s="2" t="str">
        <f t="shared" si="34"/>
        <v>OK</v>
      </c>
      <c r="M320" s="2" t="str">
        <f t="shared" si="35"/>
        <v>OK</v>
      </c>
      <c r="N320" s="2" t="str">
        <f t="shared" si="36"/>
        <v>MATCH</v>
      </c>
      <c r="O320" s="2" t="str">
        <f t="shared" si="37"/>
        <v>ERROR</v>
      </c>
      <c r="P320" s="2">
        <f t="shared" si="38"/>
        <v>1</v>
      </c>
      <c r="Q320" s="2" t="str">
        <f t="shared" si="39"/>
        <v>2025-03</v>
      </c>
      <c r="R320" s="3" t="s">
        <v>39</v>
      </c>
      <c r="S320" s="2">
        <f>IF(tblChecks[[#This Row],[AnyError]]="ERROR",1,0)</f>
        <v>1</v>
      </c>
      <c r="T320" s="2">
        <f>IF(tblChecks[[#This Row],[MissingStreet]]="MISSING",1,0)</f>
        <v>1</v>
      </c>
      <c r="U320" t="str">
        <f t="shared" si="32"/>
        <v>MissingStreet</v>
      </c>
    </row>
    <row r="321" spans="1:21" x14ac:dyDescent="0.3">
      <c r="A321" s="1" t="str">
        <f>CleanedData!F321</f>
        <v>PROP00320</v>
      </c>
      <c r="B321" s="2" t="str">
        <f>CleanedData!A321</f>
        <v>Smith Greens 255, USA, New York</v>
      </c>
      <c r="C321" s="2" t="str">
        <f>CleanedData!D321</f>
        <v>USA</v>
      </c>
      <c r="D321" s="2" t="str">
        <f>CleanedData!E321</f>
        <v>New York</v>
      </c>
      <c r="E321" s="2" t="str">
        <f>CleanedData!O321</f>
        <v>New York</v>
      </c>
      <c r="F321" s="2" t="str">
        <f>CleanedData!M321</f>
        <v>Smith Greens 255</v>
      </c>
      <c r="G321" s="2" t="str">
        <f>CleanedData!B321</f>
        <v>7369</v>
      </c>
      <c r="H321" s="2" t="str">
        <f>CleanedData!C321</f>
        <v>+33-649924565</v>
      </c>
      <c r="I321" s="2" t="str">
        <f>CleanedData!G321</f>
        <v>Inactive</v>
      </c>
      <c r="J321" s="14">
        <f>CleanedData!H321</f>
        <v>45577</v>
      </c>
      <c r="K321" s="2" t="str">
        <f t="shared" si="33"/>
        <v>OK</v>
      </c>
      <c r="L321" s="2" t="str">
        <f t="shared" si="34"/>
        <v>OK</v>
      </c>
      <c r="M321" s="2" t="str">
        <f t="shared" si="35"/>
        <v>OK</v>
      </c>
      <c r="N321" s="2" t="str">
        <f t="shared" si="36"/>
        <v>MATCH</v>
      </c>
      <c r="O321" s="2" t="str">
        <f t="shared" si="37"/>
        <v>OK</v>
      </c>
      <c r="P321" s="2">
        <f t="shared" si="38"/>
        <v>0</v>
      </c>
      <c r="Q321" s="2" t="str">
        <f t="shared" si="39"/>
        <v>2024-10</v>
      </c>
      <c r="R321" s="3" t="s">
        <v>54</v>
      </c>
      <c r="S321" s="2">
        <f>IF(tblChecks[[#This Row],[AnyError]]="ERROR",1,0)</f>
        <v>0</v>
      </c>
      <c r="T321" s="2">
        <f>IF(tblChecks[[#This Row],[MissingStreet]]="MISSING",1,0)</f>
        <v>0</v>
      </c>
      <c r="U321" t="str">
        <f t="shared" si="32"/>
        <v>OK</v>
      </c>
    </row>
    <row r="322" spans="1:21" x14ac:dyDescent="0.3">
      <c r="A322" s="1" t="str">
        <f>CleanedData!F322</f>
        <v>PROP00321</v>
      </c>
      <c r="B322" s="2" t="str">
        <f>CleanedData!A322</f>
        <v>AustraliaPerth, Australia</v>
      </c>
      <c r="C322" s="2" t="str">
        <f>CleanedData!D322</f>
        <v>Australia</v>
      </c>
      <c r="D322" s="2" t="str">
        <f>CleanedData!E322</f>
        <v>Perth</v>
      </c>
      <c r="E322" s="2" t="str">
        <f>CleanedData!O322</f>
        <v>Perth</v>
      </c>
      <c r="F322" s="2" t="str">
        <f>CleanedData!M322</f>
        <v>Australia</v>
      </c>
      <c r="G322" s="2" t="str">
        <f>CleanedData!B322</f>
        <v>15397</v>
      </c>
      <c r="H322" s="2" t="str">
        <f>CleanedData!C322</f>
        <v>+73-839214656</v>
      </c>
      <c r="I322" s="2" t="str">
        <f>CleanedData!G322</f>
        <v>Inactive</v>
      </c>
      <c r="J322" s="14">
        <f>CleanedData!H322</f>
        <v>45553</v>
      </c>
      <c r="K322" s="2" t="str">
        <f t="shared" si="33"/>
        <v>OK</v>
      </c>
      <c r="L322" s="2" t="str">
        <f t="shared" si="34"/>
        <v>OK</v>
      </c>
      <c r="M322" s="2" t="str">
        <f t="shared" si="35"/>
        <v>OK</v>
      </c>
      <c r="N322" s="2" t="str">
        <f t="shared" si="36"/>
        <v>MATCH</v>
      </c>
      <c r="O322" s="2" t="str">
        <f t="shared" si="37"/>
        <v>OK</v>
      </c>
      <c r="P322" s="2">
        <f t="shared" si="38"/>
        <v>0</v>
      </c>
      <c r="Q322" s="2" t="str">
        <f t="shared" si="39"/>
        <v>2024-09</v>
      </c>
      <c r="R322" s="3" t="s">
        <v>16</v>
      </c>
      <c r="S322" s="2">
        <f>IF(tblChecks[[#This Row],[AnyError]]="ERROR",1,0)</f>
        <v>0</v>
      </c>
      <c r="T322" s="2">
        <f>IF(tblChecks[[#This Row],[MissingStreet]]="MISSING",1,0)</f>
        <v>0</v>
      </c>
      <c r="U322" t="str">
        <f t="shared" ref="U322:U385" si="40">IF(K322="MISSING","MissingStreet",
IF(L322="INVALID","PostalCode_INVALID",
IF(M322="INVALID","Phone_INVALID","OK")))</f>
        <v>OK</v>
      </c>
    </row>
    <row r="323" spans="1:21" x14ac:dyDescent="0.3">
      <c r="A323" s="1" t="str">
        <f>CleanedData!F323</f>
        <v>PROP00322</v>
      </c>
      <c r="B323" s="2" t="str">
        <f>CleanedData!A323</f>
        <v>Thomas Tunnel 275, Bilbao</v>
      </c>
      <c r="C323" s="2" t="str">
        <f>CleanedData!D323</f>
        <v>Spain</v>
      </c>
      <c r="D323" s="2" t="str">
        <f>CleanedData!E323</f>
        <v>Bilbao</v>
      </c>
      <c r="E323" s="2" t="str">
        <f>CleanedData!O323</f>
        <v>Bilbao</v>
      </c>
      <c r="F323" s="2" t="str">
        <f>CleanedData!M323</f>
        <v>Thomas Tunnel 275</v>
      </c>
      <c r="G323" s="2" t="str">
        <f>CleanedData!B323</f>
        <v>47954</v>
      </c>
      <c r="H323" s="2" t="str">
        <f>CleanedData!C323</f>
        <v>+13-324829465</v>
      </c>
      <c r="I323" s="2" t="str">
        <f>CleanedData!G323</f>
        <v>Inactive</v>
      </c>
      <c r="J323" s="14">
        <f>CleanedData!H323</f>
        <v>45518</v>
      </c>
      <c r="K323" s="2" t="str">
        <f t="shared" ref="K323:K386" si="41">IF(TRIM(F323)="","MISSING","OK")</f>
        <v>OK</v>
      </c>
      <c r="L323" s="2" t="str">
        <f t="shared" ref="L323:L386" si="42">IF(LEN(TRIM(G323))&lt;3,"INVALID","OK")</f>
        <v>OK</v>
      </c>
      <c r="M323" s="2" t="str">
        <f t="shared" ref="M323:M386" si="43">IF(LEN(SUBSTITUTE(SUBSTITUTE(H323," ",""),"-",""))&gt;=7,"OK","INVALID")</f>
        <v>OK</v>
      </c>
      <c r="N323" s="2" t="str">
        <f t="shared" ref="N323:N386" si="44">IF(E323="","NO_EXTRACT",
 IF(LOWER(TRIM(E323))=LOWER(TRIM(D323)),"MATCH","CHECK"))</f>
        <v>MATCH</v>
      </c>
      <c r="O323" s="2" t="str">
        <f t="shared" ref="O323:O386" si="45">IF(OR(K323="MISSING",L323="INVALID",M323="INVALID"),"ERROR","OK")</f>
        <v>OK</v>
      </c>
      <c r="P323" s="2">
        <f t="shared" ref="P323:P386" si="46">(K323="MISSING")*1 + (L323="INVALID")*1 + (M323="INVALID")*1</f>
        <v>0</v>
      </c>
      <c r="Q323" s="2" t="str">
        <f t="shared" ref="Q323:Q386" si="47">YEAR(J323) &amp; "-" &amp; TEXT(MONTH(J323),"00")</f>
        <v>2024-08</v>
      </c>
      <c r="R323" s="3" t="s">
        <v>33</v>
      </c>
      <c r="S323" s="2">
        <f>IF(tblChecks[[#This Row],[AnyError]]="ERROR",1,0)</f>
        <v>0</v>
      </c>
      <c r="T323" s="2">
        <f>IF(tblChecks[[#This Row],[MissingStreet]]="MISSING",1,0)</f>
        <v>0</v>
      </c>
      <c r="U323" t="str">
        <f t="shared" si="40"/>
        <v>OK</v>
      </c>
    </row>
    <row r="324" spans="1:21" x14ac:dyDescent="0.3">
      <c r="A324" s="1" t="str">
        <f>CleanedData!F324</f>
        <v>PROP00323</v>
      </c>
      <c r="B324" s="2" t="str">
        <f>CleanedData!A324</f>
        <v>Shannon Forges 5, Paris</v>
      </c>
      <c r="C324" s="2" t="str">
        <f>CleanedData!D324</f>
        <v>France</v>
      </c>
      <c r="D324" s="2" t="str">
        <f>CleanedData!E324</f>
        <v>Paris</v>
      </c>
      <c r="E324" s="2" t="str">
        <f>CleanedData!O324</f>
        <v>Paris</v>
      </c>
      <c r="F324" s="2" t="str">
        <f>CleanedData!M324</f>
        <v>Shannon Forges 5</v>
      </c>
      <c r="G324" s="2" t="str">
        <f>CleanedData!B324</f>
        <v>81124</v>
      </c>
      <c r="H324" s="2" t="str">
        <f>CleanedData!C324</f>
        <v>+85-842499052</v>
      </c>
      <c r="I324" s="2" t="str">
        <f>CleanedData!G324</f>
        <v>Active</v>
      </c>
      <c r="J324" s="14">
        <f>CleanedData!H324</f>
        <v>45275</v>
      </c>
      <c r="K324" s="2" t="str">
        <f t="shared" si="41"/>
        <v>OK</v>
      </c>
      <c r="L324" s="2" t="str">
        <f t="shared" si="42"/>
        <v>OK</v>
      </c>
      <c r="M324" s="2" t="str">
        <f t="shared" si="43"/>
        <v>OK</v>
      </c>
      <c r="N324" s="2" t="str">
        <f t="shared" si="44"/>
        <v>MATCH</v>
      </c>
      <c r="O324" s="2" t="str">
        <f t="shared" si="45"/>
        <v>OK</v>
      </c>
      <c r="P324" s="2">
        <f t="shared" si="46"/>
        <v>0</v>
      </c>
      <c r="Q324" s="2" t="str">
        <f t="shared" si="47"/>
        <v>2023-12</v>
      </c>
      <c r="R324" s="3" t="s">
        <v>33</v>
      </c>
      <c r="S324" s="2">
        <f>IF(tblChecks[[#This Row],[AnyError]]="ERROR",1,0)</f>
        <v>0</v>
      </c>
      <c r="T324" s="2">
        <f>IF(tblChecks[[#This Row],[MissingStreet]]="MISSING",1,0)</f>
        <v>0</v>
      </c>
      <c r="U324" t="str">
        <f t="shared" si="40"/>
        <v>OK</v>
      </c>
    </row>
    <row r="325" spans="1:21" x14ac:dyDescent="0.3">
      <c r="A325" s="1" t="str">
        <f>CleanedData!F325</f>
        <v>PROP00324</v>
      </c>
      <c r="B325" s="2" t="str">
        <f>CleanedData!A325</f>
        <v>HamburgJessica Way23, Germany</v>
      </c>
      <c r="C325" s="2" t="str">
        <f>CleanedData!D325</f>
        <v>Germany</v>
      </c>
      <c r="D325" s="2" t="str">
        <f>CleanedData!E325</f>
        <v>Hamburg</v>
      </c>
      <c r="E325" s="2" t="str">
        <f>CleanedData!O325</f>
        <v>Hamburg</v>
      </c>
      <c r="F325" s="2" t="str">
        <f>CleanedData!M325</f>
        <v>HamburgJessica Way23</v>
      </c>
      <c r="G325" s="2" t="str">
        <f>CleanedData!B325</f>
        <v>86864</v>
      </c>
      <c r="H325" s="2" t="str">
        <f>CleanedData!C325</f>
        <v>+91-692810156</v>
      </c>
      <c r="I325" s="2" t="str">
        <f>CleanedData!G325</f>
        <v>Inactive</v>
      </c>
      <c r="J325" s="14">
        <f>CleanedData!H325</f>
        <v>45099</v>
      </c>
      <c r="K325" s="2" t="str">
        <f t="shared" si="41"/>
        <v>OK</v>
      </c>
      <c r="L325" s="2" t="str">
        <f t="shared" si="42"/>
        <v>OK</v>
      </c>
      <c r="M325" s="2" t="str">
        <f t="shared" si="43"/>
        <v>OK</v>
      </c>
      <c r="N325" s="2" t="str">
        <f t="shared" si="44"/>
        <v>MATCH</v>
      </c>
      <c r="O325" s="2" t="str">
        <f t="shared" si="45"/>
        <v>OK</v>
      </c>
      <c r="P325" s="2">
        <f t="shared" si="46"/>
        <v>0</v>
      </c>
      <c r="Q325" s="2" t="str">
        <f t="shared" si="47"/>
        <v>2023-06</v>
      </c>
      <c r="R325" s="3" t="s">
        <v>23</v>
      </c>
      <c r="S325" s="2">
        <f>IF(tblChecks[[#This Row],[AnyError]]="ERROR",1,0)</f>
        <v>0</v>
      </c>
      <c r="T325" s="2">
        <f>IF(tblChecks[[#This Row],[MissingStreet]]="MISSING",1,0)</f>
        <v>0</v>
      </c>
      <c r="U325" t="str">
        <f t="shared" si="40"/>
        <v>OK</v>
      </c>
    </row>
    <row r="326" spans="1:21" x14ac:dyDescent="0.3">
      <c r="A326" s="1" t="str">
        <f>CleanedData!F326</f>
        <v>PROP00325</v>
      </c>
      <c r="B326" s="2" t="str">
        <f>CleanedData!A326</f>
        <v>CanadaCalgaryEllis Burgs119</v>
      </c>
      <c r="C326" s="2" t="str">
        <f>CleanedData!D326</f>
        <v>Canada</v>
      </c>
      <c r="D326" s="2" t="str">
        <f>CleanedData!E326</f>
        <v>Calgary</v>
      </c>
      <c r="E326" s="2" t="str">
        <f>CleanedData!O326</f>
        <v>Calgary</v>
      </c>
      <c r="F326" s="2" t="str">
        <f>CleanedData!M326</f>
        <v>CanadaCalgaryEllis Burgs119</v>
      </c>
      <c r="G326" s="2" t="str">
        <f>CleanedData!B326</f>
        <v>8473</v>
      </c>
      <c r="H326" s="2" t="str">
        <f>CleanedData!C326</f>
        <v>+36-642163636</v>
      </c>
      <c r="I326" s="2" t="str">
        <f>CleanedData!G326</f>
        <v>Active</v>
      </c>
      <c r="J326" s="14">
        <f>CleanedData!H326</f>
        <v>45981</v>
      </c>
      <c r="K326" s="2" t="str">
        <f t="shared" si="41"/>
        <v>OK</v>
      </c>
      <c r="L326" s="2" t="str">
        <f t="shared" si="42"/>
        <v>OK</v>
      </c>
      <c r="M326" s="2" t="str">
        <f t="shared" si="43"/>
        <v>OK</v>
      </c>
      <c r="N326" s="2" t="str">
        <f t="shared" si="44"/>
        <v>MATCH</v>
      </c>
      <c r="O326" s="2" t="str">
        <f t="shared" si="45"/>
        <v>OK</v>
      </c>
      <c r="P326" s="2">
        <f t="shared" si="46"/>
        <v>0</v>
      </c>
      <c r="Q326" s="2" t="str">
        <f t="shared" si="47"/>
        <v>2025-11</v>
      </c>
      <c r="R326" s="3" t="s">
        <v>33</v>
      </c>
      <c r="S326" s="2">
        <f>IF(tblChecks[[#This Row],[AnyError]]="ERROR",1,0)</f>
        <v>0</v>
      </c>
      <c r="T326" s="2">
        <f>IF(tblChecks[[#This Row],[MissingStreet]]="MISSING",1,0)</f>
        <v>0</v>
      </c>
      <c r="U326" t="str">
        <f t="shared" si="40"/>
        <v>OK</v>
      </c>
    </row>
    <row r="327" spans="1:21" x14ac:dyDescent="0.3">
      <c r="A327" s="1" t="str">
        <f>CleanedData!F327</f>
        <v>PROP00326</v>
      </c>
      <c r="B327" s="2" t="str">
        <f>CleanedData!A327</f>
        <v>AustraliaAdelaide, Australia</v>
      </c>
      <c r="C327" s="2" t="str">
        <f>CleanedData!D327</f>
        <v>Australia</v>
      </c>
      <c r="D327" s="2" t="str">
        <f>CleanedData!E327</f>
        <v>Adelaide</v>
      </c>
      <c r="E327" s="2" t="str">
        <f>CleanedData!O327</f>
        <v>Adelaide</v>
      </c>
      <c r="F327" s="2" t="str">
        <f>CleanedData!M327</f>
        <v>Australia</v>
      </c>
      <c r="G327" s="2" t="str">
        <f>CleanedData!B327</f>
        <v>90429</v>
      </c>
      <c r="H327" s="2" t="str">
        <f>CleanedData!C327</f>
        <v>+53-672859526</v>
      </c>
      <c r="I327" s="2" t="str">
        <f>CleanedData!G327</f>
        <v>Active</v>
      </c>
      <c r="J327" s="14">
        <f>CleanedData!H327</f>
        <v>45653</v>
      </c>
      <c r="K327" s="2" t="str">
        <f t="shared" si="41"/>
        <v>OK</v>
      </c>
      <c r="L327" s="2" t="str">
        <f t="shared" si="42"/>
        <v>OK</v>
      </c>
      <c r="M327" s="2" t="str">
        <f t="shared" si="43"/>
        <v>OK</v>
      </c>
      <c r="N327" s="2" t="str">
        <f t="shared" si="44"/>
        <v>MATCH</v>
      </c>
      <c r="O327" s="2" t="str">
        <f t="shared" si="45"/>
        <v>OK</v>
      </c>
      <c r="P327" s="2">
        <f t="shared" si="46"/>
        <v>0</v>
      </c>
      <c r="Q327" s="2" t="str">
        <f t="shared" si="47"/>
        <v>2024-12</v>
      </c>
      <c r="R327" s="3" t="s">
        <v>54</v>
      </c>
      <c r="S327" s="2">
        <f>IF(tblChecks[[#This Row],[AnyError]]="ERROR",1,0)</f>
        <v>0</v>
      </c>
      <c r="T327" s="2">
        <f>IF(tblChecks[[#This Row],[MissingStreet]]="MISSING",1,0)</f>
        <v>0</v>
      </c>
      <c r="U327" t="str">
        <f t="shared" si="40"/>
        <v>OK</v>
      </c>
    </row>
    <row r="328" spans="1:21" x14ac:dyDescent="0.3">
      <c r="A328" s="1" t="str">
        <f>CleanedData!F328</f>
        <v>PROP00327</v>
      </c>
      <c r="B328" s="2" t="str">
        <f>CleanedData!A328</f>
        <v>Brisbane, Tracy Mills 245, Australia</v>
      </c>
      <c r="C328" s="2" t="str">
        <f>CleanedData!D328</f>
        <v>Australia</v>
      </c>
      <c r="D328" s="2" t="str">
        <f>CleanedData!E328</f>
        <v>Brisbane</v>
      </c>
      <c r="E328" s="2" t="str">
        <f>CleanedData!O328</f>
        <v>Brisbane</v>
      </c>
      <c r="F328" s="2" t="str">
        <f>CleanedData!M328</f>
        <v>Tracy Mills 245</v>
      </c>
      <c r="G328" s="2" t="str">
        <f>CleanedData!B328</f>
        <v>10133</v>
      </c>
      <c r="H328" s="2" t="str">
        <f>CleanedData!C328</f>
        <v>+48-588321579</v>
      </c>
      <c r="I328" s="2" t="str">
        <f>CleanedData!G328</f>
        <v>Inactive</v>
      </c>
      <c r="J328" s="14">
        <f>CleanedData!H328</f>
        <v>45133</v>
      </c>
      <c r="K328" s="2" t="str">
        <f t="shared" si="41"/>
        <v>OK</v>
      </c>
      <c r="L328" s="2" t="str">
        <f t="shared" si="42"/>
        <v>OK</v>
      </c>
      <c r="M328" s="2" t="str">
        <f t="shared" si="43"/>
        <v>OK</v>
      </c>
      <c r="N328" s="2" t="str">
        <f t="shared" si="44"/>
        <v>MATCH</v>
      </c>
      <c r="O328" s="2" t="str">
        <f t="shared" si="45"/>
        <v>OK</v>
      </c>
      <c r="P328" s="2">
        <f t="shared" si="46"/>
        <v>0</v>
      </c>
      <c r="Q328" s="2" t="str">
        <f t="shared" si="47"/>
        <v>2023-07</v>
      </c>
      <c r="R328" s="3" t="s">
        <v>33</v>
      </c>
      <c r="S328" s="2">
        <f>IF(tblChecks[[#This Row],[AnyError]]="ERROR",1,0)</f>
        <v>0</v>
      </c>
      <c r="T328" s="2">
        <f>IF(tblChecks[[#This Row],[MissingStreet]]="MISSING",1,0)</f>
        <v>0</v>
      </c>
      <c r="U328" t="str">
        <f t="shared" si="40"/>
        <v>OK</v>
      </c>
    </row>
    <row r="329" spans="1:21" x14ac:dyDescent="0.3">
      <c r="A329" s="1" t="str">
        <f>CleanedData!F329</f>
        <v>PROP00328</v>
      </c>
      <c r="B329" s="2" t="str">
        <f>CleanedData!A329</f>
        <v>UK, London, Marc Drive 256</v>
      </c>
      <c r="C329" s="2" t="str">
        <f>CleanedData!D329</f>
        <v>UK</v>
      </c>
      <c r="D329" s="2" t="str">
        <f>CleanedData!E329</f>
        <v>London</v>
      </c>
      <c r="E329" s="2" t="str">
        <f>CleanedData!O329</f>
        <v>London</v>
      </c>
      <c r="F329" s="2" t="str">
        <f>CleanedData!M329</f>
        <v>Marc Drive 256</v>
      </c>
      <c r="G329" s="2" t="str">
        <f>CleanedData!B329</f>
        <v>9110</v>
      </c>
      <c r="H329" s="2" t="str">
        <f>CleanedData!C329</f>
        <v>+40-874645092</v>
      </c>
      <c r="I329" s="2" t="str">
        <f>CleanedData!G329</f>
        <v>Inactive</v>
      </c>
      <c r="J329" s="14">
        <f>CleanedData!H329</f>
        <v>45262</v>
      </c>
      <c r="K329" s="2" t="str">
        <f t="shared" si="41"/>
        <v>OK</v>
      </c>
      <c r="L329" s="2" t="str">
        <f t="shared" si="42"/>
        <v>OK</v>
      </c>
      <c r="M329" s="2" t="str">
        <f t="shared" si="43"/>
        <v>OK</v>
      </c>
      <c r="N329" s="2" t="str">
        <f t="shared" si="44"/>
        <v>MATCH</v>
      </c>
      <c r="O329" s="2" t="str">
        <f t="shared" si="45"/>
        <v>OK</v>
      </c>
      <c r="P329" s="2">
        <f t="shared" si="46"/>
        <v>0</v>
      </c>
      <c r="Q329" s="2" t="str">
        <f t="shared" si="47"/>
        <v>2023-12</v>
      </c>
      <c r="R329" s="3" t="s">
        <v>16</v>
      </c>
      <c r="S329" s="2">
        <f>IF(tblChecks[[#This Row],[AnyError]]="ERROR",1,0)</f>
        <v>0</v>
      </c>
      <c r="T329" s="2">
        <f>IF(tblChecks[[#This Row],[MissingStreet]]="MISSING",1,0)</f>
        <v>0</v>
      </c>
      <c r="U329" t="str">
        <f t="shared" si="40"/>
        <v>OK</v>
      </c>
    </row>
    <row r="330" spans="1:21" x14ac:dyDescent="0.3">
      <c r="A330" s="1" t="str">
        <f>CleanedData!F330</f>
        <v>PROP00329</v>
      </c>
      <c r="B330" s="2" t="str">
        <f>CleanedData!A330</f>
        <v>Canada, Calgary</v>
      </c>
      <c r="C330" s="2" t="str">
        <f>CleanedData!D330</f>
        <v>Canada</v>
      </c>
      <c r="D330" s="2" t="str">
        <f>CleanedData!E330</f>
        <v>Calgary</v>
      </c>
      <c r="E330" s="2" t="str">
        <f>CleanedData!O330</f>
        <v>Calgary</v>
      </c>
      <c r="F330" s="2" t="str">
        <f>CleanedData!M330</f>
        <v>Calgary</v>
      </c>
      <c r="G330" s="2" t="str">
        <f>CleanedData!B330</f>
        <v>77225</v>
      </c>
      <c r="H330" s="2" t="str">
        <f>CleanedData!C330</f>
        <v>+65-954424282</v>
      </c>
      <c r="I330" s="2" t="str">
        <f>CleanedData!G330</f>
        <v>Inactive</v>
      </c>
      <c r="J330" s="14">
        <f>CleanedData!H330</f>
        <v>45982</v>
      </c>
      <c r="K330" s="2" t="str">
        <f t="shared" si="41"/>
        <v>OK</v>
      </c>
      <c r="L330" s="2" t="str">
        <f t="shared" si="42"/>
        <v>OK</v>
      </c>
      <c r="M330" s="2" t="str">
        <f t="shared" si="43"/>
        <v>OK</v>
      </c>
      <c r="N330" s="2" t="str">
        <f t="shared" si="44"/>
        <v>MATCH</v>
      </c>
      <c r="O330" s="2" t="str">
        <f t="shared" si="45"/>
        <v>OK</v>
      </c>
      <c r="P330" s="2">
        <f t="shared" si="46"/>
        <v>0</v>
      </c>
      <c r="Q330" s="2" t="str">
        <f t="shared" si="47"/>
        <v>2025-11</v>
      </c>
      <c r="R330" s="3" t="s">
        <v>33</v>
      </c>
      <c r="S330" s="2">
        <f>IF(tblChecks[[#This Row],[AnyError]]="ERROR",1,0)</f>
        <v>0</v>
      </c>
      <c r="T330" s="2">
        <f>IF(tblChecks[[#This Row],[MissingStreet]]="MISSING",1,0)</f>
        <v>0</v>
      </c>
      <c r="U330" t="str">
        <f t="shared" si="40"/>
        <v>OK</v>
      </c>
    </row>
    <row r="331" spans="1:21" x14ac:dyDescent="0.3">
      <c r="A331" s="1" t="str">
        <f>CleanedData!F331</f>
        <v>PROP00330</v>
      </c>
      <c r="B331" s="2" t="str">
        <f>CleanedData!A331</f>
        <v>AustraliaMelbourneJames Ranch170</v>
      </c>
      <c r="C331" s="2" t="str">
        <f>CleanedData!D331</f>
        <v>Australia</v>
      </c>
      <c r="D331" s="2" t="str">
        <f>CleanedData!E331</f>
        <v>Melbourne</v>
      </c>
      <c r="E331" s="2" t="str">
        <f>CleanedData!O331</f>
        <v>Melbourne</v>
      </c>
      <c r="F331" s="2" t="str">
        <f>CleanedData!M331</f>
        <v>AustraliaMelbourneJames Ranch170</v>
      </c>
      <c r="G331" s="2" t="str">
        <f>CleanedData!B331</f>
        <v>70042</v>
      </c>
      <c r="H331" s="2" t="str">
        <f>CleanedData!C331</f>
        <v>+19-425560833</v>
      </c>
      <c r="I331" s="2" t="str">
        <f>CleanedData!G331</f>
        <v>Active</v>
      </c>
      <c r="J331" s="14">
        <f>CleanedData!H331</f>
        <v>44920</v>
      </c>
      <c r="K331" s="2" t="str">
        <f t="shared" si="41"/>
        <v>OK</v>
      </c>
      <c r="L331" s="2" t="str">
        <f t="shared" si="42"/>
        <v>OK</v>
      </c>
      <c r="M331" s="2" t="str">
        <f t="shared" si="43"/>
        <v>OK</v>
      </c>
      <c r="N331" s="2" t="str">
        <f t="shared" si="44"/>
        <v>MATCH</v>
      </c>
      <c r="O331" s="2" t="str">
        <f t="shared" si="45"/>
        <v>OK</v>
      </c>
      <c r="P331" s="2">
        <f t="shared" si="46"/>
        <v>0</v>
      </c>
      <c r="Q331" s="2" t="str">
        <f t="shared" si="47"/>
        <v>2022-12</v>
      </c>
      <c r="R331" s="3" t="s">
        <v>39</v>
      </c>
      <c r="S331" s="2">
        <f>IF(tblChecks[[#This Row],[AnyError]]="ERROR",1,0)</f>
        <v>0</v>
      </c>
      <c r="T331" s="2">
        <f>IF(tblChecks[[#This Row],[MissingStreet]]="MISSING",1,0)</f>
        <v>0</v>
      </c>
      <c r="U331" t="str">
        <f t="shared" si="40"/>
        <v>OK</v>
      </c>
    </row>
    <row r="332" spans="1:21" x14ac:dyDescent="0.3">
      <c r="A332" s="1" t="str">
        <f>CleanedData!F332</f>
        <v>PROP00331</v>
      </c>
      <c r="B332" s="2" t="str">
        <f>CleanedData!A332</f>
        <v>USAHouston</v>
      </c>
      <c r="C332" s="2" t="str">
        <f>CleanedData!D332</f>
        <v>USA</v>
      </c>
      <c r="D332" s="2" t="str">
        <f>CleanedData!E332</f>
        <v>Houston</v>
      </c>
      <c r="E332" s="2" t="str">
        <f>CleanedData!O332</f>
        <v>Houston</v>
      </c>
      <c r="F332" s="2" t="str">
        <f>CleanedData!M332</f>
        <v/>
      </c>
      <c r="G332" s="2" t="str">
        <f>CleanedData!B332</f>
        <v>56888</v>
      </c>
      <c r="H332" s="2" t="str">
        <f>CleanedData!C332</f>
        <v>+9-506116383</v>
      </c>
      <c r="I332" s="2" t="str">
        <f>CleanedData!G332</f>
        <v>Active</v>
      </c>
      <c r="J332" s="14">
        <f>CleanedData!H332</f>
        <v>45264</v>
      </c>
      <c r="K332" s="2" t="str">
        <f t="shared" si="41"/>
        <v>MISSING</v>
      </c>
      <c r="L332" s="2" t="str">
        <f t="shared" si="42"/>
        <v>OK</v>
      </c>
      <c r="M332" s="2" t="str">
        <f t="shared" si="43"/>
        <v>OK</v>
      </c>
      <c r="N332" s="2" t="str">
        <f t="shared" si="44"/>
        <v>MATCH</v>
      </c>
      <c r="O332" s="2" t="str">
        <f t="shared" si="45"/>
        <v>ERROR</v>
      </c>
      <c r="P332" s="2">
        <f t="shared" si="46"/>
        <v>1</v>
      </c>
      <c r="Q332" s="2" t="str">
        <f t="shared" si="47"/>
        <v>2023-12</v>
      </c>
      <c r="R332" s="3" t="s">
        <v>23</v>
      </c>
      <c r="S332" s="2">
        <f>IF(tblChecks[[#This Row],[AnyError]]="ERROR",1,0)</f>
        <v>1</v>
      </c>
      <c r="T332" s="2">
        <f>IF(tblChecks[[#This Row],[MissingStreet]]="MISSING",1,0)</f>
        <v>1</v>
      </c>
      <c r="U332" t="str">
        <f t="shared" si="40"/>
        <v>MissingStreet</v>
      </c>
    </row>
    <row r="333" spans="1:21" x14ac:dyDescent="0.3">
      <c r="A333" s="1" t="str">
        <f>CleanedData!F333</f>
        <v>PROP00332</v>
      </c>
      <c r="B333" s="2" t="str">
        <f>CleanedData!A333</f>
        <v>Australia, Brisbane</v>
      </c>
      <c r="C333" s="2" t="str">
        <f>CleanedData!D333</f>
        <v>Australia</v>
      </c>
      <c r="D333" s="2" t="str">
        <f>CleanedData!E333</f>
        <v>Brisbane</v>
      </c>
      <c r="E333" s="2" t="str">
        <f>CleanedData!O333</f>
        <v>Brisbane</v>
      </c>
      <c r="F333" s="2" t="str">
        <f>CleanedData!M333</f>
        <v>Brisbane</v>
      </c>
      <c r="G333" s="2" t="str">
        <f>CleanedData!B333</f>
        <v>86315</v>
      </c>
      <c r="H333" s="2" t="str">
        <f>CleanedData!C333</f>
        <v>+74-680505115</v>
      </c>
      <c r="I333" s="2" t="str">
        <f>CleanedData!G333</f>
        <v>Inactive</v>
      </c>
      <c r="J333" s="14">
        <f>CleanedData!H333</f>
        <v>45289</v>
      </c>
      <c r="K333" s="2" t="str">
        <f t="shared" si="41"/>
        <v>OK</v>
      </c>
      <c r="L333" s="2" t="str">
        <f t="shared" si="42"/>
        <v>OK</v>
      </c>
      <c r="M333" s="2" t="str">
        <f t="shared" si="43"/>
        <v>OK</v>
      </c>
      <c r="N333" s="2" t="str">
        <f t="shared" si="44"/>
        <v>MATCH</v>
      </c>
      <c r="O333" s="2" t="str">
        <f t="shared" si="45"/>
        <v>OK</v>
      </c>
      <c r="P333" s="2">
        <f t="shared" si="46"/>
        <v>0</v>
      </c>
      <c r="Q333" s="2" t="str">
        <f t="shared" si="47"/>
        <v>2023-12</v>
      </c>
      <c r="R333" s="3" t="s">
        <v>54</v>
      </c>
      <c r="S333" s="2">
        <f>IF(tblChecks[[#This Row],[AnyError]]="ERROR",1,0)</f>
        <v>0</v>
      </c>
      <c r="T333" s="2">
        <f>IF(tblChecks[[#This Row],[MissingStreet]]="MISSING",1,0)</f>
        <v>0</v>
      </c>
      <c r="U333" t="str">
        <f t="shared" si="40"/>
        <v>OK</v>
      </c>
    </row>
    <row r="334" spans="1:21" x14ac:dyDescent="0.3">
      <c r="A334" s="1" t="str">
        <f>CleanedData!F334</f>
        <v>PROP00333</v>
      </c>
      <c r="B334" s="2" t="str">
        <f>CleanedData!A334</f>
        <v>France, Paris, Russell Forks 185</v>
      </c>
      <c r="C334" s="2" t="str">
        <f>CleanedData!D334</f>
        <v>France</v>
      </c>
      <c r="D334" s="2" t="str">
        <f>CleanedData!E334</f>
        <v>Paris</v>
      </c>
      <c r="E334" s="2" t="str">
        <f>CleanedData!O334</f>
        <v>Paris</v>
      </c>
      <c r="F334" s="2" t="str">
        <f>CleanedData!M334</f>
        <v>Russell Forks 185</v>
      </c>
      <c r="G334" s="2" t="str">
        <f>CleanedData!B334</f>
        <v>54740</v>
      </c>
      <c r="H334" s="2" t="str">
        <f>CleanedData!C334</f>
        <v>+38-561996820</v>
      </c>
      <c r="I334" s="2" t="str">
        <f>CleanedData!G334</f>
        <v>Inactive</v>
      </c>
      <c r="J334" s="14">
        <f>CleanedData!H334</f>
        <v>45371</v>
      </c>
      <c r="K334" s="2" t="str">
        <f t="shared" si="41"/>
        <v>OK</v>
      </c>
      <c r="L334" s="2" t="str">
        <f t="shared" si="42"/>
        <v>OK</v>
      </c>
      <c r="M334" s="2" t="str">
        <f t="shared" si="43"/>
        <v>OK</v>
      </c>
      <c r="N334" s="2" t="str">
        <f t="shared" si="44"/>
        <v>MATCH</v>
      </c>
      <c r="O334" s="2" t="str">
        <f t="shared" si="45"/>
        <v>OK</v>
      </c>
      <c r="P334" s="2">
        <f t="shared" si="46"/>
        <v>0</v>
      </c>
      <c r="Q334" s="2" t="str">
        <f t="shared" si="47"/>
        <v>2024-03</v>
      </c>
      <c r="R334" s="3" t="s">
        <v>16</v>
      </c>
      <c r="S334" s="2">
        <f>IF(tblChecks[[#This Row],[AnyError]]="ERROR",1,0)</f>
        <v>0</v>
      </c>
      <c r="T334" s="2">
        <f>IF(tblChecks[[#This Row],[MissingStreet]]="MISSING",1,0)</f>
        <v>0</v>
      </c>
      <c r="U334" t="str">
        <f t="shared" si="40"/>
        <v>OK</v>
      </c>
    </row>
    <row r="335" spans="1:21" x14ac:dyDescent="0.3">
      <c r="A335" s="1" t="str">
        <f>CleanedData!F335</f>
        <v>PROP00334</v>
      </c>
      <c r="B335" s="2" t="str">
        <f>CleanedData!A335</f>
        <v>Los Angeles, Wilcox Locks 70, USA</v>
      </c>
      <c r="C335" s="2" t="str">
        <f>CleanedData!D335</f>
        <v>USA</v>
      </c>
      <c r="D335" s="2" t="str">
        <f>CleanedData!E335</f>
        <v>Los Angeles</v>
      </c>
      <c r="E335" s="2" t="str">
        <f>CleanedData!O335</f>
        <v>Los Angeles</v>
      </c>
      <c r="F335" s="2" t="str">
        <f>CleanedData!M335</f>
        <v>Wilcox Locks 70</v>
      </c>
      <c r="G335" s="2" t="str">
        <f>CleanedData!B335</f>
        <v>55025</v>
      </c>
      <c r="H335" s="2" t="str">
        <f>CleanedData!C335</f>
        <v>+18-715557014</v>
      </c>
      <c r="I335" s="2" t="str">
        <f>CleanedData!G335</f>
        <v>Inactive</v>
      </c>
      <c r="J335" s="14">
        <f>CleanedData!H335</f>
        <v>45377</v>
      </c>
      <c r="K335" s="2" t="str">
        <f t="shared" si="41"/>
        <v>OK</v>
      </c>
      <c r="L335" s="2" t="str">
        <f t="shared" si="42"/>
        <v>OK</v>
      </c>
      <c r="M335" s="2" t="str">
        <f t="shared" si="43"/>
        <v>OK</v>
      </c>
      <c r="N335" s="2" t="str">
        <f t="shared" si="44"/>
        <v>MATCH</v>
      </c>
      <c r="O335" s="2" t="str">
        <f t="shared" si="45"/>
        <v>OK</v>
      </c>
      <c r="P335" s="2">
        <f t="shared" si="46"/>
        <v>0</v>
      </c>
      <c r="Q335" s="2" t="str">
        <f t="shared" si="47"/>
        <v>2024-03</v>
      </c>
      <c r="R335" s="3" t="s">
        <v>54</v>
      </c>
      <c r="S335" s="2">
        <f>IF(tblChecks[[#This Row],[AnyError]]="ERROR",1,0)</f>
        <v>0</v>
      </c>
      <c r="T335" s="2">
        <f>IF(tblChecks[[#This Row],[MissingStreet]]="MISSING",1,0)</f>
        <v>0</v>
      </c>
      <c r="U335" t="str">
        <f t="shared" si="40"/>
        <v>OK</v>
      </c>
    </row>
    <row r="336" spans="1:21" x14ac:dyDescent="0.3">
      <c r="A336" s="1" t="str">
        <f>CleanedData!F336</f>
        <v>PROP00335</v>
      </c>
      <c r="B336" s="2" t="str">
        <f>CleanedData!A336</f>
        <v>Germany, Frankfurt, Larry Island 100</v>
      </c>
      <c r="C336" s="2" t="str">
        <f>CleanedData!D336</f>
        <v>Germany</v>
      </c>
      <c r="D336" s="2" t="str">
        <f>CleanedData!E336</f>
        <v>Frankfurt</v>
      </c>
      <c r="E336" s="2" t="str">
        <f>CleanedData!O336</f>
        <v>Frankfurt</v>
      </c>
      <c r="F336" s="2" t="str">
        <f>CleanedData!M336</f>
        <v>Larry Island 100</v>
      </c>
      <c r="G336" s="2" t="str">
        <f>CleanedData!B336</f>
        <v>87678</v>
      </c>
      <c r="H336" s="2" t="str">
        <f>CleanedData!C336</f>
        <v>+36-499389023</v>
      </c>
      <c r="I336" s="2" t="str">
        <f>CleanedData!G336</f>
        <v>Inactive</v>
      </c>
      <c r="J336" s="14">
        <f>CleanedData!H336</f>
        <v>45746</v>
      </c>
      <c r="K336" s="2" t="str">
        <f t="shared" si="41"/>
        <v>OK</v>
      </c>
      <c r="L336" s="2" t="str">
        <f t="shared" si="42"/>
        <v>OK</v>
      </c>
      <c r="M336" s="2" t="str">
        <f t="shared" si="43"/>
        <v>OK</v>
      </c>
      <c r="N336" s="2" t="str">
        <f t="shared" si="44"/>
        <v>MATCH</v>
      </c>
      <c r="O336" s="2" t="str">
        <f t="shared" si="45"/>
        <v>OK</v>
      </c>
      <c r="P336" s="2">
        <f t="shared" si="46"/>
        <v>0</v>
      </c>
      <c r="Q336" s="2" t="str">
        <f t="shared" si="47"/>
        <v>2025-03</v>
      </c>
      <c r="R336" s="3" t="s">
        <v>16</v>
      </c>
      <c r="S336" s="2">
        <f>IF(tblChecks[[#This Row],[AnyError]]="ERROR",1,0)</f>
        <v>0</v>
      </c>
      <c r="T336" s="2">
        <f>IF(tblChecks[[#This Row],[MissingStreet]]="MISSING",1,0)</f>
        <v>0</v>
      </c>
      <c r="U336" t="str">
        <f t="shared" si="40"/>
        <v>OK</v>
      </c>
    </row>
    <row r="337" spans="1:21" x14ac:dyDescent="0.3">
      <c r="A337" s="1" t="str">
        <f>CleanedData!F337</f>
        <v>PROP00336</v>
      </c>
      <c r="B337" s="2" t="str">
        <f>CleanedData!A337</f>
        <v>Brooks Drives 68, Japan, Osaka</v>
      </c>
      <c r="C337" s="2" t="str">
        <f>CleanedData!D337</f>
        <v>Japan</v>
      </c>
      <c r="D337" s="2" t="str">
        <f>CleanedData!E337</f>
        <v>Osaka</v>
      </c>
      <c r="E337" s="2" t="str">
        <f>CleanedData!O337</f>
        <v>Osaka</v>
      </c>
      <c r="F337" s="2" t="str">
        <f>CleanedData!M337</f>
        <v>Brooks Drives 68</v>
      </c>
      <c r="G337" s="2" t="str">
        <f>CleanedData!B337</f>
        <v>90524</v>
      </c>
      <c r="H337" s="2" t="str">
        <f>CleanedData!C337</f>
        <v>+36-687023082</v>
      </c>
      <c r="I337" s="2" t="str">
        <f>CleanedData!G337</f>
        <v>Active</v>
      </c>
      <c r="J337" s="14">
        <f>CleanedData!H337</f>
        <v>45964</v>
      </c>
      <c r="K337" s="2" t="str">
        <f t="shared" si="41"/>
        <v>OK</v>
      </c>
      <c r="L337" s="2" t="str">
        <f t="shared" si="42"/>
        <v>OK</v>
      </c>
      <c r="M337" s="2" t="str">
        <f t="shared" si="43"/>
        <v>OK</v>
      </c>
      <c r="N337" s="2" t="str">
        <f t="shared" si="44"/>
        <v>MATCH</v>
      </c>
      <c r="O337" s="2" t="str">
        <f t="shared" si="45"/>
        <v>OK</v>
      </c>
      <c r="P337" s="2">
        <f t="shared" si="46"/>
        <v>0</v>
      </c>
      <c r="Q337" s="2" t="str">
        <f t="shared" si="47"/>
        <v>2025-11</v>
      </c>
      <c r="R337" s="3" t="s">
        <v>16</v>
      </c>
      <c r="S337" s="2">
        <f>IF(tblChecks[[#This Row],[AnyError]]="ERROR",1,0)</f>
        <v>0</v>
      </c>
      <c r="T337" s="2">
        <f>IF(tblChecks[[#This Row],[MissingStreet]]="MISSING",1,0)</f>
        <v>0</v>
      </c>
      <c r="U337" t="str">
        <f t="shared" si="40"/>
        <v>OK</v>
      </c>
    </row>
    <row r="338" spans="1:21" x14ac:dyDescent="0.3">
      <c r="A338" s="1" t="str">
        <f>CleanedData!F338</f>
        <v>PROP00337</v>
      </c>
      <c r="B338" s="2" t="str">
        <f>CleanedData!A338</f>
        <v>UK, Leeds</v>
      </c>
      <c r="C338" s="2" t="str">
        <f>CleanedData!D338</f>
        <v>UK</v>
      </c>
      <c r="D338" s="2" t="str">
        <f>CleanedData!E338</f>
        <v>Leeds</v>
      </c>
      <c r="E338" s="2" t="str">
        <f>CleanedData!O338</f>
        <v>Leeds</v>
      </c>
      <c r="F338" s="2" t="str">
        <f>CleanedData!M338</f>
        <v>Leeds</v>
      </c>
      <c r="G338" s="2" t="str">
        <f>CleanedData!B338</f>
        <v>11689</v>
      </c>
      <c r="H338" s="2" t="str">
        <f>CleanedData!C338</f>
        <v>+24-294930259</v>
      </c>
      <c r="I338" s="2" t="str">
        <f>CleanedData!G338</f>
        <v>Active</v>
      </c>
      <c r="J338" s="14">
        <f>CleanedData!H338</f>
        <v>45255</v>
      </c>
      <c r="K338" s="2" t="str">
        <f t="shared" si="41"/>
        <v>OK</v>
      </c>
      <c r="L338" s="2" t="str">
        <f t="shared" si="42"/>
        <v>OK</v>
      </c>
      <c r="M338" s="2" t="str">
        <f t="shared" si="43"/>
        <v>OK</v>
      </c>
      <c r="N338" s="2" t="str">
        <f t="shared" si="44"/>
        <v>MATCH</v>
      </c>
      <c r="O338" s="2" t="str">
        <f t="shared" si="45"/>
        <v>OK</v>
      </c>
      <c r="P338" s="2">
        <f t="shared" si="46"/>
        <v>0</v>
      </c>
      <c r="Q338" s="2" t="str">
        <f t="shared" si="47"/>
        <v>2023-11</v>
      </c>
      <c r="R338" s="3" t="s">
        <v>39</v>
      </c>
      <c r="S338" s="2">
        <f>IF(tblChecks[[#This Row],[AnyError]]="ERROR",1,0)</f>
        <v>0</v>
      </c>
      <c r="T338" s="2">
        <f>IF(tblChecks[[#This Row],[MissingStreet]]="MISSING",1,0)</f>
        <v>0</v>
      </c>
      <c r="U338" t="str">
        <f t="shared" si="40"/>
        <v>OK</v>
      </c>
    </row>
    <row r="339" spans="1:21" x14ac:dyDescent="0.3">
      <c r="A339" s="1" t="str">
        <f>CleanedData!F339</f>
        <v>PROP00338</v>
      </c>
      <c r="B339" s="2" t="str">
        <f>CleanedData!A339</f>
        <v>BordeauxRyan Summit13, France</v>
      </c>
      <c r="C339" s="2" t="str">
        <f>CleanedData!D339</f>
        <v>France</v>
      </c>
      <c r="D339" s="2" t="str">
        <f>CleanedData!E339</f>
        <v>Bordeaux</v>
      </c>
      <c r="E339" s="2" t="str">
        <f>CleanedData!O339</f>
        <v>Bordeaux</v>
      </c>
      <c r="F339" s="2" t="str">
        <f>CleanedData!M339</f>
        <v>BordeauxRyan Summit13</v>
      </c>
      <c r="G339" s="2" t="str">
        <f>CleanedData!B339</f>
        <v>97336</v>
      </c>
      <c r="H339" s="2" t="str">
        <f>CleanedData!C339</f>
        <v>+99-946409846</v>
      </c>
      <c r="I339" s="2" t="str">
        <f>CleanedData!G339</f>
        <v>Inactive</v>
      </c>
      <c r="J339" s="14">
        <f>CleanedData!H339</f>
        <v>45105</v>
      </c>
      <c r="K339" s="2" t="str">
        <f t="shared" si="41"/>
        <v>OK</v>
      </c>
      <c r="L339" s="2" t="str">
        <f t="shared" si="42"/>
        <v>OK</v>
      </c>
      <c r="M339" s="2" t="str">
        <f t="shared" si="43"/>
        <v>OK</v>
      </c>
      <c r="N339" s="2" t="str">
        <f t="shared" si="44"/>
        <v>MATCH</v>
      </c>
      <c r="O339" s="2" t="str">
        <f t="shared" si="45"/>
        <v>OK</v>
      </c>
      <c r="P339" s="2">
        <f t="shared" si="46"/>
        <v>0</v>
      </c>
      <c r="Q339" s="2" t="str">
        <f t="shared" si="47"/>
        <v>2023-06</v>
      </c>
      <c r="R339" s="3" t="s">
        <v>33</v>
      </c>
      <c r="S339" s="2">
        <f>IF(tblChecks[[#This Row],[AnyError]]="ERROR",1,0)</f>
        <v>0</v>
      </c>
      <c r="T339" s="2">
        <f>IF(tblChecks[[#This Row],[MissingStreet]]="MISSING",1,0)</f>
        <v>0</v>
      </c>
      <c r="U339" t="str">
        <f t="shared" si="40"/>
        <v>OK</v>
      </c>
    </row>
    <row r="340" spans="1:21" x14ac:dyDescent="0.3">
      <c r="A340" s="1" t="str">
        <f>CleanedData!F340</f>
        <v>PROP00339</v>
      </c>
      <c r="B340" s="2" t="str">
        <f>CleanedData!A340</f>
        <v>Cain Point 186, USA, Phoenix</v>
      </c>
      <c r="C340" s="2" t="str">
        <f>CleanedData!D340</f>
        <v>USA</v>
      </c>
      <c r="D340" s="2" t="str">
        <f>CleanedData!E340</f>
        <v>Phoenix</v>
      </c>
      <c r="E340" s="2" t="str">
        <f>CleanedData!O340</f>
        <v>Phoenix</v>
      </c>
      <c r="F340" s="2" t="str">
        <f>CleanedData!M340</f>
        <v>Cain Point 186</v>
      </c>
      <c r="G340" s="2" t="str">
        <f>CleanedData!B340</f>
        <v>8362</v>
      </c>
      <c r="H340" s="2" t="str">
        <f>CleanedData!C340</f>
        <v>+36-940622025</v>
      </c>
      <c r="I340" s="2" t="str">
        <f>CleanedData!G340</f>
        <v>Active</v>
      </c>
      <c r="J340" s="14">
        <f>CleanedData!H340</f>
        <v>45910</v>
      </c>
      <c r="K340" s="2" t="str">
        <f t="shared" si="41"/>
        <v>OK</v>
      </c>
      <c r="L340" s="2" t="str">
        <f t="shared" si="42"/>
        <v>OK</v>
      </c>
      <c r="M340" s="2" t="str">
        <f t="shared" si="43"/>
        <v>OK</v>
      </c>
      <c r="N340" s="2" t="str">
        <f t="shared" si="44"/>
        <v>MATCH</v>
      </c>
      <c r="O340" s="2" t="str">
        <f t="shared" si="45"/>
        <v>OK</v>
      </c>
      <c r="P340" s="2">
        <f t="shared" si="46"/>
        <v>0</v>
      </c>
      <c r="Q340" s="2" t="str">
        <f t="shared" si="47"/>
        <v>2025-09</v>
      </c>
      <c r="R340" s="3" t="s">
        <v>54</v>
      </c>
      <c r="S340" s="2">
        <f>IF(tblChecks[[#This Row],[AnyError]]="ERROR",1,0)</f>
        <v>0</v>
      </c>
      <c r="T340" s="2">
        <f>IF(tblChecks[[#This Row],[MissingStreet]]="MISSING",1,0)</f>
        <v>0</v>
      </c>
      <c r="U340" t="str">
        <f t="shared" si="40"/>
        <v>OK</v>
      </c>
    </row>
    <row r="341" spans="1:21" x14ac:dyDescent="0.3">
      <c r="A341" s="1" t="str">
        <f>CleanedData!F341</f>
        <v>PROP00340</v>
      </c>
      <c r="B341" s="2" t="str">
        <f>CleanedData!A341</f>
        <v>FranceBordeauxSantiago Loop66</v>
      </c>
      <c r="C341" s="2" t="str">
        <f>CleanedData!D341</f>
        <v>France</v>
      </c>
      <c r="D341" s="2" t="str">
        <f>CleanedData!E341</f>
        <v>Bordeaux</v>
      </c>
      <c r="E341" s="2" t="str">
        <f>CleanedData!O341</f>
        <v>Bordeaux</v>
      </c>
      <c r="F341" s="2" t="str">
        <f>CleanedData!M341</f>
        <v>FranceBordeauxSantiago Loop66</v>
      </c>
      <c r="G341" s="2" t="str">
        <f>CleanedData!B341</f>
        <v>46847</v>
      </c>
      <c r="H341" s="2" t="str">
        <f>CleanedData!C341</f>
        <v>+39-791814890</v>
      </c>
      <c r="I341" s="2" t="str">
        <f>CleanedData!G341</f>
        <v>Inactive</v>
      </c>
      <c r="J341" s="14">
        <f>CleanedData!H341</f>
        <v>45700</v>
      </c>
      <c r="K341" s="2" t="str">
        <f t="shared" si="41"/>
        <v>OK</v>
      </c>
      <c r="L341" s="2" t="str">
        <f t="shared" si="42"/>
        <v>OK</v>
      </c>
      <c r="M341" s="2" t="str">
        <f t="shared" si="43"/>
        <v>OK</v>
      </c>
      <c r="N341" s="2" t="str">
        <f t="shared" si="44"/>
        <v>MATCH</v>
      </c>
      <c r="O341" s="2" t="str">
        <f t="shared" si="45"/>
        <v>OK</v>
      </c>
      <c r="P341" s="2">
        <f t="shared" si="46"/>
        <v>0</v>
      </c>
      <c r="Q341" s="2" t="str">
        <f t="shared" si="47"/>
        <v>2025-02</v>
      </c>
      <c r="R341" s="3" t="s">
        <v>33</v>
      </c>
      <c r="S341" s="2">
        <f>IF(tblChecks[[#This Row],[AnyError]]="ERROR",1,0)</f>
        <v>0</v>
      </c>
      <c r="T341" s="2">
        <f>IF(tblChecks[[#This Row],[MissingStreet]]="MISSING",1,0)</f>
        <v>0</v>
      </c>
      <c r="U341" t="str">
        <f t="shared" si="40"/>
        <v>OK</v>
      </c>
    </row>
    <row r="342" spans="1:21" x14ac:dyDescent="0.3">
      <c r="A342" s="1" t="str">
        <f>CleanedData!F342</f>
        <v>PROP00341</v>
      </c>
      <c r="B342" s="2" t="str">
        <f>CleanedData!A342</f>
        <v>GermanyMunichParrish Stravenue265</v>
      </c>
      <c r="C342" s="2" t="str">
        <f>CleanedData!D342</f>
        <v>Germany</v>
      </c>
      <c r="D342" s="2" t="str">
        <f>CleanedData!E342</f>
        <v>Munich</v>
      </c>
      <c r="E342" s="2" t="str">
        <f>CleanedData!O342</f>
        <v>Munich</v>
      </c>
      <c r="F342" s="2" t="str">
        <f>CleanedData!M342</f>
        <v>GermanyMunichParrish Stravenue265</v>
      </c>
      <c r="G342" s="2" t="str">
        <f>CleanedData!B342</f>
        <v>7244</v>
      </c>
      <c r="H342" s="2" t="str">
        <f>CleanedData!C342</f>
        <v>+35-188431370</v>
      </c>
      <c r="I342" s="2" t="str">
        <f>CleanedData!G342</f>
        <v>Active</v>
      </c>
      <c r="J342" s="14">
        <f>CleanedData!H342</f>
        <v>44966</v>
      </c>
      <c r="K342" s="2" t="str">
        <f t="shared" si="41"/>
        <v>OK</v>
      </c>
      <c r="L342" s="2" t="str">
        <f t="shared" si="42"/>
        <v>OK</v>
      </c>
      <c r="M342" s="2" t="str">
        <f t="shared" si="43"/>
        <v>OK</v>
      </c>
      <c r="N342" s="2" t="str">
        <f t="shared" si="44"/>
        <v>MATCH</v>
      </c>
      <c r="O342" s="2" t="str">
        <f t="shared" si="45"/>
        <v>OK</v>
      </c>
      <c r="P342" s="2">
        <f t="shared" si="46"/>
        <v>0</v>
      </c>
      <c r="Q342" s="2" t="str">
        <f t="shared" si="47"/>
        <v>2023-02</v>
      </c>
      <c r="R342" s="3" t="s">
        <v>16</v>
      </c>
      <c r="S342" s="2">
        <f>IF(tblChecks[[#This Row],[AnyError]]="ERROR",1,0)</f>
        <v>0</v>
      </c>
      <c r="T342" s="2">
        <f>IF(tblChecks[[#This Row],[MissingStreet]]="MISSING",1,0)</f>
        <v>0</v>
      </c>
      <c r="U342" t="str">
        <f t="shared" si="40"/>
        <v>OK</v>
      </c>
    </row>
    <row r="343" spans="1:21" x14ac:dyDescent="0.3">
      <c r="A343" s="1" t="str">
        <f>CleanedData!F343</f>
        <v>PROP00342</v>
      </c>
      <c r="B343" s="2" t="str">
        <f>CleanedData!A343</f>
        <v>ItalyMilan</v>
      </c>
      <c r="C343" s="2" t="str">
        <f>CleanedData!D343</f>
        <v>Italy</v>
      </c>
      <c r="D343" s="2" t="str">
        <f>CleanedData!E343</f>
        <v>Milan</v>
      </c>
      <c r="E343" s="2" t="str">
        <f>CleanedData!O343</f>
        <v>Milan</v>
      </c>
      <c r="F343" s="2" t="str">
        <f>CleanedData!M343</f>
        <v/>
      </c>
      <c r="G343" s="2" t="str">
        <f>CleanedData!B343</f>
        <v>14080</v>
      </c>
      <c r="H343" s="2" t="str">
        <f>CleanedData!C343</f>
        <v>+93-413223741</v>
      </c>
      <c r="I343" s="2" t="str">
        <f>CleanedData!G343</f>
        <v>Inactive</v>
      </c>
      <c r="J343" s="14">
        <f>CleanedData!H343</f>
        <v>45748</v>
      </c>
      <c r="K343" s="2" t="str">
        <f t="shared" si="41"/>
        <v>MISSING</v>
      </c>
      <c r="L343" s="2" t="str">
        <f t="shared" si="42"/>
        <v>OK</v>
      </c>
      <c r="M343" s="2" t="str">
        <f t="shared" si="43"/>
        <v>OK</v>
      </c>
      <c r="N343" s="2" t="str">
        <f t="shared" si="44"/>
        <v>MATCH</v>
      </c>
      <c r="O343" s="2" t="str">
        <f t="shared" si="45"/>
        <v>ERROR</v>
      </c>
      <c r="P343" s="2">
        <f t="shared" si="46"/>
        <v>1</v>
      </c>
      <c r="Q343" s="2" t="str">
        <f t="shared" si="47"/>
        <v>2025-04</v>
      </c>
      <c r="R343" s="3" t="s">
        <v>33</v>
      </c>
      <c r="S343" s="2">
        <f>IF(tblChecks[[#This Row],[AnyError]]="ERROR",1,0)</f>
        <v>1</v>
      </c>
      <c r="T343" s="2">
        <f>IF(tblChecks[[#This Row],[MissingStreet]]="MISSING",1,0)</f>
        <v>1</v>
      </c>
      <c r="U343" t="str">
        <f t="shared" si="40"/>
        <v>MissingStreet</v>
      </c>
    </row>
    <row r="344" spans="1:21" x14ac:dyDescent="0.3">
      <c r="A344" s="1" t="str">
        <f>CleanedData!F344</f>
        <v>PROP00343</v>
      </c>
      <c r="B344" s="2" t="str">
        <f>CleanedData!A344</f>
        <v>ToulouseEric Orchard239, France</v>
      </c>
      <c r="C344" s="2" t="str">
        <f>CleanedData!D344</f>
        <v>France</v>
      </c>
      <c r="D344" s="2" t="str">
        <f>CleanedData!E344</f>
        <v>Toulouse</v>
      </c>
      <c r="E344" s="2" t="str">
        <f>CleanedData!O344</f>
        <v>Toulouse</v>
      </c>
      <c r="F344" s="2" t="str">
        <f>CleanedData!M344</f>
        <v>ToulouseEric Orchard239</v>
      </c>
      <c r="G344" s="2" t="str">
        <f>CleanedData!B344</f>
        <v>29893</v>
      </c>
      <c r="H344" s="2" t="str">
        <f>CleanedData!C344</f>
        <v>+17-841983540</v>
      </c>
      <c r="I344" s="2" t="str">
        <f>CleanedData!G344</f>
        <v>Inactive</v>
      </c>
      <c r="J344" s="14">
        <f>CleanedData!H344</f>
        <v>45191</v>
      </c>
      <c r="K344" s="2" t="str">
        <f t="shared" si="41"/>
        <v>OK</v>
      </c>
      <c r="L344" s="2" t="str">
        <f t="shared" si="42"/>
        <v>OK</v>
      </c>
      <c r="M344" s="2" t="str">
        <f t="shared" si="43"/>
        <v>OK</v>
      </c>
      <c r="N344" s="2" t="str">
        <f t="shared" si="44"/>
        <v>MATCH</v>
      </c>
      <c r="O344" s="2" t="str">
        <f t="shared" si="45"/>
        <v>OK</v>
      </c>
      <c r="P344" s="2">
        <f t="shared" si="46"/>
        <v>0</v>
      </c>
      <c r="Q344" s="2" t="str">
        <f t="shared" si="47"/>
        <v>2023-09</v>
      </c>
      <c r="R344" s="3" t="s">
        <v>23</v>
      </c>
      <c r="S344" s="2">
        <f>IF(tblChecks[[#This Row],[AnyError]]="ERROR",1,0)</f>
        <v>0</v>
      </c>
      <c r="T344" s="2">
        <f>IF(tblChecks[[#This Row],[MissingStreet]]="MISSING",1,0)</f>
        <v>0</v>
      </c>
      <c r="U344" t="str">
        <f t="shared" si="40"/>
        <v>OK</v>
      </c>
    </row>
    <row r="345" spans="1:21" x14ac:dyDescent="0.3">
      <c r="A345" s="1" t="str">
        <f>CleanedData!F345</f>
        <v>PROP00344</v>
      </c>
      <c r="B345" s="2" t="str">
        <f>CleanedData!A345</f>
        <v>Michael Point 90, Japan, Tokyo</v>
      </c>
      <c r="C345" s="2" t="str">
        <f>CleanedData!D345</f>
        <v>Japan</v>
      </c>
      <c r="D345" s="2" t="str">
        <f>CleanedData!E345</f>
        <v>Tokyo</v>
      </c>
      <c r="E345" s="2" t="str">
        <f>CleanedData!O345</f>
        <v>Tokyo</v>
      </c>
      <c r="F345" s="2" t="str">
        <f>CleanedData!M345</f>
        <v>Michael Point 90</v>
      </c>
      <c r="G345" s="2" t="str">
        <f>CleanedData!B345</f>
        <v>48677</v>
      </c>
      <c r="H345" s="2" t="str">
        <f>CleanedData!C345</f>
        <v>+56-533009180</v>
      </c>
      <c r="I345" s="2" t="str">
        <f>CleanedData!G345</f>
        <v>Inactive</v>
      </c>
      <c r="J345" s="14">
        <f>CleanedData!H345</f>
        <v>45129</v>
      </c>
      <c r="K345" s="2" t="str">
        <f t="shared" si="41"/>
        <v>OK</v>
      </c>
      <c r="L345" s="2" t="str">
        <f t="shared" si="42"/>
        <v>OK</v>
      </c>
      <c r="M345" s="2" t="str">
        <f t="shared" si="43"/>
        <v>OK</v>
      </c>
      <c r="N345" s="2" t="str">
        <f t="shared" si="44"/>
        <v>MATCH</v>
      </c>
      <c r="O345" s="2" t="str">
        <f t="shared" si="45"/>
        <v>OK</v>
      </c>
      <c r="P345" s="2">
        <f t="shared" si="46"/>
        <v>0</v>
      </c>
      <c r="Q345" s="2" t="str">
        <f t="shared" si="47"/>
        <v>2023-07</v>
      </c>
      <c r="R345" s="3" t="s">
        <v>39</v>
      </c>
      <c r="S345" s="2">
        <f>IF(tblChecks[[#This Row],[AnyError]]="ERROR",1,0)</f>
        <v>0</v>
      </c>
      <c r="T345" s="2">
        <f>IF(tblChecks[[#This Row],[MissingStreet]]="MISSING",1,0)</f>
        <v>0</v>
      </c>
      <c r="U345" t="str">
        <f t="shared" si="40"/>
        <v>OK</v>
      </c>
    </row>
    <row r="346" spans="1:21" x14ac:dyDescent="0.3">
      <c r="A346" s="1" t="str">
        <f>CleanedData!F346</f>
        <v>PROP00345</v>
      </c>
      <c r="B346" s="2" t="str">
        <f>CleanedData!A346</f>
        <v>GermanyBerlinKathryn Ports35</v>
      </c>
      <c r="C346" s="2" t="str">
        <f>CleanedData!D346</f>
        <v>Germany</v>
      </c>
      <c r="D346" s="2" t="str">
        <f>CleanedData!E346</f>
        <v>Berlin</v>
      </c>
      <c r="E346" s="2" t="str">
        <f>CleanedData!O346</f>
        <v>Berlin</v>
      </c>
      <c r="F346" s="2" t="str">
        <f>CleanedData!M346</f>
        <v>GermanyBerlinKathryn Ports35</v>
      </c>
      <c r="G346" s="2" t="str">
        <f>CleanedData!B346</f>
        <v>30144</v>
      </c>
      <c r="H346" s="2" t="str">
        <f>CleanedData!C346</f>
        <v>+89-331541889</v>
      </c>
      <c r="I346" s="2" t="str">
        <f>CleanedData!G346</f>
        <v>Active</v>
      </c>
      <c r="J346" s="14">
        <f>CleanedData!H346</f>
        <v>45473</v>
      </c>
      <c r="K346" s="2" t="str">
        <f t="shared" si="41"/>
        <v>OK</v>
      </c>
      <c r="L346" s="2" t="str">
        <f t="shared" si="42"/>
        <v>OK</v>
      </c>
      <c r="M346" s="2" t="str">
        <f t="shared" si="43"/>
        <v>OK</v>
      </c>
      <c r="N346" s="2" t="str">
        <f t="shared" si="44"/>
        <v>MATCH</v>
      </c>
      <c r="O346" s="2" t="str">
        <f t="shared" si="45"/>
        <v>OK</v>
      </c>
      <c r="P346" s="2">
        <f t="shared" si="46"/>
        <v>0</v>
      </c>
      <c r="Q346" s="2" t="str">
        <f t="shared" si="47"/>
        <v>2024-06</v>
      </c>
      <c r="R346" s="3" t="s">
        <v>16</v>
      </c>
      <c r="S346" s="2">
        <f>IF(tblChecks[[#This Row],[AnyError]]="ERROR",1,0)</f>
        <v>0</v>
      </c>
      <c r="T346" s="2">
        <f>IF(tblChecks[[#This Row],[MissingStreet]]="MISSING",1,0)</f>
        <v>0</v>
      </c>
      <c r="U346" t="str">
        <f t="shared" si="40"/>
        <v>OK</v>
      </c>
    </row>
    <row r="347" spans="1:21" x14ac:dyDescent="0.3">
      <c r="A347" s="1" t="str">
        <f>CleanedData!F347</f>
        <v>PROP00346</v>
      </c>
      <c r="B347" s="2" t="str">
        <f>CleanedData!A347</f>
        <v>Bruce Trafficway 94, Manchester</v>
      </c>
      <c r="C347" s="2" t="str">
        <f>CleanedData!D347</f>
        <v>UK</v>
      </c>
      <c r="D347" s="2" t="str">
        <f>CleanedData!E347</f>
        <v>Manchester</v>
      </c>
      <c r="E347" s="2" t="str">
        <f>CleanedData!O347</f>
        <v>Manchester</v>
      </c>
      <c r="F347" s="2" t="str">
        <f>CleanedData!M347</f>
        <v>Bruce Trafficway 94</v>
      </c>
      <c r="G347" s="2" t="str">
        <f>CleanedData!B347</f>
        <v>81991</v>
      </c>
      <c r="H347" s="2" t="str">
        <f>CleanedData!C347</f>
        <v>+56-586911127</v>
      </c>
      <c r="I347" s="2" t="str">
        <f>CleanedData!G347</f>
        <v>Inactive</v>
      </c>
      <c r="J347" s="14">
        <f>CleanedData!H347</f>
        <v>45063</v>
      </c>
      <c r="K347" s="2" t="str">
        <f t="shared" si="41"/>
        <v>OK</v>
      </c>
      <c r="L347" s="2" t="str">
        <f t="shared" si="42"/>
        <v>OK</v>
      </c>
      <c r="M347" s="2" t="str">
        <f t="shared" si="43"/>
        <v>OK</v>
      </c>
      <c r="N347" s="2" t="str">
        <f t="shared" si="44"/>
        <v>MATCH</v>
      </c>
      <c r="O347" s="2" t="str">
        <f t="shared" si="45"/>
        <v>OK</v>
      </c>
      <c r="P347" s="2">
        <f t="shared" si="46"/>
        <v>0</v>
      </c>
      <c r="Q347" s="2" t="str">
        <f t="shared" si="47"/>
        <v>2023-05</v>
      </c>
      <c r="R347" s="3" t="s">
        <v>54</v>
      </c>
      <c r="S347" s="2">
        <f>IF(tblChecks[[#This Row],[AnyError]]="ERROR",1,0)</f>
        <v>0</v>
      </c>
      <c r="T347" s="2">
        <f>IF(tblChecks[[#This Row],[MissingStreet]]="MISSING",1,0)</f>
        <v>0</v>
      </c>
      <c r="U347" t="str">
        <f t="shared" si="40"/>
        <v>OK</v>
      </c>
    </row>
    <row r="348" spans="1:21" x14ac:dyDescent="0.3">
      <c r="A348" s="1" t="str">
        <f>CleanedData!F348</f>
        <v>PROP00347</v>
      </c>
      <c r="B348" s="2" t="str">
        <f>CleanedData!A348</f>
        <v>BrazilSalvadorChelsea Shoals133</v>
      </c>
      <c r="C348" s="2" t="str">
        <f>CleanedData!D348</f>
        <v>Brazil</v>
      </c>
      <c r="D348" s="2" t="str">
        <f>CleanedData!E348</f>
        <v>Salvador</v>
      </c>
      <c r="E348" s="2" t="str">
        <f>CleanedData!O348</f>
        <v>Salvador</v>
      </c>
      <c r="F348" s="2" t="str">
        <f>CleanedData!M348</f>
        <v>BrazilSalvadorChelsea Shoals133</v>
      </c>
      <c r="G348" s="2" t="str">
        <f>CleanedData!B348</f>
        <v>91395</v>
      </c>
      <c r="H348" s="2" t="str">
        <f>CleanedData!C348</f>
        <v>+84-358153343</v>
      </c>
      <c r="I348" s="2" t="str">
        <f>CleanedData!G348</f>
        <v>Inactive</v>
      </c>
      <c r="J348" s="14">
        <f>CleanedData!H348</f>
        <v>44995</v>
      </c>
      <c r="K348" s="2" t="str">
        <f t="shared" si="41"/>
        <v>OK</v>
      </c>
      <c r="L348" s="2" t="str">
        <f t="shared" si="42"/>
        <v>OK</v>
      </c>
      <c r="M348" s="2" t="str">
        <f t="shared" si="43"/>
        <v>OK</v>
      </c>
      <c r="N348" s="2" t="str">
        <f t="shared" si="44"/>
        <v>MATCH</v>
      </c>
      <c r="O348" s="2" t="str">
        <f t="shared" si="45"/>
        <v>OK</v>
      </c>
      <c r="P348" s="2">
        <f t="shared" si="46"/>
        <v>0</v>
      </c>
      <c r="Q348" s="2" t="str">
        <f t="shared" si="47"/>
        <v>2023-03</v>
      </c>
      <c r="R348" s="3" t="s">
        <v>33</v>
      </c>
      <c r="S348" s="2">
        <f>IF(tblChecks[[#This Row],[AnyError]]="ERROR",1,0)</f>
        <v>0</v>
      </c>
      <c r="T348" s="2">
        <f>IF(tblChecks[[#This Row],[MissingStreet]]="MISSING",1,0)</f>
        <v>0</v>
      </c>
      <c r="U348" t="str">
        <f t="shared" si="40"/>
        <v>OK</v>
      </c>
    </row>
    <row r="349" spans="1:21" x14ac:dyDescent="0.3">
      <c r="A349" s="1" t="str">
        <f>CleanedData!F349</f>
        <v>PROP00348</v>
      </c>
      <c r="B349" s="2" t="str">
        <f>CleanedData!A349</f>
        <v>GermanyBerlin, Germany</v>
      </c>
      <c r="C349" s="2" t="str">
        <f>CleanedData!D349</f>
        <v>Germany</v>
      </c>
      <c r="D349" s="2" t="str">
        <f>CleanedData!E349</f>
        <v>Berlin</v>
      </c>
      <c r="E349" s="2" t="str">
        <f>CleanedData!O349</f>
        <v>Berlin</v>
      </c>
      <c r="F349" s="2" t="str">
        <f>CleanedData!M349</f>
        <v>Germany</v>
      </c>
      <c r="G349" s="2" t="str">
        <f>CleanedData!B349</f>
        <v>92605</v>
      </c>
      <c r="H349" s="2" t="str">
        <f>CleanedData!C349</f>
        <v>+85-673844231</v>
      </c>
      <c r="I349" s="2" t="str">
        <f>CleanedData!G349</f>
        <v>Inactive</v>
      </c>
      <c r="J349" s="14">
        <f>CleanedData!H349</f>
        <v>45710</v>
      </c>
      <c r="K349" s="2" t="str">
        <f t="shared" si="41"/>
        <v>OK</v>
      </c>
      <c r="L349" s="2" t="str">
        <f t="shared" si="42"/>
        <v>OK</v>
      </c>
      <c r="M349" s="2" t="str">
        <f t="shared" si="43"/>
        <v>OK</v>
      </c>
      <c r="N349" s="2" t="str">
        <f t="shared" si="44"/>
        <v>MATCH</v>
      </c>
      <c r="O349" s="2" t="str">
        <f t="shared" si="45"/>
        <v>OK</v>
      </c>
      <c r="P349" s="2">
        <f t="shared" si="46"/>
        <v>0</v>
      </c>
      <c r="Q349" s="2" t="str">
        <f t="shared" si="47"/>
        <v>2025-02</v>
      </c>
      <c r="R349" s="3" t="s">
        <v>33</v>
      </c>
      <c r="S349" s="2">
        <f>IF(tblChecks[[#This Row],[AnyError]]="ERROR",1,0)</f>
        <v>0</v>
      </c>
      <c r="T349" s="2">
        <f>IF(tblChecks[[#This Row],[MissingStreet]]="MISSING",1,0)</f>
        <v>0</v>
      </c>
      <c r="U349" t="str">
        <f t="shared" si="40"/>
        <v>OK</v>
      </c>
    </row>
    <row r="350" spans="1:21" x14ac:dyDescent="0.3">
      <c r="A350" s="1" t="str">
        <f>CleanedData!F350</f>
        <v>PROP00349</v>
      </c>
      <c r="B350" s="2" t="str">
        <f>CleanedData!A350</f>
        <v>GermanyFrankfurt</v>
      </c>
      <c r="C350" s="2" t="str">
        <f>CleanedData!D350</f>
        <v>Germany</v>
      </c>
      <c r="D350" s="2" t="str">
        <f>CleanedData!E350</f>
        <v>Frankfurt</v>
      </c>
      <c r="E350" s="2" t="str">
        <f>CleanedData!O350</f>
        <v>Frankfurt</v>
      </c>
      <c r="F350" s="2" t="str">
        <f>CleanedData!M350</f>
        <v/>
      </c>
      <c r="G350" s="2" t="str">
        <f>CleanedData!B350</f>
        <v>1301</v>
      </c>
      <c r="H350" s="2" t="str">
        <f>CleanedData!C350</f>
        <v>+53-539474257</v>
      </c>
      <c r="I350" s="2" t="str">
        <f>CleanedData!G350</f>
        <v>Inactive</v>
      </c>
      <c r="J350" s="14">
        <f>CleanedData!H350</f>
        <v>45945</v>
      </c>
      <c r="K350" s="2" t="str">
        <f t="shared" si="41"/>
        <v>MISSING</v>
      </c>
      <c r="L350" s="2" t="str">
        <f t="shared" si="42"/>
        <v>OK</v>
      </c>
      <c r="M350" s="2" t="str">
        <f t="shared" si="43"/>
        <v>OK</v>
      </c>
      <c r="N350" s="2" t="str">
        <f t="shared" si="44"/>
        <v>MATCH</v>
      </c>
      <c r="O350" s="2" t="str">
        <f t="shared" si="45"/>
        <v>ERROR</v>
      </c>
      <c r="P350" s="2">
        <f t="shared" si="46"/>
        <v>1</v>
      </c>
      <c r="Q350" s="2" t="str">
        <f t="shared" si="47"/>
        <v>2025-10</v>
      </c>
      <c r="R350" s="3" t="s">
        <v>33</v>
      </c>
      <c r="S350" s="2">
        <f>IF(tblChecks[[#This Row],[AnyError]]="ERROR",1,0)</f>
        <v>1</v>
      </c>
      <c r="T350" s="2">
        <f>IF(tblChecks[[#This Row],[MissingStreet]]="MISSING",1,0)</f>
        <v>1</v>
      </c>
      <c r="U350" t="str">
        <f t="shared" si="40"/>
        <v>MissingStreet</v>
      </c>
    </row>
    <row r="351" spans="1:21" x14ac:dyDescent="0.3">
      <c r="A351" s="1" t="str">
        <f>CleanedData!F351</f>
        <v>PROP00350</v>
      </c>
      <c r="B351" s="2" t="str">
        <f>CleanedData!A351</f>
        <v>UKManchester</v>
      </c>
      <c r="C351" s="2" t="str">
        <f>CleanedData!D351</f>
        <v>UK</v>
      </c>
      <c r="D351" s="2" t="str">
        <f>CleanedData!E351</f>
        <v>Manchester</v>
      </c>
      <c r="E351" s="2" t="str">
        <f>CleanedData!O351</f>
        <v>Manchester</v>
      </c>
      <c r="F351" s="2" t="str">
        <f>CleanedData!M351</f>
        <v/>
      </c>
      <c r="G351" s="2" t="str">
        <f>CleanedData!B351</f>
        <v>86660</v>
      </c>
      <c r="H351" s="2" t="str">
        <f>CleanedData!C351</f>
        <v>+1-167381279</v>
      </c>
      <c r="I351" s="2" t="str">
        <f>CleanedData!G351</f>
        <v>Inactive</v>
      </c>
      <c r="J351" s="14">
        <f>CleanedData!H351</f>
        <v>45938</v>
      </c>
      <c r="K351" s="2" t="str">
        <f t="shared" si="41"/>
        <v>MISSING</v>
      </c>
      <c r="L351" s="2" t="str">
        <f t="shared" si="42"/>
        <v>OK</v>
      </c>
      <c r="M351" s="2" t="str">
        <f t="shared" si="43"/>
        <v>OK</v>
      </c>
      <c r="N351" s="2" t="str">
        <f t="shared" si="44"/>
        <v>MATCH</v>
      </c>
      <c r="O351" s="2" t="str">
        <f t="shared" si="45"/>
        <v>ERROR</v>
      </c>
      <c r="P351" s="2">
        <f t="shared" si="46"/>
        <v>1</v>
      </c>
      <c r="Q351" s="2" t="str">
        <f t="shared" si="47"/>
        <v>2025-10</v>
      </c>
      <c r="R351" s="3" t="s">
        <v>39</v>
      </c>
      <c r="S351" s="2">
        <f>IF(tblChecks[[#This Row],[AnyError]]="ERROR",1,0)</f>
        <v>1</v>
      </c>
      <c r="T351" s="2">
        <f>IF(tblChecks[[#This Row],[MissingStreet]]="MISSING",1,0)</f>
        <v>1</v>
      </c>
      <c r="U351" t="str">
        <f t="shared" si="40"/>
        <v>MissingStreet</v>
      </c>
    </row>
    <row r="352" spans="1:21" x14ac:dyDescent="0.3">
      <c r="A352" s="1" t="str">
        <f>CleanedData!F352</f>
        <v>PROP00351</v>
      </c>
      <c r="B352" s="2" t="str">
        <f>CleanedData!A352</f>
        <v>Los Angeles, Jones Streets 121, USA</v>
      </c>
      <c r="C352" s="2" t="str">
        <f>CleanedData!D352</f>
        <v>USA</v>
      </c>
      <c r="D352" s="2" t="str">
        <f>CleanedData!E352</f>
        <v>Los Angeles</v>
      </c>
      <c r="E352" s="2" t="str">
        <f>CleanedData!O352</f>
        <v>Los Angeles</v>
      </c>
      <c r="F352" s="2" t="str">
        <f>CleanedData!M352</f>
        <v>Jones Streets 121</v>
      </c>
      <c r="G352" s="2" t="str">
        <f>CleanedData!B352</f>
        <v>83492</v>
      </c>
      <c r="H352" s="2" t="str">
        <f>CleanedData!C352</f>
        <v>+79-517550358</v>
      </c>
      <c r="I352" s="2" t="str">
        <f>CleanedData!G352</f>
        <v>Active</v>
      </c>
      <c r="J352" s="14">
        <f>CleanedData!H352</f>
        <v>45401</v>
      </c>
      <c r="K352" s="2" t="str">
        <f t="shared" si="41"/>
        <v>OK</v>
      </c>
      <c r="L352" s="2" t="str">
        <f t="shared" si="42"/>
        <v>OK</v>
      </c>
      <c r="M352" s="2" t="str">
        <f t="shared" si="43"/>
        <v>OK</v>
      </c>
      <c r="N352" s="2" t="str">
        <f t="shared" si="44"/>
        <v>MATCH</v>
      </c>
      <c r="O352" s="2" t="str">
        <f t="shared" si="45"/>
        <v>OK</v>
      </c>
      <c r="P352" s="2">
        <f t="shared" si="46"/>
        <v>0</v>
      </c>
      <c r="Q352" s="2" t="str">
        <f t="shared" si="47"/>
        <v>2024-04</v>
      </c>
      <c r="R352" s="3" t="s">
        <v>54</v>
      </c>
      <c r="S352" s="2">
        <f>IF(tblChecks[[#This Row],[AnyError]]="ERROR",1,0)</f>
        <v>0</v>
      </c>
      <c r="T352" s="2">
        <f>IF(tblChecks[[#This Row],[MissingStreet]]="MISSING",1,0)</f>
        <v>0</v>
      </c>
      <c r="U352" t="str">
        <f t="shared" si="40"/>
        <v>OK</v>
      </c>
    </row>
    <row r="353" spans="1:21" x14ac:dyDescent="0.3">
      <c r="A353" s="1" t="str">
        <f>CleanedData!F353</f>
        <v>PROP00352</v>
      </c>
      <c r="B353" s="2" t="str">
        <f>CleanedData!A353</f>
        <v>BrazilRio de Janeiro</v>
      </c>
      <c r="C353" s="2" t="str">
        <f>CleanedData!D353</f>
        <v>Brazil</v>
      </c>
      <c r="D353" s="2" t="str">
        <f>CleanedData!E353</f>
        <v>Rio de Janeiro</v>
      </c>
      <c r="E353" s="2" t="str">
        <f>CleanedData!O353</f>
        <v>Rio de Janeiro</v>
      </c>
      <c r="F353" s="2" t="str">
        <f>CleanedData!M353</f>
        <v/>
      </c>
      <c r="G353" s="2" t="str">
        <f>CleanedData!B353</f>
        <v>28698</v>
      </c>
      <c r="H353" s="2" t="str">
        <f>CleanedData!C353</f>
        <v>+13-374861883</v>
      </c>
      <c r="I353" s="2" t="str">
        <f>CleanedData!G353</f>
        <v>Inactive</v>
      </c>
      <c r="J353" s="14">
        <f>CleanedData!H353</f>
        <v>45877</v>
      </c>
      <c r="K353" s="2" t="str">
        <f t="shared" si="41"/>
        <v>MISSING</v>
      </c>
      <c r="L353" s="2" t="str">
        <f t="shared" si="42"/>
        <v>OK</v>
      </c>
      <c r="M353" s="2" t="str">
        <f t="shared" si="43"/>
        <v>OK</v>
      </c>
      <c r="N353" s="2" t="str">
        <f t="shared" si="44"/>
        <v>MATCH</v>
      </c>
      <c r="O353" s="2" t="str">
        <f t="shared" si="45"/>
        <v>ERROR</v>
      </c>
      <c r="P353" s="2">
        <f t="shared" si="46"/>
        <v>1</v>
      </c>
      <c r="Q353" s="2" t="str">
        <f t="shared" si="47"/>
        <v>2025-08</v>
      </c>
      <c r="R353" s="3" t="s">
        <v>16</v>
      </c>
      <c r="S353" s="2">
        <f>IF(tblChecks[[#This Row],[AnyError]]="ERROR",1,0)</f>
        <v>1</v>
      </c>
      <c r="T353" s="2">
        <f>IF(tblChecks[[#This Row],[MissingStreet]]="MISSING",1,0)</f>
        <v>1</v>
      </c>
      <c r="U353" t="str">
        <f t="shared" si="40"/>
        <v>MissingStreet</v>
      </c>
    </row>
    <row r="354" spans="1:21" x14ac:dyDescent="0.3">
      <c r="A354" s="1" t="str">
        <f>CleanedData!F354</f>
        <v>PROP00353</v>
      </c>
      <c r="B354" s="2" t="str">
        <f>CleanedData!A354</f>
        <v>UK, London</v>
      </c>
      <c r="C354" s="2" t="str">
        <f>CleanedData!D354</f>
        <v>UK</v>
      </c>
      <c r="D354" s="2" t="str">
        <f>CleanedData!E354</f>
        <v>London</v>
      </c>
      <c r="E354" s="2" t="str">
        <f>CleanedData!O354</f>
        <v>London</v>
      </c>
      <c r="F354" s="2" t="str">
        <f>CleanedData!M354</f>
        <v>London</v>
      </c>
      <c r="G354" s="2" t="str">
        <f>CleanedData!B354</f>
        <v>21132</v>
      </c>
      <c r="H354" s="2" t="str">
        <f>CleanedData!C354</f>
        <v>+53-802440237</v>
      </c>
      <c r="I354" s="2" t="str">
        <f>CleanedData!G354</f>
        <v>Inactive</v>
      </c>
      <c r="J354" s="14">
        <f>CleanedData!H354</f>
        <v>45893</v>
      </c>
      <c r="K354" s="2" t="str">
        <f t="shared" si="41"/>
        <v>OK</v>
      </c>
      <c r="L354" s="2" t="str">
        <f t="shared" si="42"/>
        <v>OK</v>
      </c>
      <c r="M354" s="2" t="str">
        <f t="shared" si="43"/>
        <v>OK</v>
      </c>
      <c r="N354" s="2" t="str">
        <f t="shared" si="44"/>
        <v>MATCH</v>
      </c>
      <c r="O354" s="2" t="str">
        <f t="shared" si="45"/>
        <v>OK</v>
      </c>
      <c r="P354" s="2">
        <f t="shared" si="46"/>
        <v>0</v>
      </c>
      <c r="Q354" s="2" t="str">
        <f t="shared" si="47"/>
        <v>2025-08</v>
      </c>
      <c r="R354" s="3" t="s">
        <v>54</v>
      </c>
      <c r="S354" s="2">
        <f>IF(tblChecks[[#This Row],[AnyError]]="ERROR",1,0)</f>
        <v>0</v>
      </c>
      <c r="T354" s="2">
        <f>IF(tblChecks[[#This Row],[MissingStreet]]="MISSING",1,0)</f>
        <v>0</v>
      </c>
      <c r="U354" t="str">
        <f t="shared" si="40"/>
        <v>OK</v>
      </c>
    </row>
    <row r="355" spans="1:21" x14ac:dyDescent="0.3">
      <c r="A355" s="1" t="str">
        <f>CleanedData!F355</f>
        <v>PROP00354</v>
      </c>
      <c r="B355" s="2" t="str">
        <f>CleanedData!A355</f>
        <v>Germany, Hamburg</v>
      </c>
      <c r="C355" s="2" t="str">
        <f>CleanedData!D355</f>
        <v>Germany</v>
      </c>
      <c r="D355" s="2" t="str">
        <f>CleanedData!E355</f>
        <v>Hamburg</v>
      </c>
      <c r="E355" s="2" t="str">
        <f>CleanedData!O355</f>
        <v>Hamburg</v>
      </c>
      <c r="F355" s="2" t="str">
        <f>CleanedData!M355</f>
        <v>Hamburg</v>
      </c>
      <c r="G355" s="2" t="str">
        <f>CleanedData!B355</f>
        <v>74896</v>
      </c>
      <c r="H355" s="2" t="str">
        <f>CleanedData!C355</f>
        <v>+32-360341836</v>
      </c>
      <c r="I355" s="2" t="str">
        <f>CleanedData!G355</f>
        <v>Active</v>
      </c>
      <c r="J355" s="14">
        <f>CleanedData!H355</f>
        <v>45113</v>
      </c>
      <c r="K355" s="2" t="str">
        <f t="shared" si="41"/>
        <v>OK</v>
      </c>
      <c r="L355" s="2" t="str">
        <f t="shared" si="42"/>
        <v>OK</v>
      </c>
      <c r="M355" s="2" t="str">
        <f t="shared" si="43"/>
        <v>OK</v>
      </c>
      <c r="N355" s="2" t="str">
        <f t="shared" si="44"/>
        <v>MATCH</v>
      </c>
      <c r="O355" s="2" t="str">
        <f t="shared" si="45"/>
        <v>OK</v>
      </c>
      <c r="P355" s="2">
        <f t="shared" si="46"/>
        <v>0</v>
      </c>
      <c r="Q355" s="2" t="str">
        <f t="shared" si="47"/>
        <v>2023-07</v>
      </c>
      <c r="R355" s="3" t="s">
        <v>23</v>
      </c>
      <c r="S355" s="2">
        <f>IF(tblChecks[[#This Row],[AnyError]]="ERROR",1,0)</f>
        <v>0</v>
      </c>
      <c r="T355" s="2">
        <f>IF(tblChecks[[#This Row],[MissingStreet]]="MISSING",1,0)</f>
        <v>0</v>
      </c>
      <c r="U355" t="str">
        <f t="shared" si="40"/>
        <v>OK</v>
      </c>
    </row>
    <row r="356" spans="1:21" x14ac:dyDescent="0.3">
      <c r="A356" s="1" t="str">
        <f>CleanedData!F356</f>
        <v>PROP00355</v>
      </c>
      <c r="B356" s="2" t="str">
        <f>CleanedData!A356</f>
        <v>FranceToulouse</v>
      </c>
      <c r="C356" s="2" t="str">
        <f>CleanedData!D356</f>
        <v>France</v>
      </c>
      <c r="D356" s="2" t="str">
        <f>CleanedData!E356</f>
        <v>Toulouse</v>
      </c>
      <c r="E356" s="2" t="str">
        <f>CleanedData!O356</f>
        <v>Toulouse</v>
      </c>
      <c r="F356" s="2" t="str">
        <f>CleanedData!M356</f>
        <v/>
      </c>
      <c r="G356" s="2" t="str">
        <f>CleanedData!B356</f>
        <v>21133</v>
      </c>
      <c r="H356" s="2" t="str">
        <f>CleanedData!C356</f>
        <v>+50-839475904</v>
      </c>
      <c r="I356" s="2" t="str">
        <f>CleanedData!G356</f>
        <v>Active</v>
      </c>
      <c r="J356" s="14">
        <f>CleanedData!H356</f>
        <v>45114</v>
      </c>
      <c r="K356" s="2" t="str">
        <f t="shared" si="41"/>
        <v>MISSING</v>
      </c>
      <c r="L356" s="2" t="str">
        <f t="shared" si="42"/>
        <v>OK</v>
      </c>
      <c r="M356" s="2" t="str">
        <f t="shared" si="43"/>
        <v>OK</v>
      </c>
      <c r="N356" s="2" t="str">
        <f t="shared" si="44"/>
        <v>MATCH</v>
      </c>
      <c r="O356" s="2" t="str">
        <f t="shared" si="45"/>
        <v>ERROR</v>
      </c>
      <c r="P356" s="2">
        <f t="shared" si="46"/>
        <v>1</v>
      </c>
      <c r="Q356" s="2" t="str">
        <f t="shared" si="47"/>
        <v>2023-07</v>
      </c>
      <c r="R356" s="3" t="s">
        <v>16</v>
      </c>
      <c r="S356" s="2">
        <f>IF(tblChecks[[#This Row],[AnyError]]="ERROR",1,0)</f>
        <v>1</v>
      </c>
      <c r="T356" s="2">
        <f>IF(tblChecks[[#This Row],[MissingStreet]]="MISSING",1,0)</f>
        <v>1</v>
      </c>
      <c r="U356" t="str">
        <f t="shared" si="40"/>
        <v>MissingStreet</v>
      </c>
    </row>
    <row r="357" spans="1:21" x14ac:dyDescent="0.3">
      <c r="A357" s="1" t="str">
        <f>CleanedData!F357</f>
        <v>PROP00356</v>
      </c>
      <c r="B357" s="2" t="str">
        <f>CleanedData!A357</f>
        <v>USAHouston, USA</v>
      </c>
      <c r="C357" s="2" t="str">
        <f>CleanedData!D357</f>
        <v>USA</v>
      </c>
      <c r="D357" s="2" t="str">
        <f>CleanedData!E357</f>
        <v>Houston</v>
      </c>
      <c r="E357" s="2" t="str">
        <f>CleanedData!O357</f>
        <v>Houston</v>
      </c>
      <c r="F357" s="2" t="str">
        <f>CleanedData!M357</f>
        <v>USA</v>
      </c>
      <c r="G357" s="2" t="str">
        <f>CleanedData!B357</f>
        <v>58580</v>
      </c>
      <c r="H357" s="2" t="str">
        <f>CleanedData!C357</f>
        <v>+60-504486149</v>
      </c>
      <c r="I357" s="2" t="str">
        <f>CleanedData!G357</f>
        <v>Inactive</v>
      </c>
      <c r="J357" s="14">
        <f>CleanedData!H357</f>
        <v>45785</v>
      </c>
      <c r="K357" s="2" t="str">
        <f t="shared" si="41"/>
        <v>OK</v>
      </c>
      <c r="L357" s="2" t="str">
        <f t="shared" si="42"/>
        <v>OK</v>
      </c>
      <c r="M357" s="2" t="str">
        <f t="shared" si="43"/>
        <v>OK</v>
      </c>
      <c r="N357" s="2" t="str">
        <f t="shared" si="44"/>
        <v>MATCH</v>
      </c>
      <c r="O357" s="2" t="str">
        <f t="shared" si="45"/>
        <v>OK</v>
      </c>
      <c r="P357" s="2">
        <f t="shared" si="46"/>
        <v>0</v>
      </c>
      <c r="Q357" s="2" t="str">
        <f t="shared" si="47"/>
        <v>2025-05</v>
      </c>
      <c r="R357" s="3" t="s">
        <v>54</v>
      </c>
      <c r="S357" s="2">
        <f>IF(tblChecks[[#This Row],[AnyError]]="ERROR",1,0)</f>
        <v>0</v>
      </c>
      <c r="T357" s="2">
        <f>IF(tblChecks[[#This Row],[MissingStreet]]="MISSING",1,0)</f>
        <v>0</v>
      </c>
      <c r="U357" t="str">
        <f t="shared" si="40"/>
        <v>OK</v>
      </c>
    </row>
    <row r="358" spans="1:21" x14ac:dyDescent="0.3">
      <c r="A358" s="1" t="str">
        <f>CleanedData!F358</f>
        <v>PROP00357</v>
      </c>
      <c r="B358" s="2" t="str">
        <f>CleanedData!A358</f>
        <v>Australia, Perth</v>
      </c>
      <c r="C358" s="2" t="str">
        <f>CleanedData!D358</f>
        <v>Australia</v>
      </c>
      <c r="D358" s="2" t="str">
        <f>CleanedData!E358</f>
        <v>Perth</v>
      </c>
      <c r="E358" s="2" t="str">
        <f>CleanedData!O358</f>
        <v>Perth</v>
      </c>
      <c r="F358" s="2" t="str">
        <f>CleanedData!M358</f>
        <v>Perth</v>
      </c>
      <c r="G358" s="2" t="str">
        <f>CleanedData!B358</f>
        <v>54788</v>
      </c>
      <c r="H358" s="2" t="str">
        <f>CleanedData!C358</f>
        <v>+36-723306187</v>
      </c>
      <c r="I358" s="2" t="str">
        <f>CleanedData!G358</f>
        <v>Inactive</v>
      </c>
      <c r="J358" s="14">
        <f>CleanedData!H358</f>
        <v>45044</v>
      </c>
      <c r="K358" s="2" t="str">
        <f t="shared" si="41"/>
        <v>OK</v>
      </c>
      <c r="L358" s="2" t="str">
        <f t="shared" si="42"/>
        <v>OK</v>
      </c>
      <c r="M358" s="2" t="str">
        <f t="shared" si="43"/>
        <v>OK</v>
      </c>
      <c r="N358" s="2" t="str">
        <f t="shared" si="44"/>
        <v>MATCH</v>
      </c>
      <c r="O358" s="2" t="str">
        <f t="shared" si="45"/>
        <v>OK</v>
      </c>
      <c r="P358" s="2">
        <f t="shared" si="46"/>
        <v>0</v>
      </c>
      <c r="Q358" s="2" t="str">
        <f t="shared" si="47"/>
        <v>2023-04</v>
      </c>
      <c r="R358" s="3" t="s">
        <v>39</v>
      </c>
      <c r="S358" s="2">
        <f>IF(tblChecks[[#This Row],[AnyError]]="ERROR",1,0)</f>
        <v>0</v>
      </c>
      <c r="T358" s="2">
        <f>IF(tblChecks[[#This Row],[MissingStreet]]="MISSING",1,0)</f>
        <v>0</v>
      </c>
      <c r="U358" t="str">
        <f t="shared" si="40"/>
        <v>OK</v>
      </c>
    </row>
    <row r="359" spans="1:21" x14ac:dyDescent="0.3">
      <c r="A359" s="1" t="str">
        <f>CleanedData!F359</f>
        <v>PROP00358</v>
      </c>
      <c r="B359" s="2" t="str">
        <f>CleanedData!A359</f>
        <v>Lewis Passage 280, Houston</v>
      </c>
      <c r="C359" s="2" t="str">
        <f>CleanedData!D359</f>
        <v>USA</v>
      </c>
      <c r="D359" s="2" t="str">
        <f>CleanedData!E359</f>
        <v>Houston</v>
      </c>
      <c r="E359" s="2" t="str">
        <f>CleanedData!O359</f>
        <v>Houston</v>
      </c>
      <c r="F359" s="2" t="str">
        <f>CleanedData!M359</f>
        <v>Lewis Passage 280</v>
      </c>
      <c r="G359" s="2" t="str">
        <f>CleanedData!B359</f>
        <v>15419</v>
      </c>
      <c r="H359" s="2" t="str">
        <f>CleanedData!C359</f>
        <v>+56-432358396</v>
      </c>
      <c r="I359" s="2" t="str">
        <f>CleanedData!G359</f>
        <v>Inactive</v>
      </c>
      <c r="J359" s="14">
        <f>CleanedData!H359</f>
        <v>45921</v>
      </c>
      <c r="K359" s="2" t="str">
        <f t="shared" si="41"/>
        <v>OK</v>
      </c>
      <c r="L359" s="2" t="str">
        <f t="shared" si="42"/>
        <v>OK</v>
      </c>
      <c r="M359" s="2" t="str">
        <f t="shared" si="43"/>
        <v>OK</v>
      </c>
      <c r="N359" s="2" t="str">
        <f t="shared" si="44"/>
        <v>MATCH</v>
      </c>
      <c r="O359" s="2" t="str">
        <f t="shared" si="45"/>
        <v>OK</v>
      </c>
      <c r="P359" s="2">
        <f t="shared" si="46"/>
        <v>0</v>
      </c>
      <c r="Q359" s="2" t="str">
        <f t="shared" si="47"/>
        <v>2025-09</v>
      </c>
      <c r="R359" s="3" t="s">
        <v>23</v>
      </c>
      <c r="S359" s="2">
        <f>IF(tblChecks[[#This Row],[AnyError]]="ERROR",1,0)</f>
        <v>0</v>
      </c>
      <c r="T359" s="2">
        <f>IF(tblChecks[[#This Row],[MissingStreet]]="MISSING",1,0)</f>
        <v>0</v>
      </c>
      <c r="U359" t="str">
        <f t="shared" si="40"/>
        <v>OK</v>
      </c>
    </row>
    <row r="360" spans="1:21" x14ac:dyDescent="0.3">
      <c r="A360" s="1" t="str">
        <f>CleanedData!F360</f>
        <v>PROP00359</v>
      </c>
      <c r="B360" s="2" t="str">
        <f>CleanedData!A360</f>
        <v>FranceLyonJordan Haven126</v>
      </c>
      <c r="C360" s="2" t="str">
        <f>CleanedData!D360</f>
        <v>France</v>
      </c>
      <c r="D360" s="2" t="str">
        <f>CleanedData!E360</f>
        <v>Lyon</v>
      </c>
      <c r="E360" s="2" t="str">
        <f>CleanedData!O360</f>
        <v>Lyon</v>
      </c>
      <c r="F360" s="2" t="str">
        <f>CleanedData!M360</f>
        <v>FranceLyonJordan Haven126</v>
      </c>
      <c r="G360" s="2" t="str">
        <f>CleanedData!B360</f>
        <v>89396</v>
      </c>
      <c r="H360" s="2" t="str">
        <f>CleanedData!C360</f>
        <v>+48-456026814</v>
      </c>
      <c r="I360" s="2" t="str">
        <f>CleanedData!G360</f>
        <v>Active</v>
      </c>
      <c r="J360" s="14">
        <f>CleanedData!H360</f>
        <v>44979</v>
      </c>
      <c r="K360" s="2" t="str">
        <f t="shared" si="41"/>
        <v>OK</v>
      </c>
      <c r="L360" s="2" t="str">
        <f t="shared" si="42"/>
        <v>OK</v>
      </c>
      <c r="M360" s="2" t="str">
        <f t="shared" si="43"/>
        <v>OK</v>
      </c>
      <c r="N360" s="2" t="str">
        <f t="shared" si="44"/>
        <v>MATCH</v>
      </c>
      <c r="O360" s="2" t="str">
        <f t="shared" si="45"/>
        <v>OK</v>
      </c>
      <c r="P360" s="2">
        <f t="shared" si="46"/>
        <v>0</v>
      </c>
      <c r="Q360" s="2" t="str">
        <f t="shared" si="47"/>
        <v>2023-02</v>
      </c>
      <c r="R360" s="3" t="s">
        <v>33</v>
      </c>
      <c r="S360" s="2">
        <f>IF(tblChecks[[#This Row],[AnyError]]="ERROR",1,0)</f>
        <v>0</v>
      </c>
      <c r="T360" s="2">
        <f>IF(tblChecks[[#This Row],[MissingStreet]]="MISSING",1,0)</f>
        <v>0</v>
      </c>
      <c r="U360" t="str">
        <f t="shared" si="40"/>
        <v>OK</v>
      </c>
    </row>
    <row r="361" spans="1:21" x14ac:dyDescent="0.3">
      <c r="A361" s="1" t="str">
        <f>CleanedData!F361</f>
        <v>PROP00360</v>
      </c>
      <c r="B361" s="2" t="str">
        <f>CleanedData!A361</f>
        <v>Rose Inlet 229, Brazil, São Paulo</v>
      </c>
      <c r="C361" s="2" t="str">
        <f>CleanedData!D361</f>
        <v>Brazil</v>
      </c>
      <c r="D361" s="2" t="str">
        <f>CleanedData!E361</f>
        <v>São Paulo</v>
      </c>
      <c r="E361" s="2" t="str">
        <f>CleanedData!O361</f>
        <v>São Paulo</v>
      </c>
      <c r="F361" s="2" t="str">
        <f>CleanedData!M361</f>
        <v>Rose Inlet 229</v>
      </c>
      <c r="G361" s="2" t="str">
        <f>CleanedData!B361</f>
        <v>6453</v>
      </c>
      <c r="H361" s="2" t="str">
        <f>CleanedData!C361</f>
        <v>+49-226515580</v>
      </c>
      <c r="I361" s="2" t="str">
        <f>CleanedData!G361</f>
        <v>Inactive</v>
      </c>
      <c r="J361" s="14">
        <f>CleanedData!H361</f>
        <v>44955</v>
      </c>
      <c r="K361" s="2" t="str">
        <f t="shared" si="41"/>
        <v>OK</v>
      </c>
      <c r="L361" s="2" t="str">
        <f t="shared" si="42"/>
        <v>OK</v>
      </c>
      <c r="M361" s="2" t="str">
        <f t="shared" si="43"/>
        <v>OK</v>
      </c>
      <c r="N361" s="2" t="str">
        <f t="shared" si="44"/>
        <v>MATCH</v>
      </c>
      <c r="O361" s="2" t="str">
        <f t="shared" si="45"/>
        <v>OK</v>
      </c>
      <c r="P361" s="2">
        <f t="shared" si="46"/>
        <v>0</v>
      </c>
      <c r="Q361" s="2" t="str">
        <f t="shared" si="47"/>
        <v>2023-01</v>
      </c>
      <c r="R361" s="3" t="s">
        <v>54</v>
      </c>
      <c r="S361" s="2">
        <f>IF(tblChecks[[#This Row],[AnyError]]="ERROR",1,0)</f>
        <v>0</v>
      </c>
      <c r="T361" s="2">
        <f>IF(tblChecks[[#This Row],[MissingStreet]]="MISSING",1,0)</f>
        <v>0</v>
      </c>
      <c r="U361" t="str">
        <f t="shared" si="40"/>
        <v>OK</v>
      </c>
    </row>
    <row r="362" spans="1:21" x14ac:dyDescent="0.3">
      <c r="A362" s="1" t="str">
        <f>CleanedData!F362</f>
        <v>PROP00361</v>
      </c>
      <c r="B362" s="2" t="str">
        <f>CleanedData!A362</f>
        <v>Japan, Osaka</v>
      </c>
      <c r="C362" s="2" t="str">
        <f>CleanedData!D362</f>
        <v>Japan</v>
      </c>
      <c r="D362" s="2" t="str">
        <f>CleanedData!E362</f>
        <v>Osaka</v>
      </c>
      <c r="E362" s="2" t="str">
        <f>CleanedData!O362</f>
        <v>Osaka</v>
      </c>
      <c r="F362" s="2" t="str">
        <f>CleanedData!M362</f>
        <v>Osaka</v>
      </c>
      <c r="G362" s="2" t="str">
        <f>CleanedData!B362</f>
        <v>7681</v>
      </c>
      <c r="H362" s="2" t="str">
        <f>CleanedData!C362</f>
        <v>+97-811455790</v>
      </c>
      <c r="I362" s="2" t="str">
        <f>CleanedData!G362</f>
        <v>Inactive</v>
      </c>
      <c r="J362" s="14">
        <f>CleanedData!H362</f>
        <v>45061</v>
      </c>
      <c r="K362" s="2" t="str">
        <f t="shared" si="41"/>
        <v>OK</v>
      </c>
      <c r="L362" s="2" t="str">
        <f t="shared" si="42"/>
        <v>OK</v>
      </c>
      <c r="M362" s="2" t="str">
        <f t="shared" si="43"/>
        <v>OK</v>
      </c>
      <c r="N362" s="2" t="str">
        <f t="shared" si="44"/>
        <v>MATCH</v>
      </c>
      <c r="O362" s="2" t="str">
        <f t="shared" si="45"/>
        <v>OK</v>
      </c>
      <c r="P362" s="2">
        <f t="shared" si="46"/>
        <v>0</v>
      </c>
      <c r="Q362" s="2" t="str">
        <f t="shared" si="47"/>
        <v>2023-05</v>
      </c>
      <c r="R362" s="3" t="s">
        <v>23</v>
      </c>
      <c r="S362" s="2">
        <f>IF(tblChecks[[#This Row],[AnyError]]="ERROR",1,0)</f>
        <v>0</v>
      </c>
      <c r="T362" s="2">
        <f>IF(tblChecks[[#This Row],[MissingStreet]]="MISSING",1,0)</f>
        <v>0</v>
      </c>
      <c r="U362" t="str">
        <f t="shared" si="40"/>
        <v>OK</v>
      </c>
    </row>
    <row r="363" spans="1:21" x14ac:dyDescent="0.3">
      <c r="A363" s="1" t="str">
        <f>CleanedData!F363</f>
        <v>PROP00362</v>
      </c>
      <c r="B363" s="2" t="str">
        <f>CleanedData!A363</f>
        <v>Germany, Munich</v>
      </c>
      <c r="C363" s="2" t="str">
        <f>CleanedData!D363</f>
        <v>Germany</v>
      </c>
      <c r="D363" s="2" t="str">
        <f>CleanedData!E363</f>
        <v>Munich</v>
      </c>
      <c r="E363" s="2" t="str">
        <f>CleanedData!O363</f>
        <v>Munich</v>
      </c>
      <c r="F363" s="2" t="str">
        <f>CleanedData!M363</f>
        <v>Munich</v>
      </c>
      <c r="G363" s="2" t="str">
        <f>CleanedData!B363</f>
        <v>18488</v>
      </c>
      <c r="H363" s="2" t="str">
        <f>CleanedData!C363</f>
        <v>+86-705432664</v>
      </c>
      <c r="I363" s="2" t="str">
        <f>CleanedData!G363</f>
        <v>Active</v>
      </c>
      <c r="J363" s="14">
        <f>CleanedData!H363</f>
        <v>45687</v>
      </c>
      <c r="K363" s="2" t="str">
        <f t="shared" si="41"/>
        <v>OK</v>
      </c>
      <c r="L363" s="2" t="str">
        <f t="shared" si="42"/>
        <v>OK</v>
      </c>
      <c r="M363" s="2" t="str">
        <f t="shared" si="43"/>
        <v>OK</v>
      </c>
      <c r="N363" s="2" t="str">
        <f t="shared" si="44"/>
        <v>MATCH</v>
      </c>
      <c r="O363" s="2" t="str">
        <f t="shared" si="45"/>
        <v>OK</v>
      </c>
      <c r="P363" s="2">
        <f t="shared" si="46"/>
        <v>0</v>
      </c>
      <c r="Q363" s="2" t="str">
        <f t="shared" si="47"/>
        <v>2025-01</v>
      </c>
      <c r="R363" s="3" t="s">
        <v>23</v>
      </c>
      <c r="S363" s="2">
        <f>IF(tblChecks[[#This Row],[AnyError]]="ERROR",1,0)</f>
        <v>0</v>
      </c>
      <c r="T363" s="2">
        <f>IF(tblChecks[[#This Row],[MissingStreet]]="MISSING",1,0)</f>
        <v>0</v>
      </c>
      <c r="U363" t="str">
        <f t="shared" si="40"/>
        <v>OK</v>
      </c>
    </row>
    <row r="364" spans="1:21" x14ac:dyDescent="0.3">
      <c r="A364" s="1" t="str">
        <f>CleanedData!F364</f>
        <v>PROP00363</v>
      </c>
      <c r="B364" s="2" t="str">
        <f>CleanedData!A364</f>
        <v>BrasíliaRoberts Crest18, Brazil</v>
      </c>
      <c r="C364" s="2" t="str">
        <f>CleanedData!D364</f>
        <v>Brazil</v>
      </c>
      <c r="D364" s="2" t="str">
        <f>CleanedData!E364</f>
        <v>Brasília</v>
      </c>
      <c r="E364" s="2" t="str">
        <f>CleanedData!O364</f>
        <v>Brasília</v>
      </c>
      <c r="F364" s="2" t="str">
        <f>CleanedData!M364</f>
        <v>BrasíliaRoberts Crest18</v>
      </c>
      <c r="G364" s="2" t="str">
        <f>CleanedData!B364</f>
        <v>1514</v>
      </c>
      <c r="H364" s="2" t="str">
        <f>CleanedData!C364</f>
        <v>+35-888099772</v>
      </c>
      <c r="I364" s="2" t="str">
        <f>CleanedData!G364</f>
        <v>Active</v>
      </c>
      <c r="J364" s="14">
        <f>CleanedData!H364</f>
        <v>45954</v>
      </c>
      <c r="K364" s="2" t="str">
        <f t="shared" si="41"/>
        <v>OK</v>
      </c>
      <c r="L364" s="2" t="str">
        <f t="shared" si="42"/>
        <v>OK</v>
      </c>
      <c r="M364" s="2" t="str">
        <f t="shared" si="43"/>
        <v>OK</v>
      </c>
      <c r="N364" s="2" t="str">
        <f t="shared" si="44"/>
        <v>MATCH</v>
      </c>
      <c r="O364" s="2" t="str">
        <f t="shared" si="45"/>
        <v>OK</v>
      </c>
      <c r="P364" s="2">
        <f t="shared" si="46"/>
        <v>0</v>
      </c>
      <c r="Q364" s="2" t="str">
        <f t="shared" si="47"/>
        <v>2025-10</v>
      </c>
      <c r="R364" s="3" t="s">
        <v>16</v>
      </c>
      <c r="S364" s="2">
        <f>IF(tblChecks[[#This Row],[AnyError]]="ERROR",1,0)</f>
        <v>0</v>
      </c>
      <c r="T364" s="2">
        <f>IF(tblChecks[[#This Row],[MissingStreet]]="MISSING",1,0)</f>
        <v>0</v>
      </c>
      <c r="U364" t="str">
        <f t="shared" si="40"/>
        <v>OK</v>
      </c>
    </row>
    <row r="365" spans="1:21" x14ac:dyDescent="0.3">
      <c r="A365" s="1" t="str">
        <f>CleanedData!F365</f>
        <v>PROP00364</v>
      </c>
      <c r="B365" s="2" t="str">
        <f>CleanedData!A365</f>
        <v>Brazil, Brasília, Burgess Extensions 27</v>
      </c>
      <c r="C365" s="2" t="str">
        <f>CleanedData!D365</f>
        <v>Brazil</v>
      </c>
      <c r="D365" s="2" t="str">
        <f>CleanedData!E365</f>
        <v>Brasília</v>
      </c>
      <c r="E365" s="2" t="str">
        <f>CleanedData!O365</f>
        <v>Brasília</v>
      </c>
      <c r="F365" s="2" t="str">
        <f>CleanedData!M365</f>
        <v>Burgess Extensions 27</v>
      </c>
      <c r="G365" s="2" t="str">
        <f>CleanedData!B365</f>
        <v>17433</v>
      </c>
      <c r="H365" s="2" t="str">
        <f>CleanedData!C365</f>
        <v>+46-324127035</v>
      </c>
      <c r="I365" s="2" t="str">
        <f>CleanedData!G365</f>
        <v>Inactive</v>
      </c>
      <c r="J365" s="14">
        <f>CleanedData!H365</f>
        <v>45052</v>
      </c>
      <c r="K365" s="2" t="str">
        <f t="shared" si="41"/>
        <v>OK</v>
      </c>
      <c r="L365" s="2" t="str">
        <f t="shared" si="42"/>
        <v>OK</v>
      </c>
      <c r="M365" s="2" t="str">
        <f t="shared" si="43"/>
        <v>OK</v>
      </c>
      <c r="N365" s="2" t="str">
        <f t="shared" si="44"/>
        <v>MATCH</v>
      </c>
      <c r="O365" s="2" t="str">
        <f t="shared" si="45"/>
        <v>OK</v>
      </c>
      <c r="P365" s="2">
        <f t="shared" si="46"/>
        <v>0</v>
      </c>
      <c r="Q365" s="2" t="str">
        <f t="shared" si="47"/>
        <v>2023-05</v>
      </c>
      <c r="R365" s="3" t="s">
        <v>54</v>
      </c>
      <c r="S365" s="2">
        <f>IF(tblChecks[[#This Row],[AnyError]]="ERROR",1,0)</f>
        <v>0</v>
      </c>
      <c r="T365" s="2">
        <f>IF(tblChecks[[#This Row],[MissingStreet]]="MISSING",1,0)</f>
        <v>0</v>
      </c>
      <c r="U365" t="str">
        <f t="shared" si="40"/>
        <v>OK</v>
      </c>
    </row>
    <row r="366" spans="1:21" x14ac:dyDescent="0.3">
      <c r="A366" s="1" t="str">
        <f>CleanedData!F366</f>
        <v>PROP00365</v>
      </c>
      <c r="B366" s="2" t="str">
        <f>CleanedData!A366</f>
        <v>Italy, Milan</v>
      </c>
      <c r="C366" s="2" t="str">
        <f>CleanedData!D366</f>
        <v>Italy</v>
      </c>
      <c r="D366" s="2" t="str">
        <f>CleanedData!E366</f>
        <v>Milan</v>
      </c>
      <c r="E366" s="2" t="str">
        <f>CleanedData!O366</f>
        <v>Milan</v>
      </c>
      <c r="F366" s="2" t="str">
        <f>CleanedData!M366</f>
        <v>Milan</v>
      </c>
      <c r="G366" s="2" t="str">
        <f>CleanedData!B366</f>
        <v>66071</v>
      </c>
      <c r="H366" s="2" t="str">
        <f>CleanedData!C366</f>
        <v>+43-838162581</v>
      </c>
      <c r="I366" s="2" t="str">
        <f>CleanedData!G366</f>
        <v>Active</v>
      </c>
      <c r="J366" s="14">
        <f>CleanedData!H366</f>
        <v>44960</v>
      </c>
      <c r="K366" s="2" t="str">
        <f t="shared" si="41"/>
        <v>OK</v>
      </c>
      <c r="L366" s="2" t="str">
        <f t="shared" si="42"/>
        <v>OK</v>
      </c>
      <c r="M366" s="2" t="str">
        <f t="shared" si="43"/>
        <v>OK</v>
      </c>
      <c r="N366" s="2" t="str">
        <f t="shared" si="44"/>
        <v>MATCH</v>
      </c>
      <c r="O366" s="2" t="str">
        <f t="shared" si="45"/>
        <v>OK</v>
      </c>
      <c r="P366" s="2">
        <f t="shared" si="46"/>
        <v>0</v>
      </c>
      <c r="Q366" s="2" t="str">
        <f t="shared" si="47"/>
        <v>2023-02</v>
      </c>
      <c r="R366" s="3" t="s">
        <v>23</v>
      </c>
      <c r="S366" s="2">
        <f>IF(tblChecks[[#This Row],[AnyError]]="ERROR",1,0)</f>
        <v>0</v>
      </c>
      <c r="T366" s="2">
        <f>IF(tblChecks[[#This Row],[MissingStreet]]="MISSING",1,0)</f>
        <v>0</v>
      </c>
      <c r="U366" t="str">
        <f t="shared" si="40"/>
        <v>OK</v>
      </c>
    </row>
    <row r="367" spans="1:21" x14ac:dyDescent="0.3">
      <c r="A367" s="1" t="str">
        <f>CleanedData!F367</f>
        <v>PROP00366</v>
      </c>
      <c r="B367" s="2" t="str">
        <f>CleanedData!A367</f>
        <v>Jones Wall 178, Italy, Turin</v>
      </c>
      <c r="C367" s="2" t="str">
        <f>CleanedData!D367</f>
        <v>Italy</v>
      </c>
      <c r="D367" s="2" t="str">
        <f>CleanedData!E367</f>
        <v>Turin</v>
      </c>
      <c r="E367" s="2" t="str">
        <f>CleanedData!O367</f>
        <v>Turin</v>
      </c>
      <c r="F367" s="2" t="str">
        <f>CleanedData!M367</f>
        <v>Jones Wall 178</v>
      </c>
      <c r="G367" s="2" t="str">
        <f>CleanedData!B367</f>
        <v>97761</v>
      </c>
      <c r="H367" s="2" t="str">
        <f>CleanedData!C367</f>
        <v>+92-650896176</v>
      </c>
      <c r="I367" s="2" t="str">
        <f>CleanedData!G367</f>
        <v>Active</v>
      </c>
      <c r="J367" s="14">
        <f>CleanedData!H367</f>
        <v>45891</v>
      </c>
      <c r="K367" s="2" t="str">
        <f t="shared" si="41"/>
        <v>OK</v>
      </c>
      <c r="L367" s="2" t="str">
        <f t="shared" si="42"/>
        <v>OK</v>
      </c>
      <c r="M367" s="2" t="str">
        <f t="shared" si="43"/>
        <v>OK</v>
      </c>
      <c r="N367" s="2" t="str">
        <f t="shared" si="44"/>
        <v>MATCH</v>
      </c>
      <c r="O367" s="2" t="str">
        <f t="shared" si="45"/>
        <v>OK</v>
      </c>
      <c r="P367" s="2">
        <f t="shared" si="46"/>
        <v>0</v>
      </c>
      <c r="Q367" s="2" t="str">
        <f t="shared" si="47"/>
        <v>2025-08</v>
      </c>
      <c r="R367" s="3" t="s">
        <v>54</v>
      </c>
      <c r="S367" s="2">
        <f>IF(tblChecks[[#This Row],[AnyError]]="ERROR",1,0)</f>
        <v>0</v>
      </c>
      <c r="T367" s="2">
        <f>IF(tblChecks[[#This Row],[MissingStreet]]="MISSING",1,0)</f>
        <v>0</v>
      </c>
      <c r="U367" t="str">
        <f t="shared" si="40"/>
        <v>OK</v>
      </c>
    </row>
    <row r="368" spans="1:21" x14ac:dyDescent="0.3">
      <c r="A368" s="1" t="str">
        <f>CleanedData!F368</f>
        <v>PROP00367</v>
      </c>
      <c r="B368" s="2" t="str">
        <f>CleanedData!A368</f>
        <v>Japan, Osaka</v>
      </c>
      <c r="C368" s="2" t="str">
        <f>CleanedData!D368</f>
        <v>Japan</v>
      </c>
      <c r="D368" s="2" t="str">
        <f>CleanedData!E368</f>
        <v>Osaka</v>
      </c>
      <c r="E368" s="2" t="str">
        <f>CleanedData!O368</f>
        <v>Osaka</v>
      </c>
      <c r="F368" s="2" t="str">
        <f>CleanedData!M368</f>
        <v>Osaka</v>
      </c>
      <c r="G368" s="2" t="str">
        <f>CleanedData!B368</f>
        <v>10706</v>
      </c>
      <c r="H368" s="2" t="str">
        <f>CleanedData!C368</f>
        <v>+45-571129094</v>
      </c>
      <c r="I368" s="2" t="str">
        <f>CleanedData!G368</f>
        <v>Active</v>
      </c>
      <c r="J368" s="14">
        <f>CleanedData!H368</f>
        <v>45572</v>
      </c>
      <c r="K368" s="2" t="str">
        <f t="shared" si="41"/>
        <v>OK</v>
      </c>
      <c r="L368" s="2" t="str">
        <f t="shared" si="42"/>
        <v>OK</v>
      </c>
      <c r="M368" s="2" t="str">
        <f t="shared" si="43"/>
        <v>OK</v>
      </c>
      <c r="N368" s="2" t="str">
        <f t="shared" si="44"/>
        <v>MATCH</v>
      </c>
      <c r="O368" s="2" t="str">
        <f t="shared" si="45"/>
        <v>OK</v>
      </c>
      <c r="P368" s="2">
        <f t="shared" si="46"/>
        <v>0</v>
      </c>
      <c r="Q368" s="2" t="str">
        <f t="shared" si="47"/>
        <v>2024-10</v>
      </c>
      <c r="R368" s="3" t="s">
        <v>39</v>
      </c>
      <c r="S368" s="2">
        <f>IF(tblChecks[[#This Row],[AnyError]]="ERROR",1,0)</f>
        <v>0</v>
      </c>
      <c r="T368" s="2">
        <f>IF(tblChecks[[#This Row],[MissingStreet]]="MISSING",1,0)</f>
        <v>0</v>
      </c>
      <c r="U368" t="str">
        <f t="shared" si="40"/>
        <v>OK</v>
      </c>
    </row>
    <row r="369" spans="1:21" x14ac:dyDescent="0.3">
      <c r="A369" s="1" t="str">
        <f>CleanedData!F369</f>
        <v>PROP00368</v>
      </c>
      <c r="B369" s="2" t="str">
        <f>CleanedData!A369</f>
        <v>Germany, Hamburg, Johnston Ports 70</v>
      </c>
      <c r="C369" s="2" t="str">
        <f>CleanedData!D369</f>
        <v>Germany</v>
      </c>
      <c r="D369" s="2" t="str">
        <f>CleanedData!E369</f>
        <v>Hamburg</v>
      </c>
      <c r="E369" s="2" t="str">
        <f>CleanedData!O369</f>
        <v>Hamburg</v>
      </c>
      <c r="F369" s="2" t="str">
        <f>CleanedData!M369</f>
        <v>Johnston Ports 70</v>
      </c>
      <c r="G369" s="2" t="str">
        <f>CleanedData!B369</f>
        <v>53509</v>
      </c>
      <c r="H369" s="2" t="str">
        <f>CleanedData!C369</f>
        <v>+75-230199688</v>
      </c>
      <c r="I369" s="2" t="str">
        <f>CleanedData!G369</f>
        <v>Inactive</v>
      </c>
      <c r="J369" s="14">
        <f>CleanedData!H369</f>
        <v>45636</v>
      </c>
      <c r="K369" s="2" t="str">
        <f t="shared" si="41"/>
        <v>OK</v>
      </c>
      <c r="L369" s="2" t="str">
        <f t="shared" si="42"/>
        <v>OK</v>
      </c>
      <c r="M369" s="2" t="str">
        <f t="shared" si="43"/>
        <v>OK</v>
      </c>
      <c r="N369" s="2" t="str">
        <f t="shared" si="44"/>
        <v>MATCH</v>
      </c>
      <c r="O369" s="2" t="str">
        <f t="shared" si="45"/>
        <v>OK</v>
      </c>
      <c r="P369" s="2">
        <f t="shared" si="46"/>
        <v>0</v>
      </c>
      <c r="Q369" s="2" t="str">
        <f t="shared" si="47"/>
        <v>2024-12</v>
      </c>
      <c r="R369" s="3" t="s">
        <v>33</v>
      </c>
      <c r="S369" s="2">
        <f>IF(tblChecks[[#This Row],[AnyError]]="ERROR",1,0)</f>
        <v>0</v>
      </c>
      <c r="T369" s="2">
        <f>IF(tblChecks[[#This Row],[MissingStreet]]="MISSING",1,0)</f>
        <v>0</v>
      </c>
      <c r="U369" t="str">
        <f t="shared" si="40"/>
        <v>OK</v>
      </c>
    </row>
    <row r="370" spans="1:21" x14ac:dyDescent="0.3">
      <c r="A370" s="1" t="str">
        <f>CleanedData!F370</f>
        <v>PROP00369</v>
      </c>
      <c r="B370" s="2" t="str">
        <f>CleanedData!A370</f>
        <v>Roberts Lodge 244, São Paulo</v>
      </c>
      <c r="C370" s="2" t="str">
        <f>CleanedData!D370</f>
        <v>Brazil</v>
      </c>
      <c r="D370" s="2" t="str">
        <f>CleanedData!E370</f>
        <v>São Paulo</v>
      </c>
      <c r="E370" s="2" t="str">
        <f>CleanedData!O370</f>
        <v>São Paulo</v>
      </c>
      <c r="F370" s="2" t="str">
        <f>CleanedData!M370</f>
        <v>Roberts Lodge 244</v>
      </c>
      <c r="G370" s="2" t="str">
        <f>CleanedData!B370</f>
        <v>3234</v>
      </c>
      <c r="H370" s="2" t="str">
        <f>CleanedData!C370</f>
        <v>+5-488928583</v>
      </c>
      <c r="I370" s="2" t="str">
        <f>CleanedData!G370</f>
        <v>Active</v>
      </c>
      <c r="J370" s="14">
        <f>CleanedData!H370</f>
        <v>45087</v>
      </c>
      <c r="K370" s="2" t="str">
        <f t="shared" si="41"/>
        <v>OK</v>
      </c>
      <c r="L370" s="2" t="str">
        <f t="shared" si="42"/>
        <v>OK</v>
      </c>
      <c r="M370" s="2" t="str">
        <f t="shared" si="43"/>
        <v>OK</v>
      </c>
      <c r="N370" s="2" t="str">
        <f t="shared" si="44"/>
        <v>MATCH</v>
      </c>
      <c r="O370" s="2" t="str">
        <f t="shared" si="45"/>
        <v>OK</v>
      </c>
      <c r="P370" s="2">
        <f t="shared" si="46"/>
        <v>0</v>
      </c>
      <c r="Q370" s="2" t="str">
        <f t="shared" si="47"/>
        <v>2023-06</v>
      </c>
      <c r="R370" s="3" t="s">
        <v>16</v>
      </c>
      <c r="S370" s="2">
        <f>IF(tblChecks[[#This Row],[AnyError]]="ERROR",1,0)</f>
        <v>0</v>
      </c>
      <c r="T370" s="2">
        <f>IF(tblChecks[[#This Row],[MissingStreet]]="MISSING",1,0)</f>
        <v>0</v>
      </c>
      <c r="U370" t="str">
        <f t="shared" si="40"/>
        <v>OK</v>
      </c>
    </row>
    <row r="371" spans="1:21" x14ac:dyDescent="0.3">
      <c r="A371" s="1" t="str">
        <f>CleanedData!F371</f>
        <v>PROP00370</v>
      </c>
      <c r="B371" s="2" t="str">
        <f>CleanedData!A371</f>
        <v>HamburgJackson River146, Germany</v>
      </c>
      <c r="C371" s="2" t="str">
        <f>CleanedData!D371</f>
        <v>Germany</v>
      </c>
      <c r="D371" s="2" t="str">
        <f>CleanedData!E371</f>
        <v>Hamburg</v>
      </c>
      <c r="E371" s="2" t="str">
        <f>CleanedData!O371</f>
        <v>Hamburg</v>
      </c>
      <c r="F371" s="2" t="str">
        <f>CleanedData!M371</f>
        <v>HamburgJackson River146</v>
      </c>
      <c r="G371" s="2" t="str">
        <f>CleanedData!B371</f>
        <v>60806</v>
      </c>
      <c r="H371" s="2" t="str">
        <f>CleanedData!C371</f>
        <v>+16-711975490</v>
      </c>
      <c r="I371" s="2" t="str">
        <f>CleanedData!G371</f>
        <v>Inactive</v>
      </c>
      <c r="J371" s="14">
        <f>CleanedData!H371</f>
        <v>45850</v>
      </c>
      <c r="K371" s="2" t="str">
        <f t="shared" si="41"/>
        <v>OK</v>
      </c>
      <c r="L371" s="2" t="str">
        <f t="shared" si="42"/>
        <v>OK</v>
      </c>
      <c r="M371" s="2" t="str">
        <f t="shared" si="43"/>
        <v>OK</v>
      </c>
      <c r="N371" s="2" t="str">
        <f t="shared" si="44"/>
        <v>MATCH</v>
      </c>
      <c r="O371" s="2" t="str">
        <f t="shared" si="45"/>
        <v>OK</v>
      </c>
      <c r="P371" s="2">
        <f t="shared" si="46"/>
        <v>0</v>
      </c>
      <c r="Q371" s="2" t="str">
        <f t="shared" si="47"/>
        <v>2025-07</v>
      </c>
      <c r="R371" s="3" t="s">
        <v>33</v>
      </c>
      <c r="S371" s="2">
        <f>IF(tblChecks[[#This Row],[AnyError]]="ERROR",1,0)</f>
        <v>0</v>
      </c>
      <c r="T371" s="2">
        <f>IF(tblChecks[[#This Row],[MissingStreet]]="MISSING",1,0)</f>
        <v>0</v>
      </c>
      <c r="U371" t="str">
        <f t="shared" si="40"/>
        <v>OK</v>
      </c>
    </row>
    <row r="372" spans="1:21" x14ac:dyDescent="0.3">
      <c r="A372" s="1" t="str">
        <f>CleanedData!F372</f>
        <v>PROP00371</v>
      </c>
      <c r="B372" s="2" t="str">
        <f>CleanedData!A372</f>
        <v>BilbaoDavis Vista1, Spain</v>
      </c>
      <c r="C372" s="2" t="str">
        <f>CleanedData!D372</f>
        <v>Spain</v>
      </c>
      <c r="D372" s="2" t="str">
        <f>CleanedData!E372</f>
        <v>Bilbao</v>
      </c>
      <c r="E372" s="2" t="str">
        <f>CleanedData!O372</f>
        <v>Bilbao</v>
      </c>
      <c r="F372" s="2" t="str">
        <f>CleanedData!M372</f>
        <v>BilbaoDavis Vista1</v>
      </c>
      <c r="G372" s="2" t="str">
        <f>CleanedData!B372</f>
        <v>14376</v>
      </c>
      <c r="H372" s="2" t="str">
        <f>CleanedData!C372</f>
        <v>+97-568356913</v>
      </c>
      <c r="I372" s="2" t="str">
        <f>CleanedData!G372</f>
        <v>Inactive</v>
      </c>
      <c r="J372" s="14">
        <f>CleanedData!H372</f>
        <v>45725</v>
      </c>
      <c r="K372" s="2" t="str">
        <f t="shared" si="41"/>
        <v>OK</v>
      </c>
      <c r="L372" s="2" t="str">
        <f t="shared" si="42"/>
        <v>OK</v>
      </c>
      <c r="M372" s="2" t="str">
        <f t="shared" si="43"/>
        <v>OK</v>
      </c>
      <c r="N372" s="2" t="str">
        <f t="shared" si="44"/>
        <v>MATCH</v>
      </c>
      <c r="O372" s="2" t="str">
        <f t="shared" si="45"/>
        <v>OK</v>
      </c>
      <c r="P372" s="2">
        <f t="shared" si="46"/>
        <v>0</v>
      </c>
      <c r="Q372" s="2" t="str">
        <f t="shared" si="47"/>
        <v>2025-03</v>
      </c>
      <c r="R372" s="3" t="s">
        <v>39</v>
      </c>
      <c r="S372" s="2">
        <f>IF(tblChecks[[#This Row],[AnyError]]="ERROR",1,0)</f>
        <v>0</v>
      </c>
      <c r="T372" s="2">
        <f>IF(tblChecks[[#This Row],[MissingStreet]]="MISSING",1,0)</f>
        <v>0</v>
      </c>
      <c r="U372" t="str">
        <f t="shared" si="40"/>
        <v>OK</v>
      </c>
    </row>
    <row r="373" spans="1:21" x14ac:dyDescent="0.3">
      <c r="A373" s="1" t="str">
        <f>CleanedData!F373</f>
        <v>PROP00372</v>
      </c>
      <c r="B373" s="2" t="str">
        <f>CleanedData!A373</f>
        <v>BirminghamRyan Locks70, UK</v>
      </c>
      <c r="C373" s="2" t="str">
        <f>CleanedData!D373</f>
        <v>UK</v>
      </c>
      <c r="D373" s="2" t="str">
        <f>CleanedData!E373</f>
        <v>Birmingham</v>
      </c>
      <c r="E373" s="2" t="str">
        <f>CleanedData!O373</f>
        <v>Birmingham</v>
      </c>
      <c r="F373" s="2" t="str">
        <f>CleanedData!M373</f>
        <v>BirminghamRyan Locks70</v>
      </c>
      <c r="G373" s="2" t="str">
        <f>CleanedData!B373</f>
        <v>69177</v>
      </c>
      <c r="H373" s="2" t="str">
        <f>CleanedData!C373</f>
        <v>+55-549419018</v>
      </c>
      <c r="I373" s="2" t="str">
        <f>CleanedData!G373</f>
        <v>Inactive</v>
      </c>
      <c r="J373" s="14">
        <f>CleanedData!H373</f>
        <v>45688</v>
      </c>
      <c r="K373" s="2" t="str">
        <f t="shared" si="41"/>
        <v>OK</v>
      </c>
      <c r="L373" s="2" t="str">
        <f t="shared" si="42"/>
        <v>OK</v>
      </c>
      <c r="M373" s="2" t="str">
        <f t="shared" si="43"/>
        <v>OK</v>
      </c>
      <c r="N373" s="2" t="str">
        <f t="shared" si="44"/>
        <v>MATCH</v>
      </c>
      <c r="O373" s="2" t="str">
        <f t="shared" si="45"/>
        <v>OK</v>
      </c>
      <c r="P373" s="2">
        <f t="shared" si="46"/>
        <v>0</v>
      </c>
      <c r="Q373" s="2" t="str">
        <f t="shared" si="47"/>
        <v>2025-01</v>
      </c>
      <c r="R373" s="3" t="s">
        <v>33</v>
      </c>
      <c r="S373" s="2">
        <f>IF(tblChecks[[#This Row],[AnyError]]="ERROR",1,0)</f>
        <v>0</v>
      </c>
      <c r="T373" s="2">
        <f>IF(tblChecks[[#This Row],[MissingStreet]]="MISSING",1,0)</f>
        <v>0</v>
      </c>
      <c r="U373" t="str">
        <f t="shared" si="40"/>
        <v>OK</v>
      </c>
    </row>
    <row r="374" spans="1:21" x14ac:dyDescent="0.3">
      <c r="A374" s="1" t="str">
        <f>CleanedData!F374</f>
        <v>PROP00373</v>
      </c>
      <c r="B374" s="2" t="str">
        <f>CleanedData!A374</f>
        <v>Randy Inlet110, Bilbao, Spain</v>
      </c>
      <c r="C374" s="2" t="str">
        <f>CleanedData!D374</f>
        <v>Spain</v>
      </c>
      <c r="D374" s="2" t="str">
        <f>CleanedData!E374</f>
        <v>Bilbao</v>
      </c>
      <c r="E374" s="2" t="str">
        <f>CleanedData!O374</f>
        <v>Bilbao</v>
      </c>
      <c r="F374" s="2" t="str">
        <f>CleanedData!M374</f>
        <v>Randy Inlet110</v>
      </c>
      <c r="G374" s="2" t="str">
        <f>CleanedData!B374</f>
        <v>98255</v>
      </c>
      <c r="H374" s="2" t="str">
        <f>CleanedData!C374</f>
        <v>+61-865729118</v>
      </c>
      <c r="I374" s="2" t="str">
        <f>CleanedData!G374</f>
        <v>Active</v>
      </c>
      <c r="J374" s="14">
        <f>CleanedData!H374</f>
        <v>45358</v>
      </c>
      <c r="K374" s="2" t="str">
        <f t="shared" si="41"/>
        <v>OK</v>
      </c>
      <c r="L374" s="2" t="str">
        <f t="shared" si="42"/>
        <v>OK</v>
      </c>
      <c r="M374" s="2" t="str">
        <f t="shared" si="43"/>
        <v>OK</v>
      </c>
      <c r="N374" s="2" t="str">
        <f t="shared" si="44"/>
        <v>MATCH</v>
      </c>
      <c r="O374" s="2" t="str">
        <f t="shared" si="45"/>
        <v>OK</v>
      </c>
      <c r="P374" s="2">
        <f t="shared" si="46"/>
        <v>0</v>
      </c>
      <c r="Q374" s="2" t="str">
        <f t="shared" si="47"/>
        <v>2024-03</v>
      </c>
      <c r="R374" s="3" t="s">
        <v>39</v>
      </c>
      <c r="S374" s="2">
        <f>IF(tblChecks[[#This Row],[AnyError]]="ERROR",1,0)</f>
        <v>0</v>
      </c>
      <c r="T374" s="2">
        <f>IF(tblChecks[[#This Row],[MissingStreet]]="MISSING",1,0)</f>
        <v>0</v>
      </c>
      <c r="U374" t="str">
        <f t="shared" si="40"/>
        <v>OK</v>
      </c>
    </row>
    <row r="375" spans="1:21" x14ac:dyDescent="0.3">
      <c r="A375" s="1" t="str">
        <f>CleanedData!F375</f>
        <v>PROP00374</v>
      </c>
      <c r="B375" s="2" t="str">
        <f>CleanedData!A375</f>
        <v>Walker Tunnel 293, Seville</v>
      </c>
      <c r="C375" s="2" t="str">
        <f>CleanedData!D375</f>
        <v>Spain</v>
      </c>
      <c r="D375" s="2" t="str">
        <f>CleanedData!E375</f>
        <v>Seville</v>
      </c>
      <c r="E375" s="2" t="str">
        <f>CleanedData!O375</f>
        <v>Seville</v>
      </c>
      <c r="F375" s="2" t="str">
        <f>CleanedData!M375</f>
        <v>Walker Tunnel 293</v>
      </c>
      <c r="G375" s="2" t="str">
        <f>CleanedData!B375</f>
        <v>22538</v>
      </c>
      <c r="H375" s="2" t="str">
        <f>CleanedData!C375</f>
        <v>+9-322502842</v>
      </c>
      <c r="I375" s="2" t="str">
        <f>CleanedData!G375</f>
        <v>Inactive</v>
      </c>
      <c r="J375" s="14">
        <f>CleanedData!H375</f>
        <v>45035</v>
      </c>
      <c r="K375" s="2" t="str">
        <f t="shared" si="41"/>
        <v>OK</v>
      </c>
      <c r="L375" s="2" t="str">
        <f t="shared" si="42"/>
        <v>OK</v>
      </c>
      <c r="M375" s="2" t="str">
        <f t="shared" si="43"/>
        <v>OK</v>
      </c>
      <c r="N375" s="2" t="str">
        <f t="shared" si="44"/>
        <v>MATCH</v>
      </c>
      <c r="O375" s="2" t="str">
        <f t="shared" si="45"/>
        <v>OK</v>
      </c>
      <c r="P375" s="2">
        <f t="shared" si="46"/>
        <v>0</v>
      </c>
      <c r="Q375" s="2" t="str">
        <f t="shared" si="47"/>
        <v>2023-04</v>
      </c>
      <c r="R375" s="3" t="s">
        <v>54</v>
      </c>
      <c r="S375" s="2">
        <f>IF(tblChecks[[#This Row],[AnyError]]="ERROR",1,0)</f>
        <v>0</v>
      </c>
      <c r="T375" s="2">
        <f>IF(tblChecks[[#This Row],[MissingStreet]]="MISSING",1,0)</f>
        <v>0</v>
      </c>
      <c r="U375" t="str">
        <f t="shared" si="40"/>
        <v>OK</v>
      </c>
    </row>
    <row r="376" spans="1:21" x14ac:dyDescent="0.3">
      <c r="A376" s="1" t="str">
        <f>CleanedData!F376</f>
        <v>PROP00375</v>
      </c>
      <c r="B376" s="2" t="str">
        <f>CleanedData!A376</f>
        <v>USA, Los Angeles</v>
      </c>
      <c r="C376" s="2" t="str">
        <f>CleanedData!D376</f>
        <v>USA</v>
      </c>
      <c r="D376" s="2" t="str">
        <f>CleanedData!E376</f>
        <v>Los Angeles</v>
      </c>
      <c r="E376" s="2" t="str">
        <f>CleanedData!O376</f>
        <v>Los Angeles</v>
      </c>
      <c r="F376" s="2" t="str">
        <f>CleanedData!M376</f>
        <v>Los Angeles</v>
      </c>
      <c r="G376" s="2" t="str">
        <f>CleanedData!B376</f>
        <v>70048</v>
      </c>
      <c r="H376" s="2" t="str">
        <f>CleanedData!C376</f>
        <v>+95-343670322</v>
      </c>
      <c r="I376" s="2" t="str">
        <f>CleanedData!G376</f>
        <v>Active</v>
      </c>
      <c r="J376" s="14">
        <f>CleanedData!H376</f>
        <v>45733</v>
      </c>
      <c r="K376" s="2" t="str">
        <f t="shared" si="41"/>
        <v>OK</v>
      </c>
      <c r="L376" s="2" t="str">
        <f t="shared" si="42"/>
        <v>OK</v>
      </c>
      <c r="M376" s="2" t="str">
        <f t="shared" si="43"/>
        <v>OK</v>
      </c>
      <c r="N376" s="2" t="str">
        <f t="shared" si="44"/>
        <v>MATCH</v>
      </c>
      <c r="O376" s="2" t="str">
        <f t="shared" si="45"/>
        <v>OK</v>
      </c>
      <c r="P376" s="2">
        <f t="shared" si="46"/>
        <v>0</v>
      </c>
      <c r="Q376" s="2" t="str">
        <f t="shared" si="47"/>
        <v>2025-03</v>
      </c>
      <c r="R376" s="3" t="s">
        <v>39</v>
      </c>
      <c r="S376" s="2">
        <f>IF(tblChecks[[#This Row],[AnyError]]="ERROR",1,0)</f>
        <v>0</v>
      </c>
      <c r="T376" s="2">
        <f>IF(tblChecks[[#This Row],[MissingStreet]]="MISSING",1,0)</f>
        <v>0</v>
      </c>
      <c r="U376" t="str">
        <f t="shared" si="40"/>
        <v>OK</v>
      </c>
    </row>
    <row r="377" spans="1:21" x14ac:dyDescent="0.3">
      <c r="A377" s="1" t="str">
        <f>CleanedData!F377</f>
        <v>PROP00376</v>
      </c>
      <c r="B377" s="2" t="str">
        <f>CleanedData!A377</f>
        <v>France, Marseille, Rebecca Keys 118</v>
      </c>
      <c r="C377" s="2" t="str">
        <f>CleanedData!D377</f>
        <v>France</v>
      </c>
      <c r="D377" s="2" t="str">
        <f>CleanedData!E377</f>
        <v>Marseille</v>
      </c>
      <c r="E377" s="2" t="str">
        <f>CleanedData!O377</f>
        <v>Marseille</v>
      </c>
      <c r="F377" s="2" t="str">
        <f>CleanedData!M377</f>
        <v>Rebecca Keys 118</v>
      </c>
      <c r="G377" s="2" t="str">
        <f>CleanedData!B377</f>
        <v>46520</v>
      </c>
      <c r="H377" s="2" t="str">
        <f>CleanedData!C377</f>
        <v>+20-411040716</v>
      </c>
      <c r="I377" s="2" t="str">
        <f>CleanedData!G377</f>
        <v>Inactive</v>
      </c>
      <c r="J377" s="14">
        <f>CleanedData!H377</f>
        <v>45769</v>
      </c>
      <c r="K377" s="2" t="str">
        <f t="shared" si="41"/>
        <v>OK</v>
      </c>
      <c r="L377" s="2" t="str">
        <f t="shared" si="42"/>
        <v>OK</v>
      </c>
      <c r="M377" s="2" t="str">
        <f t="shared" si="43"/>
        <v>OK</v>
      </c>
      <c r="N377" s="2" t="str">
        <f t="shared" si="44"/>
        <v>MATCH</v>
      </c>
      <c r="O377" s="2" t="str">
        <f t="shared" si="45"/>
        <v>OK</v>
      </c>
      <c r="P377" s="2">
        <f t="shared" si="46"/>
        <v>0</v>
      </c>
      <c r="Q377" s="2" t="str">
        <f t="shared" si="47"/>
        <v>2025-04</v>
      </c>
      <c r="R377" s="3" t="s">
        <v>23</v>
      </c>
      <c r="S377" s="2">
        <f>IF(tblChecks[[#This Row],[AnyError]]="ERROR",1,0)</f>
        <v>0</v>
      </c>
      <c r="T377" s="2">
        <f>IF(tblChecks[[#This Row],[MissingStreet]]="MISSING",1,0)</f>
        <v>0</v>
      </c>
      <c r="U377" t="str">
        <f t="shared" si="40"/>
        <v>OK</v>
      </c>
    </row>
    <row r="378" spans="1:21" x14ac:dyDescent="0.3">
      <c r="A378" s="1" t="str">
        <f>CleanedData!F378</f>
        <v>PROP00377</v>
      </c>
      <c r="B378" s="2" t="str">
        <f>CleanedData!A378</f>
        <v>USALos Angeles</v>
      </c>
      <c r="C378" s="2" t="str">
        <f>CleanedData!D378</f>
        <v>USA</v>
      </c>
      <c r="D378" s="2" t="str">
        <f>CleanedData!E378</f>
        <v>Los Angeles</v>
      </c>
      <c r="E378" s="2" t="str">
        <f>CleanedData!O378</f>
        <v>Los Angeles</v>
      </c>
      <c r="F378" s="2" t="str">
        <f>CleanedData!M378</f>
        <v/>
      </c>
      <c r="G378" s="2" t="str">
        <f>CleanedData!B378</f>
        <v>34051</v>
      </c>
      <c r="H378" s="2" t="str">
        <f>CleanedData!C378</f>
        <v>+90-229400704</v>
      </c>
      <c r="I378" s="2" t="str">
        <f>CleanedData!G378</f>
        <v>Active</v>
      </c>
      <c r="J378" s="14">
        <f>CleanedData!H378</f>
        <v>45113</v>
      </c>
      <c r="K378" s="2" t="str">
        <f t="shared" si="41"/>
        <v>MISSING</v>
      </c>
      <c r="L378" s="2" t="str">
        <f t="shared" si="42"/>
        <v>OK</v>
      </c>
      <c r="M378" s="2" t="str">
        <f t="shared" si="43"/>
        <v>OK</v>
      </c>
      <c r="N378" s="2" t="str">
        <f t="shared" si="44"/>
        <v>MATCH</v>
      </c>
      <c r="O378" s="2" t="str">
        <f t="shared" si="45"/>
        <v>ERROR</v>
      </c>
      <c r="P378" s="2">
        <f t="shared" si="46"/>
        <v>1</v>
      </c>
      <c r="Q378" s="2" t="str">
        <f t="shared" si="47"/>
        <v>2023-07</v>
      </c>
      <c r="R378" s="3" t="s">
        <v>33</v>
      </c>
      <c r="S378" s="2">
        <f>IF(tblChecks[[#This Row],[AnyError]]="ERROR",1,0)</f>
        <v>1</v>
      </c>
      <c r="T378" s="2">
        <f>IF(tblChecks[[#This Row],[MissingStreet]]="MISSING",1,0)</f>
        <v>1</v>
      </c>
      <c r="U378" t="str">
        <f t="shared" si="40"/>
        <v>MissingStreet</v>
      </c>
    </row>
    <row r="379" spans="1:21" x14ac:dyDescent="0.3">
      <c r="A379" s="1" t="str">
        <f>CleanedData!F379</f>
        <v>PROP00378</v>
      </c>
      <c r="B379" s="2" t="str">
        <f>CleanedData!A379</f>
        <v>Glenn Drives245, Tokyo, Japan</v>
      </c>
      <c r="C379" s="2" t="str">
        <f>CleanedData!D379</f>
        <v>Japan</v>
      </c>
      <c r="D379" s="2" t="str">
        <f>CleanedData!E379</f>
        <v>Tokyo</v>
      </c>
      <c r="E379" s="2" t="str">
        <f>CleanedData!O379</f>
        <v>Tokyo</v>
      </c>
      <c r="F379" s="2" t="str">
        <f>CleanedData!M379</f>
        <v>Glenn Drives245</v>
      </c>
      <c r="G379" s="2" t="str">
        <f>CleanedData!B379</f>
        <v>86419</v>
      </c>
      <c r="H379" s="2" t="str">
        <f>CleanedData!C379</f>
        <v>+16-964482250</v>
      </c>
      <c r="I379" s="2" t="str">
        <f>CleanedData!G379</f>
        <v>Inactive</v>
      </c>
      <c r="J379" s="14">
        <f>CleanedData!H379</f>
        <v>45673</v>
      </c>
      <c r="K379" s="2" t="str">
        <f t="shared" si="41"/>
        <v>OK</v>
      </c>
      <c r="L379" s="2" t="str">
        <f t="shared" si="42"/>
        <v>OK</v>
      </c>
      <c r="M379" s="2" t="str">
        <f t="shared" si="43"/>
        <v>OK</v>
      </c>
      <c r="N379" s="2" t="str">
        <f t="shared" si="44"/>
        <v>MATCH</v>
      </c>
      <c r="O379" s="2" t="str">
        <f t="shared" si="45"/>
        <v>OK</v>
      </c>
      <c r="P379" s="2">
        <f t="shared" si="46"/>
        <v>0</v>
      </c>
      <c r="Q379" s="2" t="str">
        <f t="shared" si="47"/>
        <v>2025-01</v>
      </c>
      <c r="R379" s="3" t="s">
        <v>16</v>
      </c>
      <c r="S379" s="2">
        <f>IF(tblChecks[[#This Row],[AnyError]]="ERROR",1,0)</f>
        <v>0</v>
      </c>
      <c r="T379" s="2">
        <f>IF(tblChecks[[#This Row],[MissingStreet]]="MISSING",1,0)</f>
        <v>0</v>
      </c>
      <c r="U379" t="str">
        <f t="shared" si="40"/>
        <v>OK</v>
      </c>
    </row>
    <row r="380" spans="1:21" x14ac:dyDescent="0.3">
      <c r="A380" s="1" t="str">
        <f>CleanedData!F380</f>
        <v>PROP00379</v>
      </c>
      <c r="B380" s="2" t="str">
        <f>CleanedData!A380</f>
        <v>Japan, Osaka, Gregory Trail 300</v>
      </c>
      <c r="C380" s="2" t="str">
        <f>CleanedData!D380</f>
        <v>Japan</v>
      </c>
      <c r="D380" s="2" t="str">
        <f>CleanedData!E380</f>
        <v>Osaka</v>
      </c>
      <c r="E380" s="2" t="str">
        <f>CleanedData!O380</f>
        <v>Osaka</v>
      </c>
      <c r="F380" s="2" t="str">
        <f>CleanedData!M380</f>
        <v>Gregory Trail 300</v>
      </c>
      <c r="G380" s="2" t="str">
        <f>CleanedData!B380</f>
        <v>82807</v>
      </c>
      <c r="H380" s="2" t="str">
        <f>CleanedData!C380</f>
        <v>+80-431993365</v>
      </c>
      <c r="I380" s="2" t="str">
        <f>CleanedData!G380</f>
        <v>Inactive</v>
      </c>
      <c r="J380" s="14">
        <f>CleanedData!H380</f>
        <v>44950</v>
      </c>
      <c r="K380" s="2" t="str">
        <f t="shared" si="41"/>
        <v>OK</v>
      </c>
      <c r="L380" s="2" t="str">
        <f t="shared" si="42"/>
        <v>OK</v>
      </c>
      <c r="M380" s="2" t="str">
        <f t="shared" si="43"/>
        <v>OK</v>
      </c>
      <c r="N380" s="2" t="str">
        <f t="shared" si="44"/>
        <v>MATCH</v>
      </c>
      <c r="O380" s="2" t="str">
        <f t="shared" si="45"/>
        <v>OK</v>
      </c>
      <c r="P380" s="2">
        <f t="shared" si="46"/>
        <v>0</v>
      </c>
      <c r="Q380" s="2" t="str">
        <f t="shared" si="47"/>
        <v>2023-01</v>
      </c>
      <c r="R380" s="3" t="s">
        <v>33</v>
      </c>
      <c r="S380" s="2">
        <f>IF(tblChecks[[#This Row],[AnyError]]="ERROR",1,0)</f>
        <v>0</v>
      </c>
      <c r="T380" s="2">
        <f>IF(tblChecks[[#This Row],[MissingStreet]]="MISSING",1,0)</f>
        <v>0</v>
      </c>
      <c r="U380" t="str">
        <f t="shared" si="40"/>
        <v>OK</v>
      </c>
    </row>
    <row r="381" spans="1:21" x14ac:dyDescent="0.3">
      <c r="A381" s="1" t="str">
        <f>CleanedData!F381</f>
        <v>PROP00380</v>
      </c>
      <c r="B381" s="2" t="str">
        <f>CleanedData!A381</f>
        <v>Germany, Berlin</v>
      </c>
      <c r="C381" s="2" t="str">
        <f>CleanedData!D381</f>
        <v>Germany</v>
      </c>
      <c r="D381" s="2" t="str">
        <f>CleanedData!E381</f>
        <v>Berlin</v>
      </c>
      <c r="E381" s="2" t="str">
        <f>CleanedData!O381</f>
        <v>Berlin</v>
      </c>
      <c r="F381" s="2" t="str">
        <f>CleanedData!M381</f>
        <v>Berlin</v>
      </c>
      <c r="G381" s="2" t="str">
        <f>CleanedData!B381</f>
        <v>76453</v>
      </c>
      <c r="H381" s="2" t="str">
        <f>CleanedData!C381</f>
        <v>+36-871988861</v>
      </c>
      <c r="I381" s="2" t="str">
        <f>CleanedData!G381</f>
        <v>Active</v>
      </c>
      <c r="J381" s="14">
        <f>CleanedData!H381</f>
        <v>45526</v>
      </c>
      <c r="K381" s="2" t="str">
        <f t="shared" si="41"/>
        <v>OK</v>
      </c>
      <c r="L381" s="2" t="str">
        <f t="shared" si="42"/>
        <v>OK</v>
      </c>
      <c r="M381" s="2" t="str">
        <f t="shared" si="43"/>
        <v>OK</v>
      </c>
      <c r="N381" s="2" t="str">
        <f t="shared" si="44"/>
        <v>MATCH</v>
      </c>
      <c r="O381" s="2" t="str">
        <f t="shared" si="45"/>
        <v>OK</v>
      </c>
      <c r="P381" s="2">
        <f t="shared" si="46"/>
        <v>0</v>
      </c>
      <c r="Q381" s="2" t="str">
        <f t="shared" si="47"/>
        <v>2024-08</v>
      </c>
      <c r="R381" s="3" t="s">
        <v>23</v>
      </c>
      <c r="S381" s="2">
        <f>IF(tblChecks[[#This Row],[AnyError]]="ERROR",1,0)</f>
        <v>0</v>
      </c>
      <c r="T381" s="2">
        <f>IF(tblChecks[[#This Row],[MissingStreet]]="MISSING",1,0)</f>
        <v>0</v>
      </c>
      <c r="U381" t="str">
        <f t="shared" si="40"/>
        <v>OK</v>
      </c>
    </row>
    <row r="382" spans="1:21" x14ac:dyDescent="0.3">
      <c r="A382" s="1" t="str">
        <f>CleanedData!F382</f>
        <v>PROP00381</v>
      </c>
      <c r="B382" s="2" t="str">
        <f>CleanedData!A382</f>
        <v>AustraliaPerthMaldonado Port82</v>
      </c>
      <c r="C382" s="2" t="str">
        <f>CleanedData!D382</f>
        <v>Australia</v>
      </c>
      <c r="D382" s="2" t="str">
        <f>CleanedData!E382</f>
        <v>Perth</v>
      </c>
      <c r="E382" s="2" t="str">
        <f>CleanedData!O382</f>
        <v>Perth</v>
      </c>
      <c r="F382" s="2" t="str">
        <f>CleanedData!M382</f>
        <v>AustraliaPerthMaldonado Port82</v>
      </c>
      <c r="G382" s="2" t="str">
        <f>CleanedData!B382</f>
        <v>84779</v>
      </c>
      <c r="H382" s="2" t="str">
        <f>CleanedData!C382</f>
        <v>+15-971471773</v>
      </c>
      <c r="I382" s="2" t="str">
        <f>CleanedData!G382</f>
        <v>Active</v>
      </c>
      <c r="J382" s="14">
        <f>CleanedData!H382</f>
        <v>45972</v>
      </c>
      <c r="K382" s="2" t="str">
        <f t="shared" si="41"/>
        <v>OK</v>
      </c>
      <c r="L382" s="2" t="str">
        <f t="shared" si="42"/>
        <v>OK</v>
      </c>
      <c r="M382" s="2" t="str">
        <f t="shared" si="43"/>
        <v>OK</v>
      </c>
      <c r="N382" s="2" t="str">
        <f t="shared" si="44"/>
        <v>MATCH</v>
      </c>
      <c r="O382" s="2" t="str">
        <f t="shared" si="45"/>
        <v>OK</v>
      </c>
      <c r="P382" s="2">
        <f t="shared" si="46"/>
        <v>0</v>
      </c>
      <c r="Q382" s="2" t="str">
        <f t="shared" si="47"/>
        <v>2025-11</v>
      </c>
      <c r="R382" s="3" t="s">
        <v>39</v>
      </c>
      <c r="S382" s="2">
        <f>IF(tblChecks[[#This Row],[AnyError]]="ERROR",1,0)</f>
        <v>0</v>
      </c>
      <c r="T382" s="2">
        <f>IF(tblChecks[[#This Row],[MissingStreet]]="MISSING",1,0)</f>
        <v>0</v>
      </c>
      <c r="U382" t="str">
        <f t="shared" si="40"/>
        <v>OK</v>
      </c>
    </row>
    <row r="383" spans="1:21" x14ac:dyDescent="0.3">
      <c r="A383" s="1" t="str">
        <f>CleanedData!F383</f>
        <v>PROP00382</v>
      </c>
      <c r="B383" s="2" t="str">
        <f>CleanedData!A383</f>
        <v>Lin Road43, Frankfurt, Germany</v>
      </c>
      <c r="C383" s="2" t="str">
        <f>CleanedData!D383</f>
        <v>Germany</v>
      </c>
      <c r="D383" s="2" t="str">
        <f>CleanedData!E383</f>
        <v>Frankfurt</v>
      </c>
      <c r="E383" s="2" t="str">
        <f>CleanedData!O383</f>
        <v>Frankfurt</v>
      </c>
      <c r="F383" s="2" t="str">
        <f>CleanedData!M383</f>
        <v>Lin Road43</v>
      </c>
      <c r="G383" s="2" t="str">
        <f>CleanedData!B383</f>
        <v>41937</v>
      </c>
      <c r="H383" s="2" t="str">
        <f>CleanedData!C383</f>
        <v>+16-336591334</v>
      </c>
      <c r="I383" s="2" t="str">
        <f>CleanedData!G383</f>
        <v>Active</v>
      </c>
      <c r="J383" s="14">
        <f>CleanedData!H383</f>
        <v>45938</v>
      </c>
      <c r="K383" s="2" t="str">
        <f t="shared" si="41"/>
        <v>OK</v>
      </c>
      <c r="L383" s="2" t="str">
        <f t="shared" si="42"/>
        <v>OK</v>
      </c>
      <c r="M383" s="2" t="str">
        <f t="shared" si="43"/>
        <v>OK</v>
      </c>
      <c r="N383" s="2" t="str">
        <f t="shared" si="44"/>
        <v>MATCH</v>
      </c>
      <c r="O383" s="2" t="str">
        <f t="shared" si="45"/>
        <v>OK</v>
      </c>
      <c r="P383" s="2">
        <f t="shared" si="46"/>
        <v>0</v>
      </c>
      <c r="Q383" s="2" t="str">
        <f t="shared" si="47"/>
        <v>2025-10</v>
      </c>
      <c r="R383" s="3" t="s">
        <v>16</v>
      </c>
      <c r="S383" s="2">
        <f>IF(tblChecks[[#This Row],[AnyError]]="ERROR",1,0)</f>
        <v>0</v>
      </c>
      <c r="T383" s="2">
        <f>IF(tblChecks[[#This Row],[MissingStreet]]="MISSING",1,0)</f>
        <v>0</v>
      </c>
      <c r="U383" t="str">
        <f t="shared" si="40"/>
        <v>OK</v>
      </c>
    </row>
    <row r="384" spans="1:21" x14ac:dyDescent="0.3">
      <c r="A384" s="1" t="str">
        <f>CleanedData!F384</f>
        <v>PROP00383</v>
      </c>
      <c r="B384" s="2" t="str">
        <f>CleanedData!A384</f>
        <v>Scott Mountains 218, Perth</v>
      </c>
      <c r="C384" s="2" t="str">
        <f>CleanedData!D384</f>
        <v>Australia</v>
      </c>
      <c r="D384" s="2" t="str">
        <f>CleanedData!E384</f>
        <v>Perth</v>
      </c>
      <c r="E384" s="2" t="str">
        <f>CleanedData!O384</f>
        <v>Perth</v>
      </c>
      <c r="F384" s="2" t="str">
        <f>CleanedData!M384</f>
        <v>Scott Mountains 218</v>
      </c>
      <c r="G384" s="2" t="str">
        <f>CleanedData!B384</f>
        <v>58462</v>
      </c>
      <c r="H384" s="2" t="str">
        <f>CleanedData!C384</f>
        <v>+34-143137890</v>
      </c>
      <c r="I384" s="2" t="str">
        <f>CleanedData!G384</f>
        <v>Active</v>
      </c>
      <c r="J384" s="14">
        <f>CleanedData!H384</f>
        <v>45230</v>
      </c>
      <c r="K384" s="2" t="str">
        <f t="shared" si="41"/>
        <v>OK</v>
      </c>
      <c r="L384" s="2" t="str">
        <f t="shared" si="42"/>
        <v>OK</v>
      </c>
      <c r="M384" s="2" t="str">
        <f t="shared" si="43"/>
        <v>OK</v>
      </c>
      <c r="N384" s="2" t="str">
        <f t="shared" si="44"/>
        <v>MATCH</v>
      </c>
      <c r="O384" s="2" t="str">
        <f t="shared" si="45"/>
        <v>OK</v>
      </c>
      <c r="P384" s="2">
        <f t="shared" si="46"/>
        <v>0</v>
      </c>
      <c r="Q384" s="2" t="str">
        <f t="shared" si="47"/>
        <v>2023-10</v>
      </c>
      <c r="R384" s="3" t="s">
        <v>23</v>
      </c>
      <c r="S384" s="2">
        <f>IF(tblChecks[[#This Row],[AnyError]]="ERROR",1,0)</f>
        <v>0</v>
      </c>
      <c r="T384" s="2">
        <f>IF(tblChecks[[#This Row],[MissingStreet]]="MISSING",1,0)</f>
        <v>0</v>
      </c>
      <c r="U384" t="str">
        <f t="shared" si="40"/>
        <v>OK</v>
      </c>
    </row>
    <row r="385" spans="1:21" x14ac:dyDescent="0.3">
      <c r="A385" s="1" t="str">
        <f>CleanedData!F385</f>
        <v>PROP00384</v>
      </c>
      <c r="B385" s="2" t="str">
        <f>CleanedData!A385</f>
        <v>Los AngelesHogan Ramp170, USA</v>
      </c>
      <c r="C385" s="2" t="str">
        <f>CleanedData!D385</f>
        <v>USA</v>
      </c>
      <c r="D385" s="2" t="str">
        <f>CleanedData!E385</f>
        <v>Los Angeles</v>
      </c>
      <c r="E385" s="2" t="str">
        <f>CleanedData!O385</f>
        <v>Los Angeles</v>
      </c>
      <c r="F385" s="2" t="str">
        <f>CleanedData!M385</f>
        <v>Los AngelesHogan Ramp170</v>
      </c>
      <c r="G385" s="2" t="str">
        <f>CleanedData!B385</f>
        <v>7863</v>
      </c>
      <c r="H385" s="2" t="str">
        <f>CleanedData!C385</f>
        <v>+40-833911806</v>
      </c>
      <c r="I385" s="2" t="str">
        <f>CleanedData!G385</f>
        <v>Inactive</v>
      </c>
      <c r="J385" s="14">
        <f>CleanedData!H385</f>
        <v>45692</v>
      </c>
      <c r="K385" s="2" t="str">
        <f t="shared" si="41"/>
        <v>OK</v>
      </c>
      <c r="L385" s="2" t="str">
        <f t="shared" si="42"/>
        <v>OK</v>
      </c>
      <c r="M385" s="2" t="str">
        <f t="shared" si="43"/>
        <v>OK</v>
      </c>
      <c r="N385" s="2" t="str">
        <f t="shared" si="44"/>
        <v>MATCH</v>
      </c>
      <c r="O385" s="2" t="str">
        <f t="shared" si="45"/>
        <v>OK</v>
      </c>
      <c r="P385" s="2">
        <f t="shared" si="46"/>
        <v>0</v>
      </c>
      <c r="Q385" s="2" t="str">
        <f t="shared" si="47"/>
        <v>2025-02</v>
      </c>
      <c r="R385" s="3" t="s">
        <v>54</v>
      </c>
      <c r="S385" s="2">
        <f>IF(tblChecks[[#This Row],[AnyError]]="ERROR",1,0)</f>
        <v>0</v>
      </c>
      <c r="T385" s="2">
        <f>IF(tblChecks[[#This Row],[MissingStreet]]="MISSING",1,0)</f>
        <v>0</v>
      </c>
      <c r="U385" t="str">
        <f t="shared" si="40"/>
        <v>OK</v>
      </c>
    </row>
    <row r="386" spans="1:21" x14ac:dyDescent="0.3">
      <c r="A386" s="1" t="str">
        <f>CleanedData!F386</f>
        <v>PROP00385</v>
      </c>
      <c r="B386" s="2" t="str">
        <f>CleanedData!A386</f>
        <v>France, Toulouse</v>
      </c>
      <c r="C386" s="2" t="str">
        <f>CleanedData!D386</f>
        <v>France</v>
      </c>
      <c r="D386" s="2" t="str">
        <f>CleanedData!E386</f>
        <v>Toulouse</v>
      </c>
      <c r="E386" s="2" t="str">
        <f>CleanedData!O386</f>
        <v>Toulouse</v>
      </c>
      <c r="F386" s="2" t="str">
        <f>CleanedData!M386</f>
        <v>Toulouse</v>
      </c>
      <c r="G386" s="2" t="str">
        <f>CleanedData!B386</f>
        <v>61022</v>
      </c>
      <c r="H386" s="2" t="str">
        <f>CleanedData!C386</f>
        <v>+91-608530182</v>
      </c>
      <c r="I386" s="2" t="str">
        <f>CleanedData!G386</f>
        <v>Inactive</v>
      </c>
      <c r="J386" s="14">
        <f>CleanedData!H386</f>
        <v>45086</v>
      </c>
      <c r="K386" s="2" t="str">
        <f t="shared" si="41"/>
        <v>OK</v>
      </c>
      <c r="L386" s="2" t="str">
        <f t="shared" si="42"/>
        <v>OK</v>
      </c>
      <c r="M386" s="2" t="str">
        <f t="shared" si="43"/>
        <v>OK</v>
      </c>
      <c r="N386" s="2" t="str">
        <f t="shared" si="44"/>
        <v>MATCH</v>
      </c>
      <c r="O386" s="2" t="str">
        <f t="shared" si="45"/>
        <v>OK</v>
      </c>
      <c r="P386" s="2">
        <f t="shared" si="46"/>
        <v>0</v>
      </c>
      <c r="Q386" s="2" t="str">
        <f t="shared" si="47"/>
        <v>2023-06</v>
      </c>
      <c r="R386" s="3" t="s">
        <v>39</v>
      </c>
      <c r="S386" s="2">
        <f>IF(tblChecks[[#This Row],[AnyError]]="ERROR",1,0)</f>
        <v>0</v>
      </c>
      <c r="T386" s="2">
        <f>IF(tblChecks[[#This Row],[MissingStreet]]="MISSING",1,0)</f>
        <v>0</v>
      </c>
      <c r="U386" t="str">
        <f t="shared" ref="U386:U449" si="48">IF(K386="MISSING","MissingStreet",
IF(L386="INVALID","PostalCode_INVALID",
IF(M386="INVALID","Phone_INVALID","OK")))</f>
        <v>OK</v>
      </c>
    </row>
    <row r="387" spans="1:21" x14ac:dyDescent="0.3">
      <c r="A387" s="1" t="str">
        <f>CleanedData!F387</f>
        <v>PROP00386</v>
      </c>
      <c r="B387" s="2" t="str">
        <f>CleanedData!A387</f>
        <v>Johnson Land1, Marseille, France</v>
      </c>
      <c r="C387" s="2" t="str">
        <f>CleanedData!D387</f>
        <v>France</v>
      </c>
      <c r="D387" s="2" t="str">
        <f>CleanedData!E387</f>
        <v>Marseille</v>
      </c>
      <c r="E387" s="2" t="str">
        <f>CleanedData!O387</f>
        <v>Marseille</v>
      </c>
      <c r="F387" s="2" t="str">
        <f>CleanedData!M387</f>
        <v>Johnson Land1</v>
      </c>
      <c r="G387" s="2" t="str">
        <f>CleanedData!B387</f>
        <v>38128</v>
      </c>
      <c r="H387" s="2" t="str">
        <f>CleanedData!C387</f>
        <v>+4-983547164</v>
      </c>
      <c r="I387" s="2" t="str">
        <f>CleanedData!G387</f>
        <v>Active</v>
      </c>
      <c r="J387" s="14">
        <f>CleanedData!H387</f>
        <v>44991</v>
      </c>
      <c r="K387" s="2" t="str">
        <f t="shared" ref="K387:K450" si="49">IF(TRIM(F387)="","MISSING","OK")</f>
        <v>OK</v>
      </c>
      <c r="L387" s="2" t="str">
        <f t="shared" ref="L387:L450" si="50">IF(LEN(TRIM(G387))&lt;3,"INVALID","OK")</f>
        <v>OK</v>
      </c>
      <c r="M387" s="2" t="str">
        <f t="shared" ref="M387:M450" si="51">IF(LEN(SUBSTITUTE(SUBSTITUTE(H387," ",""),"-",""))&gt;=7,"OK","INVALID")</f>
        <v>OK</v>
      </c>
      <c r="N387" s="2" t="str">
        <f t="shared" ref="N387:N450" si="52">IF(E387="","NO_EXTRACT",
 IF(LOWER(TRIM(E387))=LOWER(TRIM(D387)),"MATCH","CHECK"))</f>
        <v>MATCH</v>
      </c>
      <c r="O387" s="2" t="str">
        <f t="shared" ref="O387:O450" si="53">IF(OR(K387="MISSING",L387="INVALID",M387="INVALID"),"ERROR","OK")</f>
        <v>OK</v>
      </c>
      <c r="P387" s="2">
        <f t="shared" ref="P387:P450" si="54">(K387="MISSING")*1 + (L387="INVALID")*1 + (M387="INVALID")*1</f>
        <v>0</v>
      </c>
      <c r="Q387" s="2" t="str">
        <f t="shared" ref="Q387:Q450" si="55">YEAR(J387) &amp; "-" &amp; TEXT(MONTH(J387),"00")</f>
        <v>2023-03</v>
      </c>
      <c r="R387" s="3" t="s">
        <v>23</v>
      </c>
      <c r="S387" s="2">
        <f>IF(tblChecks[[#This Row],[AnyError]]="ERROR",1,0)</f>
        <v>0</v>
      </c>
      <c r="T387" s="2">
        <f>IF(tblChecks[[#This Row],[MissingStreet]]="MISSING",1,0)</f>
        <v>0</v>
      </c>
      <c r="U387" t="str">
        <f t="shared" si="48"/>
        <v>OK</v>
      </c>
    </row>
    <row r="388" spans="1:21" x14ac:dyDescent="0.3">
      <c r="A388" s="1" t="str">
        <f>CleanedData!F388</f>
        <v>PROP00387</v>
      </c>
      <c r="B388" s="2" t="str">
        <f>CleanedData!A388</f>
        <v>Japan, Tokyo</v>
      </c>
      <c r="C388" s="2" t="str">
        <f>CleanedData!D388</f>
        <v>Japan</v>
      </c>
      <c r="D388" s="2" t="str">
        <f>CleanedData!E388</f>
        <v>Tokyo</v>
      </c>
      <c r="E388" s="2" t="str">
        <f>CleanedData!O388</f>
        <v>Tokyo</v>
      </c>
      <c r="F388" s="2" t="str">
        <f>CleanedData!M388</f>
        <v>Tokyo</v>
      </c>
      <c r="G388" s="2" t="str">
        <f>CleanedData!B388</f>
        <v>12336</v>
      </c>
      <c r="H388" s="2" t="str">
        <f>CleanedData!C388</f>
        <v>+56-297647545</v>
      </c>
      <c r="I388" s="2" t="str">
        <f>CleanedData!G388</f>
        <v>Inactive</v>
      </c>
      <c r="J388" s="14">
        <f>CleanedData!H388</f>
        <v>45044</v>
      </c>
      <c r="K388" s="2" t="str">
        <f t="shared" si="49"/>
        <v>OK</v>
      </c>
      <c r="L388" s="2" t="str">
        <f t="shared" si="50"/>
        <v>OK</v>
      </c>
      <c r="M388" s="2" t="str">
        <f t="shared" si="51"/>
        <v>OK</v>
      </c>
      <c r="N388" s="2" t="str">
        <f t="shared" si="52"/>
        <v>MATCH</v>
      </c>
      <c r="O388" s="2" t="str">
        <f t="shared" si="53"/>
        <v>OK</v>
      </c>
      <c r="P388" s="2">
        <f t="shared" si="54"/>
        <v>0</v>
      </c>
      <c r="Q388" s="2" t="str">
        <f t="shared" si="55"/>
        <v>2023-04</v>
      </c>
      <c r="R388" s="3" t="s">
        <v>23</v>
      </c>
      <c r="S388" s="2">
        <f>IF(tblChecks[[#This Row],[AnyError]]="ERROR",1,0)</f>
        <v>0</v>
      </c>
      <c r="T388" s="2">
        <f>IF(tblChecks[[#This Row],[MissingStreet]]="MISSING",1,0)</f>
        <v>0</v>
      </c>
      <c r="U388" t="str">
        <f t="shared" si="48"/>
        <v>OK</v>
      </c>
    </row>
    <row r="389" spans="1:21" x14ac:dyDescent="0.3">
      <c r="A389" s="1" t="str">
        <f>CleanedData!F389</f>
        <v>PROP00388</v>
      </c>
      <c r="B389" s="2" t="str">
        <f>CleanedData!A389</f>
        <v>Ford Plaza 288, Seville</v>
      </c>
      <c r="C389" s="2" t="str">
        <f>CleanedData!D389</f>
        <v>Spain</v>
      </c>
      <c r="D389" s="2" t="str">
        <f>CleanedData!E389</f>
        <v>Seville</v>
      </c>
      <c r="E389" s="2" t="str">
        <f>CleanedData!O389</f>
        <v>Seville</v>
      </c>
      <c r="F389" s="2" t="str">
        <f>CleanedData!M389</f>
        <v>Ford Plaza 288</v>
      </c>
      <c r="G389" s="2" t="str">
        <f>CleanedData!B389</f>
        <v>97352</v>
      </c>
      <c r="H389" s="2" t="str">
        <f>CleanedData!C389</f>
        <v>+30-277401410</v>
      </c>
      <c r="I389" s="2" t="str">
        <f>CleanedData!G389</f>
        <v>Active</v>
      </c>
      <c r="J389" s="14">
        <f>CleanedData!H389</f>
        <v>45165</v>
      </c>
      <c r="K389" s="2" t="str">
        <f t="shared" si="49"/>
        <v>OK</v>
      </c>
      <c r="L389" s="2" t="str">
        <f t="shared" si="50"/>
        <v>OK</v>
      </c>
      <c r="M389" s="2" t="str">
        <f t="shared" si="51"/>
        <v>OK</v>
      </c>
      <c r="N389" s="2" t="str">
        <f t="shared" si="52"/>
        <v>MATCH</v>
      </c>
      <c r="O389" s="2" t="str">
        <f t="shared" si="53"/>
        <v>OK</v>
      </c>
      <c r="P389" s="2">
        <f t="shared" si="54"/>
        <v>0</v>
      </c>
      <c r="Q389" s="2" t="str">
        <f t="shared" si="55"/>
        <v>2023-08</v>
      </c>
      <c r="R389" s="3" t="s">
        <v>33</v>
      </c>
      <c r="S389" s="2">
        <f>IF(tblChecks[[#This Row],[AnyError]]="ERROR",1,0)</f>
        <v>0</v>
      </c>
      <c r="T389" s="2">
        <f>IF(tblChecks[[#This Row],[MissingStreet]]="MISSING",1,0)</f>
        <v>0</v>
      </c>
      <c r="U389" t="str">
        <f t="shared" si="48"/>
        <v>OK</v>
      </c>
    </row>
    <row r="390" spans="1:21" x14ac:dyDescent="0.3">
      <c r="A390" s="1" t="str">
        <f>CleanedData!F390</f>
        <v>PROP00389</v>
      </c>
      <c r="B390" s="2" t="str">
        <f>CleanedData!A390</f>
        <v>Shannon Valleys220, Berlin, Germany</v>
      </c>
      <c r="C390" s="2" t="str">
        <f>CleanedData!D390</f>
        <v>Germany</v>
      </c>
      <c r="D390" s="2" t="str">
        <f>CleanedData!E390</f>
        <v>Berlin</v>
      </c>
      <c r="E390" s="2" t="str">
        <f>CleanedData!O390</f>
        <v>Berlin</v>
      </c>
      <c r="F390" s="2" t="str">
        <f>CleanedData!M390</f>
        <v>Shannon Valleys220</v>
      </c>
      <c r="G390" s="2" t="str">
        <f>CleanedData!B390</f>
        <v>75429</v>
      </c>
      <c r="H390" s="2" t="str">
        <f>CleanedData!C390</f>
        <v>+45-703225074</v>
      </c>
      <c r="I390" s="2" t="str">
        <f>CleanedData!G390</f>
        <v>Inactive</v>
      </c>
      <c r="J390" s="14">
        <f>CleanedData!H390</f>
        <v>45505</v>
      </c>
      <c r="K390" s="2" t="str">
        <f t="shared" si="49"/>
        <v>OK</v>
      </c>
      <c r="L390" s="2" t="str">
        <f t="shared" si="50"/>
        <v>OK</v>
      </c>
      <c r="M390" s="2" t="str">
        <f t="shared" si="51"/>
        <v>OK</v>
      </c>
      <c r="N390" s="2" t="str">
        <f t="shared" si="52"/>
        <v>MATCH</v>
      </c>
      <c r="O390" s="2" t="str">
        <f t="shared" si="53"/>
        <v>OK</v>
      </c>
      <c r="P390" s="2">
        <f t="shared" si="54"/>
        <v>0</v>
      </c>
      <c r="Q390" s="2" t="str">
        <f t="shared" si="55"/>
        <v>2024-08</v>
      </c>
      <c r="R390" s="3" t="s">
        <v>33</v>
      </c>
      <c r="S390" s="2">
        <f>IF(tblChecks[[#This Row],[AnyError]]="ERROR",1,0)</f>
        <v>0</v>
      </c>
      <c r="T390" s="2">
        <f>IF(tblChecks[[#This Row],[MissingStreet]]="MISSING",1,0)</f>
        <v>0</v>
      </c>
      <c r="U390" t="str">
        <f t="shared" si="48"/>
        <v>OK</v>
      </c>
    </row>
    <row r="391" spans="1:21" x14ac:dyDescent="0.3">
      <c r="A391" s="1" t="str">
        <f>CleanedData!F391</f>
        <v>PROP00390</v>
      </c>
      <c r="B391" s="2" t="str">
        <f>CleanedData!A391</f>
        <v>MelbourneMarc Mountains153, Australia</v>
      </c>
      <c r="C391" s="2" t="str">
        <f>CleanedData!D391</f>
        <v>Australia</v>
      </c>
      <c r="D391" s="2" t="str">
        <f>CleanedData!E391</f>
        <v>Melbourne</v>
      </c>
      <c r="E391" s="2" t="str">
        <f>CleanedData!O391</f>
        <v>Melbourne</v>
      </c>
      <c r="F391" s="2" t="str">
        <f>CleanedData!M391</f>
        <v>MelbourneMarc Mountains153</v>
      </c>
      <c r="G391" s="2" t="str">
        <f>CleanedData!B391</f>
        <v>66216</v>
      </c>
      <c r="H391" s="2" t="str">
        <f>CleanedData!C391</f>
        <v>+20-174104712</v>
      </c>
      <c r="I391" s="2" t="str">
        <f>CleanedData!G391</f>
        <v>Inactive</v>
      </c>
      <c r="J391" s="14">
        <f>CleanedData!H391</f>
        <v>45423</v>
      </c>
      <c r="K391" s="2" t="str">
        <f t="shared" si="49"/>
        <v>OK</v>
      </c>
      <c r="L391" s="2" t="str">
        <f t="shared" si="50"/>
        <v>OK</v>
      </c>
      <c r="M391" s="2" t="str">
        <f t="shared" si="51"/>
        <v>OK</v>
      </c>
      <c r="N391" s="2" t="str">
        <f t="shared" si="52"/>
        <v>MATCH</v>
      </c>
      <c r="O391" s="2" t="str">
        <f t="shared" si="53"/>
        <v>OK</v>
      </c>
      <c r="P391" s="2">
        <f t="shared" si="54"/>
        <v>0</v>
      </c>
      <c r="Q391" s="2" t="str">
        <f t="shared" si="55"/>
        <v>2024-05</v>
      </c>
      <c r="R391" s="3" t="s">
        <v>54</v>
      </c>
      <c r="S391" s="2">
        <f>IF(tblChecks[[#This Row],[AnyError]]="ERROR",1,0)</f>
        <v>0</v>
      </c>
      <c r="T391" s="2">
        <f>IF(tblChecks[[#This Row],[MissingStreet]]="MISSING",1,0)</f>
        <v>0</v>
      </c>
      <c r="U391" t="str">
        <f t="shared" si="48"/>
        <v>OK</v>
      </c>
    </row>
    <row r="392" spans="1:21" x14ac:dyDescent="0.3">
      <c r="A392" s="1" t="str">
        <f>CleanedData!F392</f>
        <v>PROP00391</v>
      </c>
      <c r="B392" s="2" t="str">
        <f>CleanedData!A392</f>
        <v>GermanyHamburg, Germany</v>
      </c>
      <c r="C392" s="2" t="str">
        <f>CleanedData!D392</f>
        <v>Germany</v>
      </c>
      <c r="D392" s="2" t="str">
        <f>CleanedData!E392</f>
        <v>Hamburg</v>
      </c>
      <c r="E392" s="2" t="str">
        <f>CleanedData!O392</f>
        <v>Hamburg</v>
      </c>
      <c r="F392" s="2" t="str">
        <f>CleanedData!M392</f>
        <v>Germany</v>
      </c>
      <c r="G392" s="2" t="str">
        <f>CleanedData!B392</f>
        <v>14067</v>
      </c>
      <c r="H392" s="2" t="str">
        <f>CleanedData!C392</f>
        <v>+46-537543128</v>
      </c>
      <c r="I392" s="2" t="str">
        <f>CleanedData!G392</f>
        <v>Active</v>
      </c>
      <c r="J392" s="14">
        <f>CleanedData!H392</f>
        <v>45863</v>
      </c>
      <c r="K392" s="2" t="str">
        <f t="shared" si="49"/>
        <v>OK</v>
      </c>
      <c r="L392" s="2" t="str">
        <f t="shared" si="50"/>
        <v>OK</v>
      </c>
      <c r="M392" s="2" t="str">
        <f t="shared" si="51"/>
        <v>OK</v>
      </c>
      <c r="N392" s="2" t="str">
        <f t="shared" si="52"/>
        <v>MATCH</v>
      </c>
      <c r="O392" s="2" t="str">
        <f t="shared" si="53"/>
        <v>OK</v>
      </c>
      <c r="P392" s="2">
        <f t="shared" si="54"/>
        <v>0</v>
      </c>
      <c r="Q392" s="2" t="str">
        <f t="shared" si="55"/>
        <v>2025-07</v>
      </c>
      <c r="R392" s="3" t="s">
        <v>39</v>
      </c>
      <c r="S392" s="2">
        <f>IF(tblChecks[[#This Row],[AnyError]]="ERROR",1,0)</f>
        <v>0</v>
      </c>
      <c r="T392" s="2">
        <f>IF(tblChecks[[#This Row],[MissingStreet]]="MISSING",1,0)</f>
        <v>0</v>
      </c>
      <c r="U392" t="str">
        <f t="shared" si="48"/>
        <v>OK</v>
      </c>
    </row>
    <row r="393" spans="1:21" x14ac:dyDescent="0.3">
      <c r="A393" s="1" t="str">
        <f>CleanedData!F393</f>
        <v>PROP00392</v>
      </c>
      <c r="B393" s="2" t="str">
        <f>CleanedData!A393</f>
        <v>JapanKyoto, Japan</v>
      </c>
      <c r="C393" s="2" t="str">
        <f>CleanedData!D393</f>
        <v>Japan</v>
      </c>
      <c r="D393" s="2" t="str">
        <f>CleanedData!E393</f>
        <v>Kyoto</v>
      </c>
      <c r="E393" s="2" t="str">
        <f>CleanedData!O393</f>
        <v>Kyoto</v>
      </c>
      <c r="F393" s="2" t="str">
        <f>CleanedData!M393</f>
        <v>Japan</v>
      </c>
      <c r="G393" s="2" t="str">
        <f>CleanedData!B393</f>
        <v>66633</v>
      </c>
      <c r="H393" s="2" t="str">
        <f>CleanedData!C393</f>
        <v>+42-525166160</v>
      </c>
      <c r="I393" s="2" t="str">
        <f>CleanedData!G393</f>
        <v>Active</v>
      </c>
      <c r="J393" s="14">
        <f>CleanedData!H393</f>
        <v>45242</v>
      </c>
      <c r="K393" s="2" t="str">
        <f t="shared" si="49"/>
        <v>OK</v>
      </c>
      <c r="L393" s="2" t="str">
        <f t="shared" si="50"/>
        <v>OK</v>
      </c>
      <c r="M393" s="2" t="str">
        <f t="shared" si="51"/>
        <v>OK</v>
      </c>
      <c r="N393" s="2" t="str">
        <f t="shared" si="52"/>
        <v>MATCH</v>
      </c>
      <c r="O393" s="2" t="str">
        <f t="shared" si="53"/>
        <v>OK</v>
      </c>
      <c r="P393" s="2">
        <f t="shared" si="54"/>
        <v>0</v>
      </c>
      <c r="Q393" s="2" t="str">
        <f t="shared" si="55"/>
        <v>2023-11</v>
      </c>
      <c r="R393" s="3" t="s">
        <v>39</v>
      </c>
      <c r="S393" s="2">
        <f>IF(tblChecks[[#This Row],[AnyError]]="ERROR",1,0)</f>
        <v>0</v>
      </c>
      <c r="T393" s="2">
        <f>IF(tblChecks[[#This Row],[MissingStreet]]="MISSING",1,0)</f>
        <v>0</v>
      </c>
      <c r="U393" t="str">
        <f t="shared" si="48"/>
        <v>OK</v>
      </c>
    </row>
    <row r="394" spans="1:21" x14ac:dyDescent="0.3">
      <c r="A394" s="1" t="str">
        <f>CleanedData!F394</f>
        <v>PROP00393</v>
      </c>
      <c r="B394" s="2" t="str">
        <f>CleanedData!A394</f>
        <v>ItalyNaplesBenjamin Station30</v>
      </c>
      <c r="C394" s="2" t="str">
        <f>CleanedData!D394</f>
        <v>Italy</v>
      </c>
      <c r="D394" s="2" t="str">
        <f>CleanedData!E394</f>
        <v>Naples</v>
      </c>
      <c r="E394" s="2" t="str">
        <f>CleanedData!O394</f>
        <v>Naples</v>
      </c>
      <c r="F394" s="2" t="str">
        <f>CleanedData!M394</f>
        <v>ItalyNaplesBenjamin Station30</v>
      </c>
      <c r="G394" s="2" t="str">
        <f>CleanedData!B394</f>
        <v>57878</v>
      </c>
      <c r="H394" s="2" t="str">
        <f>CleanedData!C394</f>
        <v>+49-719967367</v>
      </c>
      <c r="I394" s="2" t="str">
        <f>CleanedData!G394</f>
        <v>Inactive</v>
      </c>
      <c r="J394" s="14">
        <f>CleanedData!H394</f>
        <v>45491</v>
      </c>
      <c r="K394" s="2" t="str">
        <f t="shared" si="49"/>
        <v>OK</v>
      </c>
      <c r="L394" s="2" t="str">
        <f t="shared" si="50"/>
        <v>OK</v>
      </c>
      <c r="M394" s="2" t="str">
        <f t="shared" si="51"/>
        <v>OK</v>
      </c>
      <c r="N394" s="2" t="str">
        <f t="shared" si="52"/>
        <v>MATCH</v>
      </c>
      <c r="O394" s="2" t="str">
        <f t="shared" si="53"/>
        <v>OK</v>
      </c>
      <c r="P394" s="2">
        <f t="shared" si="54"/>
        <v>0</v>
      </c>
      <c r="Q394" s="2" t="str">
        <f t="shared" si="55"/>
        <v>2024-07</v>
      </c>
      <c r="R394" s="3" t="s">
        <v>39</v>
      </c>
      <c r="S394" s="2">
        <f>IF(tblChecks[[#This Row],[AnyError]]="ERROR",1,0)</f>
        <v>0</v>
      </c>
      <c r="T394" s="2">
        <f>IF(tblChecks[[#This Row],[MissingStreet]]="MISSING",1,0)</f>
        <v>0</v>
      </c>
      <c r="U394" t="str">
        <f t="shared" si="48"/>
        <v>OK</v>
      </c>
    </row>
    <row r="395" spans="1:21" x14ac:dyDescent="0.3">
      <c r="A395" s="1" t="str">
        <f>CleanedData!F395</f>
        <v>PROP00394</v>
      </c>
      <c r="B395" s="2" t="str">
        <f>CleanedData!A395</f>
        <v>Warren Ridge 49, Ottawa</v>
      </c>
      <c r="C395" s="2" t="str">
        <f>CleanedData!D395</f>
        <v>Canada</v>
      </c>
      <c r="D395" s="2" t="str">
        <f>CleanedData!E395</f>
        <v>Ottawa</v>
      </c>
      <c r="E395" s="2" t="str">
        <f>CleanedData!O395</f>
        <v>Ottawa</v>
      </c>
      <c r="F395" s="2" t="str">
        <f>CleanedData!M395</f>
        <v>Warren Ridge 49</v>
      </c>
      <c r="G395" s="2" t="str">
        <f>CleanedData!B395</f>
        <v>21308</v>
      </c>
      <c r="H395" s="2" t="str">
        <f>CleanedData!C395</f>
        <v>+18-754159419</v>
      </c>
      <c r="I395" s="2" t="str">
        <f>CleanedData!G395</f>
        <v>Inactive</v>
      </c>
      <c r="J395" s="14">
        <f>CleanedData!H395</f>
        <v>45378</v>
      </c>
      <c r="K395" s="2" t="str">
        <f t="shared" si="49"/>
        <v>OK</v>
      </c>
      <c r="L395" s="2" t="str">
        <f t="shared" si="50"/>
        <v>OK</v>
      </c>
      <c r="M395" s="2" t="str">
        <f t="shared" si="51"/>
        <v>OK</v>
      </c>
      <c r="N395" s="2" t="str">
        <f t="shared" si="52"/>
        <v>MATCH</v>
      </c>
      <c r="O395" s="2" t="str">
        <f t="shared" si="53"/>
        <v>OK</v>
      </c>
      <c r="P395" s="2">
        <f t="shared" si="54"/>
        <v>0</v>
      </c>
      <c r="Q395" s="2" t="str">
        <f t="shared" si="55"/>
        <v>2024-03</v>
      </c>
      <c r="R395" s="3" t="s">
        <v>39</v>
      </c>
      <c r="S395" s="2">
        <f>IF(tblChecks[[#This Row],[AnyError]]="ERROR",1,0)</f>
        <v>0</v>
      </c>
      <c r="T395" s="2">
        <f>IF(tblChecks[[#This Row],[MissingStreet]]="MISSING",1,0)</f>
        <v>0</v>
      </c>
      <c r="U395" t="str">
        <f t="shared" si="48"/>
        <v>OK</v>
      </c>
    </row>
    <row r="396" spans="1:21" x14ac:dyDescent="0.3">
      <c r="A396" s="1" t="str">
        <f>CleanedData!F396</f>
        <v>PROP00395</v>
      </c>
      <c r="B396" s="2" t="str">
        <f>CleanedData!A396</f>
        <v>ChicagoWatson Haven5, USA</v>
      </c>
      <c r="C396" s="2" t="str">
        <f>CleanedData!D396</f>
        <v>USA</v>
      </c>
      <c r="D396" s="2" t="str">
        <f>CleanedData!E396</f>
        <v>Chicago</v>
      </c>
      <c r="E396" s="2" t="str">
        <f>CleanedData!O396</f>
        <v>Chicago</v>
      </c>
      <c r="F396" s="2" t="str">
        <f>CleanedData!M396</f>
        <v>ChicagoWatson Haven5</v>
      </c>
      <c r="G396" s="2" t="str">
        <f>CleanedData!B396</f>
        <v>51280</v>
      </c>
      <c r="H396" s="2" t="str">
        <f>CleanedData!C396</f>
        <v>+17-813612190</v>
      </c>
      <c r="I396" s="2" t="str">
        <f>CleanedData!G396</f>
        <v>Active</v>
      </c>
      <c r="J396" s="14">
        <f>CleanedData!H396</f>
        <v>45126</v>
      </c>
      <c r="K396" s="2" t="str">
        <f t="shared" si="49"/>
        <v>OK</v>
      </c>
      <c r="L396" s="2" t="str">
        <f t="shared" si="50"/>
        <v>OK</v>
      </c>
      <c r="M396" s="2" t="str">
        <f t="shared" si="51"/>
        <v>OK</v>
      </c>
      <c r="N396" s="2" t="str">
        <f t="shared" si="52"/>
        <v>MATCH</v>
      </c>
      <c r="O396" s="2" t="str">
        <f t="shared" si="53"/>
        <v>OK</v>
      </c>
      <c r="P396" s="2">
        <f t="shared" si="54"/>
        <v>0</v>
      </c>
      <c r="Q396" s="2" t="str">
        <f t="shared" si="55"/>
        <v>2023-07</v>
      </c>
      <c r="R396" s="3" t="s">
        <v>16</v>
      </c>
      <c r="S396" s="2">
        <f>IF(tblChecks[[#This Row],[AnyError]]="ERROR",1,0)</f>
        <v>0</v>
      </c>
      <c r="T396" s="2">
        <f>IF(tblChecks[[#This Row],[MissingStreet]]="MISSING",1,0)</f>
        <v>0</v>
      </c>
      <c r="U396" t="str">
        <f t="shared" si="48"/>
        <v>OK</v>
      </c>
    </row>
    <row r="397" spans="1:21" x14ac:dyDescent="0.3">
      <c r="A397" s="1" t="str">
        <f>CleanedData!F397</f>
        <v>PROP00396</v>
      </c>
      <c r="B397" s="2" t="str">
        <f>CleanedData!A397</f>
        <v>SpainValencia, Spain</v>
      </c>
      <c r="C397" s="2" t="str">
        <f>CleanedData!D397</f>
        <v>Spain</v>
      </c>
      <c r="D397" s="2" t="str">
        <f>CleanedData!E397</f>
        <v>Valencia</v>
      </c>
      <c r="E397" s="2" t="str">
        <f>CleanedData!O397</f>
        <v>Valencia</v>
      </c>
      <c r="F397" s="2" t="str">
        <f>CleanedData!M397</f>
        <v>Spain</v>
      </c>
      <c r="G397" s="2" t="str">
        <f>CleanedData!B397</f>
        <v>78867</v>
      </c>
      <c r="H397" s="2" t="str">
        <f>CleanedData!C397</f>
        <v>+98-873956665</v>
      </c>
      <c r="I397" s="2" t="str">
        <f>CleanedData!G397</f>
        <v>Active</v>
      </c>
      <c r="J397" s="14">
        <f>CleanedData!H397</f>
        <v>45841</v>
      </c>
      <c r="K397" s="2" t="str">
        <f t="shared" si="49"/>
        <v>OK</v>
      </c>
      <c r="L397" s="2" t="str">
        <f t="shared" si="50"/>
        <v>OK</v>
      </c>
      <c r="M397" s="2" t="str">
        <f t="shared" si="51"/>
        <v>OK</v>
      </c>
      <c r="N397" s="2" t="str">
        <f t="shared" si="52"/>
        <v>MATCH</v>
      </c>
      <c r="O397" s="2" t="str">
        <f t="shared" si="53"/>
        <v>OK</v>
      </c>
      <c r="P397" s="2">
        <f t="shared" si="54"/>
        <v>0</v>
      </c>
      <c r="Q397" s="2" t="str">
        <f t="shared" si="55"/>
        <v>2025-07</v>
      </c>
      <c r="R397" s="3" t="s">
        <v>54</v>
      </c>
      <c r="S397" s="2">
        <f>IF(tblChecks[[#This Row],[AnyError]]="ERROR",1,0)</f>
        <v>0</v>
      </c>
      <c r="T397" s="2">
        <f>IF(tblChecks[[#This Row],[MissingStreet]]="MISSING",1,0)</f>
        <v>0</v>
      </c>
      <c r="U397" t="str">
        <f t="shared" si="48"/>
        <v>OK</v>
      </c>
    </row>
    <row r="398" spans="1:21" x14ac:dyDescent="0.3">
      <c r="A398" s="1" t="str">
        <f>CleanedData!F398</f>
        <v>PROP00397</v>
      </c>
      <c r="B398" s="2" t="str">
        <f>CleanedData!A398</f>
        <v>Japan, Sapporo</v>
      </c>
      <c r="C398" s="2" t="str">
        <f>CleanedData!D398</f>
        <v>Japan</v>
      </c>
      <c r="D398" s="2" t="str">
        <f>CleanedData!E398</f>
        <v>Sapporo</v>
      </c>
      <c r="E398" s="2" t="str">
        <f>CleanedData!O398</f>
        <v>Sapporo</v>
      </c>
      <c r="F398" s="2" t="str">
        <f>CleanedData!M398</f>
        <v>Sapporo</v>
      </c>
      <c r="G398" s="2" t="str">
        <f>CleanedData!B398</f>
        <v>44364</v>
      </c>
      <c r="H398" s="2" t="str">
        <f>CleanedData!C398</f>
        <v>+51-385284157</v>
      </c>
      <c r="I398" s="2" t="str">
        <f>CleanedData!G398</f>
        <v>Active</v>
      </c>
      <c r="J398" s="14">
        <f>CleanedData!H398</f>
        <v>45357</v>
      </c>
      <c r="K398" s="2" t="str">
        <f t="shared" si="49"/>
        <v>OK</v>
      </c>
      <c r="L398" s="2" t="str">
        <f t="shared" si="50"/>
        <v>OK</v>
      </c>
      <c r="M398" s="2" t="str">
        <f t="shared" si="51"/>
        <v>OK</v>
      </c>
      <c r="N398" s="2" t="str">
        <f t="shared" si="52"/>
        <v>MATCH</v>
      </c>
      <c r="O398" s="2" t="str">
        <f t="shared" si="53"/>
        <v>OK</v>
      </c>
      <c r="P398" s="2">
        <f t="shared" si="54"/>
        <v>0</v>
      </c>
      <c r="Q398" s="2" t="str">
        <f t="shared" si="55"/>
        <v>2024-03</v>
      </c>
      <c r="R398" s="3" t="s">
        <v>54</v>
      </c>
      <c r="S398" s="2">
        <f>IF(tblChecks[[#This Row],[AnyError]]="ERROR",1,0)</f>
        <v>0</v>
      </c>
      <c r="T398" s="2">
        <f>IF(tblChecks[[#This Row],[MissingStreet]]="MISSING",1,0)</f>
        <v>0</v>
      </c>
      <c r="U398" t="str">
        <f t="shared" si="48"/>
        <v>OK</v>
      </c>
    </row>
    <row r="399" spans="1:21" x14ac:dyDescent="0.3">
      <c r="A399" s="1" t="str">
        <f>CleanedData!F399</f>
        <v>PROP00398</v>
      </c>
      <c r="B399" s="2" t="str">
        <f>CleanedData!A399</f>
        <v>Sydney, Mark Point 13, Australia</v>
      </c>
      <c r="C399" s="2" t="str">
        <f>CleanedData!D399</f>
        <v>Australia</v>
      </c>
      <c r="D399" s="2" t="str">
        <f>CleanedData!E399</f>
        <v>Sydney</v>
      </c>
      <c r="E399" s="2" t="str">
        <f>CleanedData!O399</f>
        <v>Sydney</v>
      </c>
      <c r="F399" s="2" t="str">
        <f>CleanedData!M399</f>
        <v>Mark Point 13</v>
      </c>
      <c r="G399" s="2" t="str">
        <f>CleanedData!B399</f>
        <v>89417</v>
      </c>
      <c r="H399" s="2" t="str">
        <f>CleanedData!C399</f>
        <v>+5-975556114</v>
      </c>
      <c r="I399" s="2" t="str">
        <f>CleanedData!G399</f>
        <v>Active</v>
      </c>
      <c r="J399" s="14">
        <f>CleanedData!H399</f>
        <v>45575</v>
      </c>
      <c r="K399" s="2" t="str">
        <f t="shared" si="49"/>
        <v>OK</v>
      </c>
      <c r="L399" s="2" t="str">
        <f t="shared" si="50"/>
        <v>OK</v>
      </c>
      <c r="M399" s="2" t="str">
        <f t="shared" si="51"/>
        <v>OK</v>
      </c>
      <c r="N399" s="2" t="str">
        <f t="shared" si="52"/>
        <v>MATCH</v>
      </c>
      <c r="O399" s="2" t="str">
        <f t="shared" si="53"/>
        <v>OK</v>
      </c>
      <c r="P399" s="2">
        <f t="shared" si="54"/>
        <v>0</v>
      </c>
      <c r="Q399" s="2" t="str">
        <f t="shared" si="55"/>
        <v>2024-10</v>
      </c>
      <c r="R399" s="3" t="s">
        <v>16</v>
      </c>
      <c r="S399" s="2">
        <f>IF(tblChecks[[#This Row],[AnyError]]="ERROR",1,0)</f>
        <v>0</v>
      </c>
      <c r="T399" s="2">
        <f>IF(tblChecks[[#This Row],[MissingStreet]]="MISSING",1,0)</f>
        <v>0</v>
      </c>
      <c r="U399" t="str">
        <f t="shared" si="48"/>
        <v>OK</v>
      </c>
    </row>
    <row r="400" spans="1:21" x14ac:dyDescent="0.3">
      <c r="A400" s="1" t="str">
        <f>CleanedData!F400</f>
        <v>PROP00399</v>
      </c>
      <c r="B400" s="2" t="str">
        <f>CleanedData!A400</f>
        <v>Spain, Barcelona</v>
      </c>
      <c r="C400" s="2" t="str">
        <f>CleanedData!D400</f>
        <v>Spain</v>
      </c>
      <c r="D400" s="2" t="str">
        <f>CleanedData!E400</f>
        <v>Barcelona</v>
      </c>
      <c r="E400" s="2" t="str">
        <f>CleanedData!O400</f>
        <v>Barcelona</v>
      </c>
      <c r="F400" s="2" t="str">
        <f>CleanedData!M400</f>
        <v>Barcelona</v>
      </c>
      <c r="G400" s="2" t="str">
        <f>CleanedData!B400</f>
        <v>86558</v>
      </c>
      <c r="H400" s="2" t="str">
        <f>CleanedData!C400</f>
        <v>+11-414993603</v>
      </c>
      <c r="I400" s="2" t="str">
        <f>CleanedData!G400</f>
        <v>Active</v>
      </c>
      <c r="J400" s="14">
        <f>CleanedData!H400</f>
        <v>45675</v>
      </c>
      <c r="K400" s="2" t="str">
        <f t="shared" si="49"/>
        <v>OK</v>
      </c>
      <c r="L400" s="2" t="str">
        <f t="shared" si="50"/>
        <v>OK</v>
      </c>
      <c r="M400" s="2" t="str">
        <f t="shared" si="51"/>
        <v>OK</v>
      </c>
      <c r="N400" s="2" t="str">
        <f t="shared" si="52"/>
        <v>MATCH</v>
      </c>
      <c r="O400" s="2" t="str">
        <f t="shared" si="53"/>
        <v>OK</v>
      </c>
      <c r="P400" s="2">
        <f t="shared" si="54"/>
        <v>0</v>
      </c>
      <c r="Q400" s="2" t="str">
        <f t="shared" si="55"/>
        <v>2025-01</v>
      </c>
      <c r="R400" s="3" t="s">
        <v>23</v>
      </c>
      <c r="S400" s="2">
        <f>IF(tblChecks[[#This Row],[AnyError]]="ERROR",1,0)</f>
        <v>0</v>
      </c>
      <c r="T400" s="2">
        <f>IF(tblChecks[[#This Row],[MissingStreet]]="MISSING",1,0)</f>
        <v>0</v>
      </c>
      <c r="U400" t="str">
        <f t="shared" si="48"/>
        <v>OK</v>
      </c>
    </row>
    <row r="401" spans="1:21" x14ac:dyDescent="0.3">
      <c r="A401" s="1" t="str">
        <f>CleanedData!F401</f>
        <v>PROP00400</v>
      </c>
      <c r="B401" s="2" t="str">
        <f>CleanedData!A401</f>
        <v>Mathew Prairie281, London, UK</v>
      </c>
      <c r="C401" s="2" t="str">
        <f>CleanedData!D401</f>
        <v>UK</v>
      </c>
      <c r="D401" s="2" t="str">
        <f>CleanedData!E401</f>
        <v>London</v>
      </c>
      <c r="E401" s="2" t="str">
        <f>CleanedData!O401</f>
        <v>London</v>
      </c>
      <c r="F401" s="2" t="str">
        <f>CleanedData!M401</f>
        <v>Mathew Prairie281</v>
      </c>
      <c r="G401" s="2" t="str">
        <f>CleanedData!B401</f>
        <v>87481</v>
      </c>
      <c r="H401" s="2" t="str">
        <f>CleanedData!C401</f>
        <v>+29-494448329</v>
      </c>
      <c r="I401" s="2" t="str">
        <f>CleanedData!G401</f>
        <v>Inactive</v>
      </c>
      <c r="J401" s="14">
        <f>CleanedData!H401</f>
        <v>45045</v>
      </c>
      <c r="K401" s="2" t="str">
        <f t="shared" si="49"/>
        <v>OK</v>
      </c>
      <c r="L401" s="2" t="str">
        <f t="shared" si="50"/>
        <v>OK</v>
      </c>
      <c r="M401" s="2" t="str">
        <f t="shared" si="51"/>
        <v>OK</v>
      </c>
      <c r="N401" s="2" t="str">
        <f t="shared" si="52"/>
        <v>MATCH</v>
      </c>
      <c r="O401" s="2" t="str">
        <f t="shared" si="53"/>
        <v>OK</v>
      </c>
      <c r="P401" s="2">
        <f t="shared" si="54"/>
        <v>0</v>
      </c>
      <c r="Q401" s="2" t="str">
        <f t="shared" si="55"/>
        <v>2023-04</v>
      </c>
      <c r="R401" s="3" t="s">
        <v>39</v>
      </c>
      <c r="S401" s="2">
        <f>IF(tblChecks[[#This Row],[AnyError]]="ERROR",1,0)</f>
        <v>0</v>
      </c>
      <c r="T401" s="2">
        <f>IF(tblChecks[[#This Row],[MissingStreet]]="MISSING",1,0)</f>
        <v>0</v>
      </c>
      <c r="U401" t="str">
        <f t="shared" si="48"/>
        <v>OK</v>
      </c>
    </row>
    <row r="402" spans="1:21" x14ac:dyDescent="0.3">
      <c r="A402" s="1" t="str">
        <f>CleanedData!F402</f>
        <v>PROP00401</v>
      </c>
      <c r="B402" s="2" t="str">
        <f>CleanedData!A402</f>
        <v>AustraliaPerth, Australia</v>
      </c>
      <c r="C402" s="2" t="str">
        <f>CleanedData!D402</f>
        <v>Australia</v>
      </c>
      <c r="D402" s="2" t="str">
        <f>CleanedData!E402</f>
        <v>Perth</v>
      </c>
      <c r="E402" s="2" t="str">
        <f>CleanedData!O402</f>
        <v>Perth</v>
      </c>
      <c r="F402" s="2" t="str">
        <f>CleanedData!M402</f>
        <v>Australia</v>
      </c>
      <c r="G402" s="2" t="str">
        <f>CleanedData!B402</f>
        <v>86491</v>
      </c>
      <c r="H402" s="2" t="str">
        <f>CleanedData!C402</f>
        <v>+90-432118309</v>
      </c>
      <c r="I402" s="2" t="str">
        <f>CleanedData!G402</f>
        <v>Inactive</v>
      </c>
      <c r="J402" s="14">
        <f>CleanedData!H402</f>
        <v>45516</v>
      </c>
      <c r="K402" s="2" t="str">
        <f t="shared" si="49"/>
        <v>OK</v>
      </c>
      <c r="L402" s="2" t="str">
        <f t="shared" si="50"/>
        <v>OK</v>
      </c>
      <c r="M402" s="2" t="str">
        <f t="shared" si="51"/>
        <v>OK</v>
      </c>
      <c r="N402" s="2" t="str">
        <f t="shared" si="52"/>
        <v>MATCH</v>
      </c>
      <c r="O402" s="2" t="str">
        <f t="shared" si="53"/>
        <v>OK</v>
      </c>
      <c r="P402" s="2">
        <f t="shared" si="54"/>
        <v>0</v>
      </c>
      <c r="Q402" s="2" t="str">
        <f t="shared" si="55"/>
        <v>2024-08</v>
      </c>
      <c r="R402" s="3" t="s">
        <v>33</v>
      </c>
      <c r="S402" s="2">
        <f>IF(tblChecks[[#This Row],[AnyError]]="ERROR",1,0)</f>
        <v>0</v>
      </c>
      <c r="T402" s="2">
        <f>IF(tblChecks[[#This Row],[MissingStreet]]="MISSING",1,0)</f>
        <v>0</v>
      </c>
      <c r="U402" t="str">
        <f t="shared" si="48"/>
        <v>OK</v>
      </c>
    </row>
    <row r="403" spans="1:21" x14ac:dyDescent="0.3">
      <c r="A403" s="1" t="str">
        <f>CleanedData!F403</f>
        <v>PROP00402</v>
      </c>
      <c r="B403" s="2" t="str">
        <f>CleanedData!A403</f>
        <v>OsakaAnderson Station280, Japan</v>
      </c>
      <c r="C403" s="2" t="str">
        <f>CleanedData!D403</f>
        <v>Japan</v>
      </c>
      <c r="D403" s="2" t="str">
        <f>CleanedData!E403</f>
        <v>Osaka</v>
      </c>
      <c r="E403" s="2" t="str">
        <f>CleanedData!O403</f>
        <v>Osaka</v>
      </c>
      <c r="F403" s="2" t="str">
        <f>CleanedData!M403</f>
        <v>OsakaAnderson Station280</v>
      </c>
      <c r="G403" s="2" t="str">
        <f>CleanedData!B403</f>
        <v>11605</v>
      </c>
      <c r="H403" s="2" t="str">
        <f>CleanedData!C403</f>
        <v>+34-537504305</v>
      </c>
      <c r="I403" s="2" t="str">
        <f>CleanedData!G403</f>
        <v>Active</v>
      </c>
      <c r="J403" s="14">
        <f>CleanedData!H403</f>
        <v>45194</v>
      </c>
      <c r="K403" s="2" t="str">
        <f t="shared" si="49"/>
        <v>OK</v>
      </c>
      <c r="L403" s="2" t="str">
        <f t="shared" si="50"/>
        <v>OK</v>
      </c>
      <c r="M403" s="2" t="str">
        <f t="shared" si="51"/>
        <v>OK</v>
      </c>
      <c r="N403" s="2" t="str">
        <f t="shared" si="52"/>
        <v>MATCH</v>
      </c>
      <c r="O403" s="2" t="str">
        <f t="shared" si="53"/>
        <v>OK</v>
      </c>
      <c r="P403" s="2">
        <f t="shared" si="54"/>
        <v>0</v>
      </c>
      <c r="Q403" s="2" t="str">
        <f t="shared" si="55"/>
        <v>2023-09</v>
      </c>
      <c r="R403" s="3" t="s">
        <v>39</v>
      </c>
      <c r="S403" s="2">
        <f>IF(tblChecks[[#This Row],[AnyError]]="ERROR",1,0)</f>
        <v>0</v>
      </c>
      <c r="T403" s="2">
        <f>IF(tblChecks[[#This Row],[MissingStreet]]="MISSING",1,0)</f>
        <v>0</v>
      </c>
      <c r="U403" t="str">
        <f t="shared" si="48"/>
        <v>OK</v>
      </c>
    </row>
    <row r="404" spans="1:21" x14ac:dyDescent="0.3">
      <c r="A404" s="1" t="str">
        <f>CleanedData!F404</f>
        <v>PROP00403</v>
      </c>
      <c r="B404" s="2" t="str">
        <f>CleanedData!A404</f>
        <v>GermanyBerlin</v>
      </c>
      <c r="C404" s="2" t="str">
        <f>CleanedData!D404</f>
        <v>Germany</v>
      </c>
      <c r="D404" s="2" t="str">
        <f>CleanedData!E404</f>
        <v>Berlin</v>
      </c>
      <c r="E404" s="2" t="str">
        <f>CleanedData!O404</f>
        <v>Berlin</v>
      </c>
      <c r="F404" s="2" t="str">
        <f>CleanedData!M404</f>
        <v/>
      </c>
      <c r="G404" s="2" t="str">
        <f>CleanedData!B404</f>
        <v>43555</v>
      </c>
      <c r="H404" s="2" t="str">
        <f>CleanedData!C404</f>
        <v>+3-857181709</v>
      </c>
      <c r="I404" s="2" t="str">
        <f>CleanedData!G404</f>
        <v>Inactive</v>
      </c>
      <c r="J404" s="14">
        <f>CleanedData!H404</f>
        <v>45975</v>
      </c>
      <c r="K404" s="2" t="str">
        <f t="shared" si="49"/>
        <v>MISSING</v>
      </c>
      <c r="L404" s="2" t="str">
        <f t="shared" si="50"/>
        <v>OK</v>
      </c>
      <c r="M404" s="2" t="str">
        <f t="shared" si="51"/>
        <v>OK</v>
      </c>
      <c r="N404" s="2" t="str">
        <f t="shared" si="52"/>
        <v>MATCH</v>
      </c>
      <c r="O404" s="2" t="str">
        <f t="shared" si="53"/>
        <v>ERROR</v>
      </c>
      <c r="P404" s="2">
        <f t="shared" si="54"/>
        <v>1</v>
      </c>
      <c r="Q404" s="2" t="str">
        <f t="shared" si="55"/>
        <v>2025-11</v>
      </c>
      <c r="R404" s="3" t="s">
        <v>54</v>
      </c>
      <c r="S404" s="2">
        <f>IF(tblChecks[[#This Row],[AnyError]]="ERROR",1,0)</f>
        <v>1</v>
      </c>
      <c r="T404" s="2">
        <f>IF(tblChecks[[#This Row],[MissingStreet]]="MISSING",1,0)</f>
        <v>1</v>
      </c>
      <c r="U404" t="str">
        <f t="shared" si="48"/>
        <v>MissingStreet</v>
      </c>
    </row>
    <row r="405" spans="1:21" x14ac:dyDescent="0.3">
      <c r="A405" s="1" t="str">
        <f>CleanedData!F405</f>
        <v>PROP00404</v>
      </c>
      <c r="B405" s="2" t="str">
        <f>CleanedData!A405</f>
        <v>Elizabeth Village 28, Italy, Florence</v>
      </c>
      <c r="C405" s="2" t="str">
        <f>CleanedData!D405</f>
        <v>Italy</v>
      </c>
      <c r="D405" s="2" t="str">
        <f>CleanedData!E405</f>
        <v>Florence</v>
      </c>
      <c r="E405" s="2" t="str">
        <f>CleanedData!O405</f>
        <v>Florence</v>
      </c>
      <c r="F405" s="2" t="str">
        <f>CleanedData!M405</f>
        <v>Elizabeth Village 28</v>
      </c>
      <c r="G405" s="2" t="str">
        <f>CleanedData!B405</f>
        <v>97333</v>
      </c>
      <c r="H405" s="2" t="str">
        <f>CleanedData!C405</f>
        <v>+89-283167109</v>
      </c>
      <c r="I405" s="2" t="str">
        <f>CleanedData!G405</f>
        <v>Inactive</v>
      </c>
      <c r="J405" s="14">
        <f>CleanedData!H405</f>
        <v>45299</v>
      </c>
      <c r="K405" s="2" t="str">
        <f t="shared" si="49"/>
        <v>OK</v>
      </c>
      <c r="L405" s="2" t="str">
        <f t="shared" si="50"/>
        <v>OK</v>
      </c>
      <c r="M405" s="2" t="str">
        <f t="shared" si="51"/>
        <v>OK</v>
      </c>
      <c r="N405" s="2" t="str">
        <f t="shared" si="52"/>
        <v>MATCH</v>
      </c>
      <c r="O405" s="2" t="str">
        <f t="shared" si="53"/>
        <v>OK</v>
      </c>
      <c r="P405" s="2">
        <f t="shared" si="54"/>
        <v>0</v>
      </c>
      <c r="Q405" s="2" t="str">
        <f t="shared" si="55"/>
        <v>2024-01</v>
      </c>
      <c r="R405" s="3" t="s">
        <v>16</v>
      </c>
      <c r="S405" s="2">
        <f>IF(tblChecks[[#This Row],[AnyError]]="ERROR",1,0)</f>
        <v>0</v>
      </c>
      <c r="T405" s="2">
        <f>IF(tblChecks[[#This Row],[MissingStreet]]="MISSING",1,0)</f>
        <v>0</v>
      </c>
      <c r="U405" t="str">
        <f t="shared" si="48"/>
        <v>OK</v>
      </c>
    </row>
    <row r="406" spans="1:21" x14ac:dyDescent="0.3">
      <c r="A406" s="1" t="str">
        <f>CleanedData!F406</f>
        <v>PROP00405</v>
      </c>
      <c r="B406" s="2" t="str">
        <f>CleanedData!A406</f>
        <v>CanadaOttawa, Canada</v>
      </c>
      <c r="C406" s="2" t="str">
        <f>CleanedData!D406</f>
        <v>Canada</v>
      </c>
      <c r="D406" s="2" t="str">
        <f>CleanedData!E406</f>
        <v>Ottawa</v>
      </c>
      <c r="E406" s="2" t="str">
        <f>CleanedData!O406</f>
        <v>Ottawa</v>
      </c>
      <c r="F406" s="2" t="str">
        <f>CleanedData!M406</f>
        <v>Canada</v>
      </c>
      <c r="G406" s="2" t="str">
        <f>CleanedData!B406</f>
        <v>67149</v>
      </c>
      <c r="H406" s="2" t="str">
        <f>CleanedData!C406</f>
        <v>+50-786311528</v>
      </c>
      <c r="I406" s="2" t="str">
        <f>CleanedData!G406</f>
        <v>Active</v>
      </c>
      <c r="J406" s="14">
        <f>CleanedData!H406</f>
        <v>45978</v>
      </c>
      <c r="K406" s="2" t="str">
        <f t="shared" si="49"/>
        <v>OK</v>
      </c>
      <c r="L406" s="2" t="str">
        <f t="shared" si="50"/>
        <v>OK</v>
      </c>
      <c r="M406" s="2" t="str">
        <f t="shared" si="51"/>
        <v>OK</v>
      </c>
      <c r="N406" s="2" t="str">
        <f t="shared" si="52"/>
        <v>MATCH</v>
      </c>
      <c r="O406" s="2" t="str">
        <f t="shared" si="53"/>
        <v>OK</v>
      </c>
      <c r="P406" s="2">
        <f t="shared" si="54"/>
        <v>0</v>
      </c>
      <c r="Q406" s="2" t="str">
        <f t="shared" si="55"/>
        <v>2025-11</v>
      </c>
      <c r="R406" s="3" t="s">
        <v>54</v>
      </c>
      <c r="S406" s="2">
        <f>IF(tblChecks[[#This Row],[AnyError]]="ERROR",1,0)</f>
        <v>0</v>
      </c>
      <c r="T406" s="2">
        <f>IF(tblChecks[[#This Row],[MissingStreet]]="MISSING",1,0)</f>
        <v>0</v>
      </c>
      <c r="U406" t="str">
        <f t="shared" si="48"/>
        <v>OK</v>
      </c>
    </row>
    <row r="407" spans="1:21" x14ac:dyDescent="0.3">
      <c r="A407" s="1" t="str">
        <f>CleanedData!F407</f>
        <v>PROP00406</v>
      </c>
      <c r="B407" s="2" t="str">
        <f>CleanedData!A407</f>
        <v>Smith Inlet 217, UK, Liverpool</v>
      </c>
      <c r="C407" s="2" t="str">
        <f>CleanedData!D407</f>
        <v>UK</v>
      </c>
      <c r="D407" s="2" t="str">
        <f>CleanedData!E407</f>
        <v>Liverpool</v>
      </c>
      <c r="E407" s="2" t="str">
        <f>CleanedData!O407</f>
        <v>Liverpool</v>
      </c>
      <c r="F407" s="2" t="str">
        <f>CleanedData!M407</f>
        <v>Smith Inlet 217</v>
      </c>
      <c r="G407" s="2" t="str">
        <f>CleanedData!B407</f>
        <v>24128</v>
      </c>
      <c r="H407" s="2" t="str">
        <f>CleanedData!C407</f>
        <v>+37-788345347</v>
      </c>
      <c r="I407" s="2" t="str">
        <f>CleanedData!G407</f>
        <v>Active</v>
      </c>
      <c r="J407" s="14">
        <f>CleanedData!H407</f>
        <v>45886</v>
      </c>
      <c r="K407" s="2" t="str">
        <f t="shared" si="49"/>
        <v>OK</v>
      </c>
      <c r="L407" s="2" t="str">
        <f t="shared" si="50"/>
        <v>OK</v>
      </c>
      <c r="M407" s="2" t="str">
        <f t="shared" si="51"/>
        <v>OK</v>
      </c>
      <c r="N407" s="2" t="str">
        <f t="shared" si="52"/>
        <v>MATCH</v>
      </c>
      <c r="O407" s="2" t="str">
        <f t="shared" si="53"/>
        <v>OK</v>
      </c>
      <c r="P407" s="2">
        <f t="shared" si="54"/>
        <v>0</v>
      </c>
      <c r="Q407" s="2" t="str">
        <f t="shared" si="55"/>
        <v>2025-08</v>
      </c>
      <c r="R407" s="3" t="s">
        <v>16</v>
      </c>
      <c r="S407" s="2">
        <f>IF(tblChecks[[#This Row],[AnyError]]="ERROR",1,0)</f>
        <v>0</v>
      </c>
      <c r="T407" s="2">
        <f>IF(tblChecks[[#This Row],[MissingStreet]]="MISSING",1,0)</f>
        <v>0</v>
      </c>
      <c r="U407" t="str">
        <f t="shared" si="48"/>
        <v>OK</v>
      </c>
    </row>
    <row r="408" spans="1:21" x14ac:dyDescent="0.3">
      <c r="A408" s="1" t="str">
        <f>CleanedData!F408</f>
        <v>PROP00407</v>
      </c>
      <c r="B408" s="2" t="str">
        <f>CleanedData!A408</f>
        <v>Adelaide, Matthew Trafficway 99, Australia</v>
      </c>
      <c r="C408" s="2" t="str">
        <f>CleanedData!D408</f>
        <v>Australia</v>
      </c>
      <c r="D408" s="2" t="str">
        <f>CleanedData!E408</f>
        <v>Adelaide</v>
      </c>
      <c r="E408" s="2" t="str">
        <f>CleanedData!O408</f>
        <v>Adelaide</v>
      </c>
      <c r="F408" s="2" t="str">
        <f>CleanedData!M408</f>
        <v>Matthew Trafficway 99</v>
      </c>
      <c r="G408" s="2" t="str">
        <f>CleanedData!B408</f>
        <v>64237</v>
      </c>
      <c r="H408" s="2" t="str">
        <f>CleanedData!C408</f>
        <v>+64-955163587</v>
      </c>
      <c r="I408" s="2" t="str">
        <f>CleanedData!G408</f>
        <v>Active</v>
      </c>
      <c r="J408" s="14">
        <f>CleanedData!H408</f>
        <v>45882</v>
      </c>
      <c r="K408" s="2" t="str">
        <f t="shared" si="49"/>
        <v>OK</v>
      </c>
      <c r="L408" s="2" t="str">
        <f t="shared" si="50"/>
        <v>OK</v>
      </c>
      <c r="M408" s="2" t="str">
        <f t="shared" si="51"/>
        <v>OK</v>
      </c>
      <c r="N408" s="2" t="str">
        <f t="shared" si="52"/>
        <v>MATCH</v>
      </c>
      <c r="O408" s="2" t="str">
        <f t="shared" si="53"/>
        <v>OK</v>
      </c>
      <c r="P408" s="2">
        <f t="shared" si="54"/>
        <v>0</v>
      </c>
      <c r="Q408" s="2" t="str">
        <f t="shared" si="55"/>
        <v>2025-08</v>
      </c>
      <c r="R408" s="3" t="s">
        <v>16</v>
      </c>
      <c r="S408" s="2">
        <f>IF(tblChecks[[#This Row],[AnyError]]="ERROR",1,0)</f>
        <v>0</v>
      </c>
      <c r="T408" s="2">
        <f>IF(tblChecks[[#This Row],[MissingStreet]]="MISSING",1,0)</f>
        <v>0</v>
      </c>
      <c r="U408" t="str">
        <f t="shared" si="48"/>
        <v>OK</v>
      </c>
    </row>
    <row r="409" spans="1:21" x14ac:dyDescent="0.3">
      <c r="A409" s="1" t="str">
        <f>CleanedData!F409</f>
        <v>PROP00408</v>
      </c>
      <c r="B409" s="2" t="str">
        <f>CleanedData!A409</f>
        <v>AustraliaAdelaideJeremy Dam14</v>
      </c>
      <c r="C409" s="2" t="str">
        <f>CleanedData!D409</f>
        <v>Australia</v>
      </c>
      <c r="D409" s="2" t="str">
        <f>CleanedData!E409</f>
        <v>Adelaide</v>
      </c>
      <c r="E409" s="2" t="str">
        <f>CleanedData!O409</f>
        <v>Adelaide</v>
      </c>
      <c r="F409" s="2" t="str">
        <f>CleanedData!M409</f>
        <v>AustraliaAdelaideJeremy Dam14</v>
      </c>
      <c r="G409" s="2" t="str">
        <f>CleanedData!B409</f>
        <v>20809</v>
      </c>
      <c r="H409" s="2" t="str">
        <f>CleanedData!C409</f>
        <v>+36-842825305</v>
      </c>
      <c r="I409" s="2" t="str">
        <f>CleanedData!G409</f>
        <v>Inactive</v>
      </c>
      <c r="J409" s="14">
        <f>CleanedData!H409</f>
        <v>45447</v>
      </c>
      <c r="K409" s="2" t="str">
        <f t="shared" si="49"/>
        <v>OK</v>
      </c>
      <c r="L409" s="2" t="str">
        <f t="shared" si="50"/>
        <v>OK</v>
      </c>
      <c r="M409" s="2" t="str">
        <f t="shared" si="51"/>
        <v>OK</v>
      </c>
      <c r="N409" s="2" t="str">
        <f t="shared" si="52"/>
        <v>MATCH</v>
      </c>
      <c r="O409" s="2" t="str">
        <f t="shared" si="53"/>
        <v>OK</v>
      </c>
      <c r="P409" s="2">
        <f t="shared" si="54"/>
        <v>0</v>
      </c>
      <c r="Q409" s="2" t="str">
        <f t="shared" si="55"/>
        <v>2024-06</v>
      </c>
      <c r="R409" s="3" t="s">
        <v>33</v>
      </c>
      <c r="S409" s="2">
        <f>IF(tblChecks[[#This Row],[AnyError]]="ERROR",1,0)</f>
        <v>0</v>
      </c>
      <c r="T409" s="2">
        <f>IF(tblChecks[[#This Row],[MissingStreet]]="MISSING",1,0)</f>
        <v>0</v>
      </c>
      <c r="U409" t="str">
        <f t="shared" si="48"/>
        <v>OK</v>
      </c>
    </row>
    <row r="410" spans="1:21" x14ac:dyDescent="0.3">
      <c r="A410" s="1" t="str">
        <f>CleanedData!F410</f>
        <v>PROP00409</v>
      </c>
      <c r="B410" s="2" t="str">
        <f>CleanedData!A410</f>
        <v>Kenneth Turnpike126, Florence, Italy</v>
      </c>
      <c r="C410" s="2" t="str">
        <f>CleanedData!D410</f>
        <v>Italy</v>
      </c>
      <c r="D410" s="2" t="str">
        <f>CleanedData!E410</f>
        <v>Florence</v>
      </c>
      <c r="E410" s="2" t="str">
        <f>CleanedData!O410</f>
        <v>Florence</v>
      </c>
      <c r="F410" s="2" t="str">
        <f>CleanedData!M410</f>
        <v>Kenneth Turnpike126</v>
      </c>
      <c r="G410" s="2" t="str">
        <f>CleanedData!B410</f>
        <v>13757</v>
      </c>
      <c r="H410" s="2" t="str">
        <f>CleanedData!C410</f>
        <v>+41-132112570</v>
      </c>
      <c r="I410" s="2" t="str">
        <f>CleanedData!G410</f>
        <v>Active</v>
      </c>
      <c r="J410" s="14">
        <f>CleanedData!H410</f>
        <v>45344</v>
      </c>
      <c r="K410" s="2" t="str">
        <f t="shared" si="49"/>
        <v>OK</v>
      </c>
      <c r="L410" s="2" t="str">
        <f t="shared" si="50"/>
        <v>OK</v>
      </c>
      <c r="M410" s="2" t="str">
        <f t="shared" si="51"/>
        <v>OK</v>
      </c>
      <c r="N410" s="2" t="str">
        <f t="shared" si="52"/>
        <v>MATCH</v>
      </c>
      <c r="O410" s="2" t="str">
        <f t="shared" si="53"/>
        <v>OK</v>
      </c>
      <c r="P410" s="2">
        <f t="shared" si="54"/>
        <v>0</v>
      </c>
      <c r="Q410" s="2" t="str">
        <f t="shared" si="55"/>
        <v>2024-02</v>
      </c>
      <c r="R410" s="3" t="s">
        <v>54</v>
      </c>
      <c r="S410" s="2">
        <f>IF(tblChecks[[#This Row],[AnyError]]="ERROR",1,0)</f>
        <v>0</v>
      </c>
      <c r="T410" s="2">
        <f>IF(tblChecks[[#This Row],[MissingStreet]]="MISSING",1,0)</f>
        <v>0</v>
      </c>
      <c r="U410" t="str">
        <f t="shared" si="48"/>
        <v>OK</v>
      </c>
    </row>
    <row r="411" spans="1:21" x14ac:dyDescent="0.3">
      <c r="A411" s="1" t="str">
        <f>CleanedData!F411</f>
        <v>PROP00410</v>
      </c>
      <c r="B411" s="2" t="str">
        <f>CleanedData!A411</f>
        <v>GermanyFrankfurtEbony Wells233</v>
      </c>
      <c r="C411" s="2" t="str">
        <f>CleanedData!D411</f>
        <v>Germany</v>
      </c>
      <c r="D411" s="2" t="str">
        <f>CleanedData!E411</f>
        <v>Frankfurt</v>
      </c>
      <c r="E411" s="2" t="str">
        <f>CleanedData!O411</f>
        <v>Frankfurt</v>
      </c>
      <c r="F411" s="2" t="str">
        <f>CleanedData!M411</f>
        <v>GermanyFrankfurtEbony Wells233</v>
      </c>
      <c r="G411" s="2" t="str">
        <f>CleanedData!B411</f>
        <v>81507</v>
      </c>
      <c r="H411" s="2" t="str">
        <f>CleanedData!C411</f>
        <v>+24-444068690</v>
      </c>
      <c r="I411" s="2" t="str">
        <f>CleanedData!G411</f>
        <v>Inactive</v>
      </c>
      <c r="J411" s="14">
        <f>CleanedData!H411</f>
        <v>45164</v>
      </c>
      <c r="K411" s="2" t="str">
        <f t="shared" si="49"/>
        <v>OK</v>
      </c>
      <c r="L411" s="2" t="str">
        <f t="shared" si="50"/>
        <v>OK</v>
      </c>
      <c r="M411" s="2" t="str">
        <f t="shared" si="51"/>
        <v>OK</v>
      </c>
      <c r="N411" s="2" t="str">
        <f t="shared" si="52"/>
        <v>MATCH</v>
      </c>
      <c r="O411" s="2" t="str">
        <f t="shared" si="53"/>
        <v>OK</v>
      </c>
      <c r="P411" s="2">
        <f t="shared" si="54"/>
        <v>0</v>
      </c>
      <c r="Q411" s="2" t="str">
        <f t="shared" si="55"/>
        <v>2023-08</v>
      </c>
      <c r="R411" s="3" t="s">
        <v>39</v>
      </c>
      <c r="S411" s="2">
        <f>IF(tblChecks[[#This Row],[AnyError]]="ERROR",1,0)</f>
        <v>0</v>
      </c>
      <c r="T411" s="2">
        <f>IF(tblChecks[[#This Row],[MissingStreet]]="MISSING",1,0)</f>
        <v>0</v>
      </c>
      <c r="U411" t="str">
        <f t="shared" si="48"/>
        <v>OK</v>
      </c>
    </row>
    <row r="412" spans="1:21" x14ac:dyDescent="0.3">
      <c r="A412" s="1" t="str">
        <f>CleanedData!F412</f>
        <v>PROP00411</v>
      </c>
      <c r="B412" s="2" t="str">
        <f>CleanedData!A412</f>
        <v>Brisbane, Carla Drives 6, Australia</v>
      </c>
      <c r="C412" s="2" t="str">
        <f>CleanedData!D412</f>
        <v>Australia</v>
      </c>
      <c r="D412" s="2" t="str">
        <f>CleanedData!E412</f>
        <v>Brisbane</v>
      </c>
      <c r="E412" s="2" t="str">
        <f>CleanedData!O412</f>
        <v>Brisbane</v>
      </c>
      <c r="F412" s="2" t="str">
        <f>CleanedData!M412</f>
        <v>Carla Drives 6</v>
      </c>
      <c r="G412" s="2" t="str">
        <f>CleanedData!B412</f>
        <v>21767</v>
      </c>
      <c r="H412" s="2" t="str">
        <f>CleanedData!C412</f>
        <v>+19-593541541</v>
      </c>
      <c r="I412" s="2" t="str">
        <f>CleanedData!G412</f>
        <v>Inactive</v>
      </c>
      <c r="J412" s="14">
        <f>CleanedData!H412</f>
        <v>45825</v>
      </c>
      <c r="K412" s="2" t="str">
        <f t="shared" si="49"/>
        <v>OK</v>
      </c>
      <c r="L412" s="2" t="str">
        <f t="shared" si="50"/>
        <v>OK</v>
      </c>
      <c r="M412" s="2" t="str">
        <f t="shared" si="51"/>
        <v>OK</v>
      </c>
      <c r="N412" s="2" t="str">
        <f t="shared" si="52"/>
        <v>MATCH</v>
      </c>
      <c r="O412" s="2" t="str">
        <f t="shared" si="53"/>
        <v>OK</v>
      </c>
      <c r="P412" s="2">
        <f t="shared" si="54"/>
        <v>0</v>
      </c>
      <c r="Q412" s="2" t="str">
        <f t="shared" si="55"/>
        <v>2025-06</v>
      </c>
      <c r="R412" s="3" t="s">
        <v>23</v>
      </c>
      <c r="S412" s="2">
        <f>IF(tblChecks[[#This Row],[AnyError]]="ERROR",1,0)</f>
        <v>0</v>
      </c>
      <c r="T412" s="2">
        <f>IF(tblChecks[[#This Row],[MissingStreet]]="MISSING",1,0)</f>
        <v>0</v>
      </c>
      <c r="U412" t="str">
        <f t="shared" si="48"/>
        <v>OK</v>
      </c>
    </row>
    <row r="413" spans="1:21" x14ac:dyDescent="0.3">
      <c r="A413" s="1" t="str">
        <f>CleanedData!F413</f>
        <v>PROP00412</v>
      </c>
      <c r="B413" s="2" t="str">
        <f>CleanedData!A413</f>
        <v>Marie Trail289, Manchester, UK</v>
      </c>
      <c r="C413" s="2" t="str">
        <f>CleanedData!D413</f>
        <v>UK</v>
      </c>
      <c r="D413" s="2" t="str">
        <f>CleanedData!E413</f>
        <v>Manchester</v>
      </c>
      <c r="E413" s="2" t="str">
        <f>CleanedData!O413</f>
        <v>Manchester</v>
      </c>
      <c r="F413" s="2" t="str">
        <f>CleanedData!M413</f>
        <v>Marie Trail289</v>
      </c>
      <c r="G413" s="2" t="str">
        <f>CleanedData!B413</f>
        <v>82386</v>
      </c>
      <c r="H413" s="2" t="str">
        <f>CleanedData!C413</f>
        <v>+33-336117862</v>
      </c>
      <c r="I413" s="2" t="str">
        <f>CleanedData!G413</f>
        <v>Active</v>
      </c>
      <c r="J413" s="14">
        <f>CleanedData!H413</f>
        <v>45246</v>
      </c>
      <c r="K413" s="2" t="str">
        <f t="shared" si="49"/>
        <v>OK</v>
      </c>
      <c r="L413" s="2" t="str">
        <f t="shared" si="50"/>
        <v>OK</v>
      </c>
      <c r="M413" s="2" t="str">
        <f t="shared" si="51"/>
        <v>OK</v>
      </c>
      <c r="N413" s="2" t="str">
        <f t="shared" si="52"/>
        <v>MATCH</v>
      </c>
      <c r="O413" s="2" t="str">
        <f t="shared" si="53"/>
        <v>OK</v>
      </c>
      <c r="P413" s="2">
        <f t="shared" si="54"/>
        <v>0</v>
      </c>
      <c r="Q413" s="2" t="str">
        <f t="shared" si="55"/>
        <v>2023-11</v>
      </c>
      <c r="R413" s="3" t="s">
        <v>16</v>
      </c>
      <c r="S413" s="2">
        <f>IF(tblChecks[[#This Row],[AnyError]]="ERROR",1,0)</f>
        <v>0</v>
      </c>
      <c r="T413" s="2">
        <f>IF(tblChecks[[#This Row],[MissingStreet]]="MISSING",1,0)</f>
        <v>0</v>
      </c>
      <c r="U413" t="str">
        <f t="shared" si="48"/>
        <v>OK</v>
      </c>
    </row>
    <row r="414" spans="1:21" x14ac:dyDescent="0.3">
      <c r="A414" s="1" t="str">
        <f>CleanedData!F414</f>
        <v>PROP00413</v>
      </c>
      <c r="B414" s="2" t="str">
        <f>CleanedData!A414</f>
        <v>Jennifer Cape130, Naples, Italy</v>
      </c>
      <c r="C414" s="2" t="str">
        <f>CleanedData!D414</f>
        <v>Italy</v>
      </c>
      <c r="D414" s="2" t="str">
        <f>CleanedData!E414</f>
        <v>Naples</v>
      </c>
      <c r="E414" s="2" t="str">
        <f>CleanedData!O414</f>
        <v>Naples</v>
      </c>
      <c r="F414" s="2" t="str">
        <f>CleanedData!M414</f>
        <v>Jennifer Cape130</v>
      </c>
      <c r="G414" s="2" t="str">
        <f>CleanedData!B414</f>
        <v>54353</v>
      </c>
      <c r="H414" s="2" t="str">
        <f>CleanedData!C414</f>
        <v>+46-241858619</v>
      </c>
      <c r="I414" s="2" t="str">
        <f>CleanedData!G414</f>
        <v>Inactive</v>
      </c>
      <c r="J414" s="14">
        <f>CleanedData!H414</f>
        <v>45959</v>
      </c>
      <c r="K414" s="2" t="str">
        <f t="shared" si="49"/>
        <v>OK</v>
      </c>
      <c r="L414" s="2" t="str">
        <f t="shared" si="50"/>
        <v>OK</v>
      </c>
      <c r="M414" s="2" t="str">
        <f t="shared" si="51"/>
        <v>OK</v>
      </c>
      <c r="N414" s="2" t="str">
        <f t="shared" si="52"/>
        <v>MATCH</v>
      </c>
      <c r="O414" s="2" t="str">
        <f t="shared" si="53"/>
        <v>OK</v>
      </c>
      <c r="P414" s="2">
        <f t="shared" si="54"/>
        <v>0</v>
      </c>
      <c r="Q414" s="2" t="str">
        <f t="shared" si="55"/>
        <v>2025-10</v>
      </c>
      <c r="R414" s="3" t="s">
        <v>39</v>
      </c>
      <c r="S414" s="2">
        <f>IF(tblChecks[[#This Row],[AnyError]]="ERROR",1,0)</f>
        <v>0</v>
      </c>
      <c r="T414" s="2">
        <f>IF(tblChecks[[#This Row],[MissingStreet]]="MISSING",1,0)</f>
        <v>0</v>
      </c>
      <c r="U414" t="str">
        <f t="shared" si="48"/>
        <v>OK</v>
      </c>
    </row>
    <row r="415" spans="1:21" x14ac:dyDescent="0.3">
      <c r="A415" s="1" t="str">
        <f>CleanedData!F415</f>
        <v>PROP00414</v>
      </c>
      <c r="B415" s="2" t="str">
        <f>CleanedData!A415</f>
        <v>UKBirminghamRhodes Freeway23</v>
      </c>
      <c r="C415" s="2" t="str">
        <f>CleanedData!D415</f>
        <v>UK</v>
      </c>
      <c r="D415" s="2" t="str">
        <f>CleanedData!E415</f>
        <v>Birmingham</v>
      </c>
      <c r="E415" s="2" t="str">
        <f>CleanedData!O415</f>
        <v>Birmingham</v>
      </c>
      <c r="F415" s="2" t="str">
        <f>CleanedData!M415</f>
        <v>UKBirminghamRhodes Freeway23</v>
      </c>
      <c r="G415" s="2" t="str">
        <f>CleanedData!B415</f>
        <v>58723</v>
      </c>
      <c r="H415" s="2" t="str">
        <f>CleanedData!C415</f>
        <v>+39-617860465</v>
      </c>
      <c r="I415" s="2" t="str">
        <f>CleanedData!G415</f>
        <v>Active</v>
      </c>
      <c r="J415" s="14">
        <f>CleanedData!H415</f>
        <v>45057</v>
      </c>
      <c r="K415" s="2" t="str">
        <f t="shared" si="49"/>
        <v>OK</v>
      </c>
      <c r="L415" s="2" t="str">
        <f t="shared" si="50"/>
        <v>OK</v>
      </c>
      <c r="M415" s="2" t="str">
        <f t="shared" si="51"/>
        <v>OK</v>
      </c>
      <c r="N415" s="2" t="str">
        <f t="shared" si="52"/>
        <v>MATCH</v>
      </c>
      <c r="O415" s="2" t="str">
        <f t="shared" si="53"/>
        <v>OK</v>
      </c>
      <c r="P415" s="2">
        <f t="shared" si="54"/>
        <v>0</v>
      </c>
      <c r="Q415" s="2" t="str">
        <f t="shared" si="55"/>
        <v>2023-05</v>
      </c>
      <c r="R415" s="3" t="s">
        <v>23</v>
      </c>
      <c r="S415" s="2">
        <f>IF(tblChecks[[#This Row],[AnyError]]="ERROR",1,0)</f>
        <v>0</v>
      </c>
      <c r="T415" s="2">
        <f>IF(tblChecks[[#This Row],[MissingStreet]]="MISSING",1,0)</f>
        <v>0</v>
      </c>
      <c r="U415" t="str">
        <f t="shared" si="48"/>
        <v>OK</v>
      </c>
    </row>
    <row r="416" spans="1:21" x14ac:dyDescent="0.3">
      <c r="A416" s="1" t="str">
        <f>CleanedData!F416</f>
        <v>PROP00415</v>
      </c>
      <c r="B416" s="2" t="str">
        <f>CleanedData!A416</f>
        <v>Goodwin Tunnel 111, Perth</v>
      </c>
      <c r="C416" s="2" t="str">
        <f>CleanedData!D416</f>
        <v>Australia</v>
      </c>
      <c r="D416" s="2" t="str">
        <f>CleanedData!E416</f>
        <v>Perth</v>
      </c>
      <c r="E416" s="2" t="str">
        <f>CleanedData!O416</f>
        <v>Perth</v>
      </c>
      <c r="F416" s="2" t="str">
        <f>CleanedData!M416</f>
        <v>Goodwin Tunnel 111</v>
      </c>
      <c r="G416" s="2" t="str">
        <f>CleanedData!B416</f>
        <v>59342</v>
      </c>
      <c r="H416" s="2" t="str">
        <f>CleanedData!C416</f>
        <v>+53-403224896</v>
      </c>
      <c r="I416" s="2" t="str">
        <f>CleanedData!G416</f>
        <v>Inactive</v>
      </c>
      <c r="J416" s="14">
        <f>CleanedData!H416</f>
        <v>45729</v>
      </c>
      <c r="K416" s="2" t="str">
        <f t="shared" si="49"/>
        <v>OK</v>
      </c>
      <c r="L416" s="2" t="str">
        <f t="shared" si="50"/>
        <v>OK</v>
      </c>
      <c r="M416" s="2" t="str">
        <f t="shared" si="51"/>
        <v>OK</v>
      </c>
      <c r="N416" s="2" t="str">
        <f t="shared" si="52"/>
        <v>MATCH</v>
      </c>
      <c r="O416" s="2" t="str">
        <f t="shared" si="53"/>
        <v>OK</v>
      </c>
      <c r="P416" s="2">
        <f t="shared" si="54"/>
        <v>0</v>
      </c>
      <c r="Q416" s="2" t="str">
        <f t="shared" si="55"/>
        <v>2025-03</v>
      </c>
      <c r="R416" s="3" t="s">
        <v>39</v>
      </c>
      <c r="S416" s="2">
        <f>IF(tblChecks[[#This Row],[AnyError]]="ERROR",1,0)</f>
        <v>0</v>
      </c>
      <c r="T416" s="2">
        <f>IF(tblChecks[[#This Row],[MissingStreet]]="MISSING",1,0)</f>
        <v>0</v>
      </c>
      <c r="U416" t="str">
        <f t="shared" si="48"/>
        <v>OK</v>
      </c>
    </row>
    <row r="417" spans="1:21" x14ac:dyDescent="0.3">
      <c r="A417" s="1" t="str">
        <f>CleanedData!F417</f>
        <v>PROP00416</v>
      </c>
      <c r="B417" s="2" t="str">
        <f>CleanedData!A417</f>
        <v>Los Angeles, Amanda Inlet 240, USA</v>
      </c>
      <c r="C417" s="2" t="str">
        <f>CleanedData!D417</f>
        <v>USA</v>
      </c>
      <c r="D417" s="2" t="str">
        <f>CleanedData!E417</f>
        <v>Los Angeles</v>
      </c>
      <c r="E417" s="2" t="str">
        <f>CleanedData!O417</f>
        <v>Los Angeles</v>
      </c>
      <c r="F417" s="2" t="str">
        <f>CleanedData!M417</f>
        <v>Amanda Inlet 240</v>
      </c>
      <c r="G417" s="2" t="str">
        <f>CleanedData!B417</f>
        <v>61975</v>
      </c>
      <c r="H417" s="2" t="str">
        <f>CleanedData!C417</f>
        <v>+58-886810870</v>
      </c>
      <c r="I417" s="2" t="str">
        <f>CleanedData!G417</f>
        <v>Inactive</v>
      </c>
      <c r="J417" s="14">
        <f>CleanedData!H417</f>
        <v>44910</v>
      </c>
      <c r="K417" s="2" t="str">
        <f t="shared" si="49"/>
        <v>OK</v>
      </c>
      <c r="L417" s="2" t="str">
        <f t="shared" si="50"/>
        <v>OK</v>
      </c>
      <c r="M417" s="2" t="str">
        <f t="shared" si="51"/>
        <v>OK</v>
      </c>
      <c r="N417" s="2" t="str">
        <f t="shared" si="52"/>
        <v>MATCH</v>
      </c>
      <c r="O417" s="2" t="str">
        <f t="shared" si="53"/>
        <v>OK</v>
      </c>
      <c r="P417" s="2">
        <f t="shared" si="54"/>
        <v>0</v>
      </c>
      <c r="Q417" s="2" t="str">
        <f t="shared" si="55"/>
        <v>2022-12</v>
      </c>
      <c r="R417" s="3" t="s">
        <v>54</v>
      </c>
      <c r="S417" s="2">
        <f>IF(tblChecks[[#This Row],[AnyError]]="ERROR",1,0)</f>
        <v>0</v>
      </c>
      <c r="T417" s="2">
        <f>IF(tblChecks[[#This Row],[MissingStreet]]="MISSING",1,0)</f>
        <v>0</v>
      </c>
      <c r="U417" t="str">
        <f t="shared" si="48"/>
        <v>OK</v>
      </c>
    </row>
    <row r="418" spans="1:21" x14ac:dyDescent="0.3">
      <c r="A418" s="1" t="str">
        <f>CleanedData!F418</f>
        <v>PROP00417</v>
      </c>
      <c r="B418" s="2" t="str">
        <f>CleanedData!A418</f>
        <v>Canada, Calgary, Micheal Ports 232</v>
      </c>
      <c r="C418" s="2" t="str">
        <f>CleanedData!D418</f>
        <v>Canada</v>
      </c>
      <c r="D418" s="2" t="str">
        <f>CleanedData!E418</f>
        <v>Calgary</v>
      </c>
      <c r="E418" s="2" t="str">
        <f>CleanedData!O418</f>
        <v>Calgary</v>
      </c>
      <c r="F418" s="2" t="str">
        <f>CleanedData!M418</f>
        <v>Micheal Ports 232</v>
      </c>
      <c r="G418" s="2" t="str">
        <f>CleanedData!B418</f>
        <v>58250</v>
      </c>
      <c r="H418" s="2" t="str">
        <f>CleanedData!C418</f>
        <v>+98-594910452</v>
      </c>
      <c r="I418" s="2" t="str">
        <f>CleanedData!G418</f>
        <v>Active</v>
      </c>
      <c r="J418" s="14">
        <f>CleanedData!H418</f>
        <v>45907</v>
      </c>
      <c r="K418" s="2" t="str">
        <f t="shared" si="49"/>
        <v>OK</v>
      </c>
      <c r="L418" s="2" t="str">
        <f t="shared" si="50"/>
        <v>OK</v>
      </c>
      <c r="M418" s="2" t="str">
        <f t="shared" si="51"/>
        <v>OK</v>
      </c>
      <c r="N418" s="2" t="str">
        <f t="shared" si="52"/>
        <v>MATCH</v>
      </c>
      <c r="O418" s="2" t="str">
        <f t="shared" si="53"/>
        <v>OK</v>
      </c>
      <c r="P418" s="2">
        <f t="shared" si="54"/>
        <v>0</v>
      </c>
      <c r="Q418" s="2" t="str">
        <f t="shared" si="55"/>
        <v>2025-09</v>
      </c>
      <c r="R418" s="3" t="s">
        <v>23</v>
      </c>
      <c r="S418" s="2">
        <f>IF(tblChecks[[#This Row],[AnyError]]="ERROR",1,0)</f>
        <v>0</v>
      </c>
      <c r="T418" s="2">
        <f>IF(tblChecks[[#This Row],[MissingStreet]]="MISSING",1,0)</f>
        <v>0</v>
      </c>
      <c r="U418" t="str">
        <f t="shared" si="48"/>
        <v>OK</v>
      </c>
    </row>
    <row r="419" spans="1:21" x14ac:dyDescent="0.3">
      <c r="A419" s="1" t="str">
        <f>CleanedData!F419</f>
        <v>PROP00418</v>
      </c>
      <c r="B419" s="2" t="str">
        <f>CleanedData!A419</f>
        <v>FranceMarseille, France</v>
      </c>
      <c r="C419" s="2" t="str">
        <f>CleanedData!D419</f>
        <v>France</v>
      </c>
      <c r="D419" s="2" t="str">
        <f>CleanedData!E419</f>
        <v>Marseille</v>
      </c>
      <c r="E419" s="2" t="str">
        <f>CleanedData!O419</f>
        <v>Marseille</v>
      </c>
      <c r="F419" s="2" t="str">
        <f>CleanedData!M419</f>
        <v>France</v>
      </c>
      <c r="G419" s="2" t="str">
        <f>CleanedData!B419</f>
        <v>50553</v>
      </c>
      <c r="H419" s="2" t="str">
        <f>CleanedData!C419</f>
        <v>+68-301739796</v>
      </c>
      <c r="I419" s="2" t="str">
        <f>CleanedData!G419</f>
        <v>Inactive</v>
      </c>
      <c r="J419" s="14">
        <f>CleanedData!H419</f>
        <v>45493</v>
      </c>
      <c r="K419" s="2" t="str">
        <f t="shared" si="49"/>
        <v>OK</v>
      </c>
      <c r="L419" s="2" t="str">
        <f t="shared" si="50"/>
        <v>OK</v>
      </c>
      <c r="M419" s="2" t="str">
        <f t="shared" si="51"/>
        <v>OK</v>
      </c>
      <c r="N419" s="2" t="str">
        <f t="shared" si="52"/>
        <v>MATCH</v>
      </c>
      <c r="O419" s="2" t="str">
        <f t="shared" si="53"/>
        <v>OK</v>
      </c>
      <c r="P419" s="2">
        <f t="shared" si="54"/>
        <v>0</v>
      </c>
      <c r="Q419" s="2" t="str">
        <f t="shared" si="55"/>
        <v>2024-07</v>
      </c>
      <c r="R419" s="3" t="s">
        <v>54</v>
      </c>
      <c r="S419" s="2">
        <f>IF(tblChecks[[#This Row],[AnyError]]="ERROR",1,0)</f>
        <v>0</v>
      </c>
      <c r="T419" s="2">
        <f>IF(tblChecks[[#This Row],[MissingStreet]]="MISSING",1,0)</f>
        <v>0</v>
      </c>
      <c r="U419" t="str">
        <f t="shared" si="48"/>
        <v>OK</v>
      </c>
    </row>
    <row r="420" spans="1:21" x14ac:dyDescent="0.3">
      <c r="A420" s="1" t="str">
        <f>CleanedData!F420</f>
        <v>PROP00419</v>
      </c>
      <c r="B420" s="2" t="str">
        <f>CleanedData!A420</f>
        <v>LondonBurch Viaduct255, UK</v>
      </c>
      <c r="C420" s="2" t="str">
        <f>CleanedData!D420</f>
        <v>UK</v>
      </c>
      <c r="D420" s="2" t="str">
        <f>CleanedData!E420</f>
        <v>London</v>
      </c>
      <c r="E420" s="2" t="str">
        <f>CleanedData!O420</f>
        <v>London</v>
      </c>
      <c r="F420" s="2" t="str">
        <f>CleanedData!M420</f>
        <v>LondonBurch Viaduct255</v>
      </c>
      <c r="G420" s="2" t="str">
        <f>CleanedData!B420</f>
        <v>26675</v>
      </c>
      <c r="H420" s="2" t="str">
        <f>CleanedData!C420</f>
        <v>+3-601870526</v>
      </c>
      <c r="I420" s="2" t="str">
        <f>CleanedData!G420</f>
        <v>Inactive</v>
      </c>
      <c r="J420" s="14">
        <f>CleanedData!H420</f>
        <v>44979</v>
      </c>
      <c r="K420" s="2" t="str">
        <f t="shared" si="49"/>
        <v>OK</v>
      </c>
      <c r="L420" s="2" t="str">
        <f t="shared" si="50"/>
        <v>OK</v>
      </c>
      <c r="M420" s="2" t="str">
        <f t="shared" si="51"/>
        <v>OK</v>
      </c>
      <c r="N420" s="2" t="str">
        <f t="shared" si="52"/>
        <v>MATCH</v>
      </c>
      <c r="O420" s="2" t="str">
        <f t="shared" si="53"/>
        <v>OK</v>
      </c>
      <c r="P420" s="2">
        <f t="shared" si="54"/>
        <v>0</v>
      </c>
      <c r="Q420" s="2" t="str">
        <f t="shared" si="55"/>
        <v>2023-02</v>
      </c>
      <c r="R420" s="3" t="s">
        <v>54</v>
      </c>
      <c r="S420" s="2">
        <f>IF(tblChecks[[#This Row],[AnyError]]="ERROR",1,0)</f>
        <v>0</v>
      </c>
      <c r="T420" s="2">
        <f>IF(tblChecks[[#This Row],[MissingStreet]]="MISSING",1,0)</f>
        <v>0</v>
      </c>
      <c r="U420" t="str">
        <f t="shared" si="48"/>
        <v>OK</v>
      </c>
    </row>
    <row r="421" spans="1:21" x14ac:dyDescent="0.3">
      <c r="A421" s="1" t="str">
        <f>CleanedData!F421</f>
        <v>PROP00420</v>
      </c>
      <c r="B421" s="2" t="str">
        <f>CleanedData!A421</f>
        <v>Monique Center 124, Turin</v>
      </c>
      <c r="C421" s="2" t="str">
        <f>CleanedData!D421</f>
        <v>Italy</v>
      </c>
      <c r="D421" s="2" t="str">
        <f>CleanedData!E421</f>
        <v>Turin</v>
      </c>
      <c r="E421" s="2" t="str">
        <f>CleanedData!O421</f>
        <v>Turin</v>
      </c>
      <c r="F421" s="2" t="str">
        <f>CleanedData!M421</f>
        <v>Monique Center 124</v>
      </c>
      <c r="G421" s="2" t="str">
        <f>CleanedData!B421</f>
        <v>84541</v>
      </c>
      <c r="H421" s="2" t="str">
        <f>CleanedData!C421</f>
        <v>+79-560896724</v>
      </c>
      <c r="I421" s="2" t="str">
        <f>CleanedData!G421</f>
        <v>Inactive</v>
      </c>
      <c r="J421" s="14">
        <f>CleanedData!H421</f>
        <v>45081</v>
      </c>
      <c r="K421" s="2" t="str">
        <f t="shared" si="49"/>
        <v>OK</v>
      </c>
      <c r="L421" s="2" t="str">
        <f t="shared" si="50"/>
        <v>OK</v>
      </c>
      <c r="M421" s="2" t="str">
        <f t="shared" si="51"/>
        <v>OK</v>
      </c>
      <c r="N421" s="2" t="str">
        <f t="shared" si="52"/>
        <v>MATCH</v>
      </c>
      <c r="O421" s="2" t="str">
        <f t="shared" si="53"/>
        <v>OK</v>
      </c>
      <c r="P421" s="2">
        <f t="shared" si="54"/>
        <v>0</v>
      </c>
      <c r="Q421" s="2" t="str">
        <f t="shared" si="55"/>
        <v>2023-06</v>
      </c>
      <c r="R421" s="3" t="s">
        <v>23</v>
      </c>
      <c r="S421" s="2">
        <f>IF(tblChecks[[#This Row],[AnyError]]="ERROR",1,0)</f>
        <v>0</v>
      </c>
      <c r="T421" s="2">
        <f>IF(tblChecks[[#This Row],[MissingStreet]]="MISSING",1,0)</f>
        <v>0</v>
      </c>
      <c r="U421" t="str">
        <f t="shared" si="48"/>
        <v>OK</v>
      </c>
    </row>
    <row r="422" spans="1:21" x14ac:dyDescent="0.3">
      <c r="A422" s="1" t="str">
        <f>CleanedData!F422</f>
        <v>PROP00421</v>
      </c>
      <c r="B422" s="2" t="str">
        <f>CleanedData!A422</f>
        <v>Italy, Rome, Sawyer Plaza 184</v>
      </c>
      <c r="C422" s="2" t="str">
        <f>CleanedData!D422</f>
        <v>Italy</v>
      </c>
      <c r="D422" s="2" t="str">
        <f>CleanedData!E422</f>
        <v>Rome</v>
      </c>
      <c r="E422" s="2" t="str">
        <f>CleanedData!O422</f>
        <v>Rome</v>
      </c>
      <c r="F422" s="2" t="str">
        <f>CleanedData!M422</f>
        <v>Sawyer Plaza 184</v>
      </c>
      <c r="G422" s="2" t="str">
        <f>CleanedData!B422</f>
        <v>13947</v>
      </c>
      <c r="H422" s="2" t="str">
        <f>CleanedData!C422</f>
        <v>+65-473106814</v>
      </c>
      <c r="I422" s="2" t="str">
        <f>CleanedData!G422</f>
        <v>Active</v>
      </c>
      <c r="J422" s="14">
        <f>CleanedData!H422</f>
        <v>45812</v>
      </c>
      <c r="K422" s="2" t="str">
        <f t="shared" si="49"/>
        <v>OK</v>
      </c>
      <c r="L422" s="2" t="str">
        <f t="shared" si="50"/>
        <v>OK</v>
      </c>
      <c r="M422" s="2" t="str">
        <f t="shared" si="51"/>
        <v>OK</v>
      </c>
      <c r="N422" s="2" t="str">
        <f t="shared" si="52"/>
        <v>MATCH</v>
      </c>
      <c r="O422" s="2" t="str">
        <f t="shared" si="53"/>
        <v>OK</v>
      </c>
      <c r="P422" s="2">
        <f t="shared" si="54"/>
        <v>0</v>
      </c>
      <c r="Q422" s="2" t="str">
        <f t="shared" si="55"/>
        <v>2025-06</v>
      </c>
      <c r="R422" s="3" t="s">
        <v>54</v>
      </c>
      <c r="S422" s="2">
        <f>IF(tblChecks[[#This Row],[AnyError]]="ERROR",1,0)</f>
        <v>0</v>
      </c>
      <c r="T422" s="2">
        <f>IF(tblChecks[[#This Row],[MissingStreet]]="MISSING",1,0)</f>
        <v>0</v>
      </c>
      <c r="U422" t="str">
        <f t="shared" si="48"/>
        <v>OK</v>
      </c>
    </row>
    <row r="423" spans="1:21" x14ac:dyDescent="0.3">
      <c r="A423" s="1" t="str">
        <f>CleanedData!F423</f>
        <v>PROP00422</v>
      </c>
      <c r="B423" s="2" t="str">
        <f>CleanedData!A423</f>
        <v>Japan, Kyoto</v>
      </c>
      <c r="C423" s="2" t="str">
        <f>CleanedData!D423</f>
        <v>Japan</v>
      </c>
      <c r="D423" s="2" t="str">
        <f>CleanedData!E423</f>
        <v>Kyoto</v>
      </c>
      <c r="E423" s="2" t="str">
        <f>CleanedData!O423</f>
        <v>Kyoto</v>
      </c>
      <c r="F423" s="2" t="str">
        <f>CleanedData!M423</f>
        <v>Kyoto</v>
      </c>
      <c r="G423" s="2" t="str">
        <f>CleanedData!B423</f>
        <v>21513</v>
      </c>
      <c r="H423" s="2" t="str">
        <f>CleanedData!C423</f>
        <v>+12-867104217</v>
      </c>
      <c r="I423" s="2" t="str">
        <f>CleanedData!G423</f>
        <v>Active</v>
      </c>
      <c r="J423" s="14">
        <f>CleanedData!H423</f>
        <v>45278</v>
      </c>
      <c r="K423" s="2" t="str">
        <f t="shared" si="49"/>
        <v>OK</v>
      </c>
      <c r="L423" s="2" t="str">
        <f t="shared" si="50"/>
        <v>OK</v>
      </c>
      <c r="M423" s="2" t="str">
        <f t="shared" si="51"/>
        <v>OK</v>
      </c>
      <c r="N423" s="2" t="str">
        <f t="shared" si="52"/>
        <v>MATCH</v>
      </c>
      <c r="O423" s="2" t="str">
        <f t="shared" si="53"/>
        <v>OK</v>
      </c>
      <c r="P423" s="2">
        <f t="shared" si="54"/>
        <v>0</v>
      </c>
      <c r="Q423" s="2" t="str">
        <f t="shared" si="55"/>
        <v>2023-12</v>
      </c>
      <c r="R423" s="3" t="s">
        <v>33</v>
      </c>
      <c r="S423" s="2">
        <f>IF(tblChecks[[#This Row],[AnyError]]="ERROR",1,0)</f>
        <v>0</v>
      </c>
      <c r="T423" s="2">
        <f>IF(tblChecks[[#This Row],[MissingStreet]]="MISSING",1,0)</f>
        <v>0</v>
      </c>
      <c r="U423" t="str">
        <f t="shared" si="48"/>
        <v>OK</v>
      </c>
    </row>
    <row r="424" spans="1:21" x14ac:dyDescent="0.3">
      <c r="A424" s="1" t="str">
        <f>CleanedData!F424</f>
        <v>PROP00423</v>
      </c>
      <c r="B424" s="2" t="str">
        <f>CleanedData!A424</f>
        <v>UK, London, Cole Passage 242</v>
      </c>
      <c r="C424" s="2" t="str">
        <f>CleanedData!D424</f>
        <v>UK</v>
      </c>
      <c r="D424" s="2" t="str">
        <f>CleanedData!E424</f>
        <v>London</v>
      </c>
      <c r="E424" s="2" t="str">
        <f>CleanedData!O424</f>
        <v>London</v>
      </c>
      <c r="F424" s="2" t="str">
        <f>CleanedData!M424</f>
        <v>Cole Passage 242</v>
      </c>
      <c r="G424" s="2" t="str">
        <f>CleanedData!B424</f>
        <v>19814</v>
      </c>
      <c r="H424" s="2" t="str">
        <f>CleanedData!C424</f>
        <v>+10-632252713</v>
      </c>
      <c r="I424" s="2" t="str">
        <f>CleanedData!G424</f>
        <v>Inactive</v>
      </c>
      <c r="J424" s="14">
        <f>CleanedData!H424</f>
        <v>45469</v>
      </c>
      <c r="K424" s="2" t="str">
        <f t="shared" si="49"/>
        <v>OK</v>
      </c>
      <c r="L424" s="2" t="str">
        <f t="shared" si="50"/>
        <v>OK</v>
      </c>
      <c r="M424" s="2" t="str">
        <f t="shared" si="51"/>
        <v>OK</v>
      </c>
      <c r="N424" s="2" t="str">
        <f t="shared" si="52"/>
        <v>MATCH</v>
      </c>
      <c r="O424" s="2" t="str">
        <f t="shared" si="53"/>
        <v>OK</v>
      </c>
      <c r="P424" s="2">
        <f t="shared" si="54"/>
        <v>0</v>
      </c>
      <c r="Q424" s="2" t="str">
        <f t="shared" si="55"/>
        <v>2024-06</v>
      </c>
      <c r="R424" s="3" t="s">
        <v>33</v>
      </c>
      <c r="S424" s="2">
        <f>IF(tblChecks[[#This Row],[AnyError]]="ERROR",1,0)</f>
        <v>0</v>
      </c>
      <c r="T424" s="2">
        <f>IF(tblChecks[[#This Row],[MissingStreet]]="MISSING",1,0)</f>
        <v>0</v>
      </c>
      <c r="U424" t="str">
        <f t="shared" si="48"/>
        <v>OK</v>
      </c>
    </row>
    <row r="425" spans="1:21" x14ac:dyDescent="0.3">
      <c r="A425" s="1" t="str">
        <f>CleanedData!F425</f>
        <v>PROP00424</v>
      </c>
      <c r="B425" s="2" t="str">
        <f>CleanedData!A425</f>
        <v>France, Paris</v>
      </c>
      <c r="C425" s="2" t="str">
        <f>CleanedData!D425</f>
        <v>France</v>
      </c>
      <c r="D425" s="2" t="str">
        <f>CleanedData!E425</f>
        <v>Paris</v>
      </c>
      <c r="E425" s="2" t="str">
        <f>CleanedData!O425</f>
        <v>Paris</v>
      </c>
      <c r="F425" s="2" t="str">
        <f>CleanedData!M425</f>
        <v>Paris</v>
      </c>
      <c r="G425" s="2" t="str">
        <f>CleanedData!B425</f>
        <v>59631</v>
      </c>
      <c r="H425" s="2" t="str">
        <f>CleanedData!C425</f>
        <v>+30-715287884</v>
      </c>
      <c r="I425" s="2" t="str">
        <f>CleanedData!G425</f>
        <v>Inactive</v>
      </c>
      <c r="J425" s="14">
        <f>CleanedData!H425</f>
        <v>45251</v>
      </c>
      <c r="K425" s="2" t="str">
        <f t="shared" si="49"/>
        <v>OK</v>
      </c>
      <c r="L425" s="2" t="str">
        <f t="shared" si="50"/>
        <v>OK</v>
      </c>
      <c r="M425" s="2" t="str">
        <f t="shared" si="51"/>
        <v>OK</v>
      </c>
      <c r="N425" s="2" t="str">
        <f t="shared" si="52"/>
        <v>MATCH</v>
      </c>
      <c r="O425" s="2" t="str">
        <f t="shared" si="53"/>
        <v>OK</v>
      </c>
      <c r="P425" s="2">
        <f t="shared" si="54"/>
        <v>0</v>
      </c>
      <c r="Q425" s="2" t="str">
        <f t="shared" si="55"/>
        <v>2023-11</v>
      </c>
      <c r="R425" s="3" t="s">
        <v>39</v>
      </c>
      <c r="S425" s="2">
        <f>IF(tblChecks[[#This Row],[AnyError]]="ERROR",1,0)</f>
        <v>0</v>
      </c>
      <c r="T425" s="2">
        <f>IF(tblChecks[[#This Row],[MissingStreet]]="MISSING",1,0)</f>
        <v>0</v>
      </c>
      <c r="U425" t="str">
        <f t="shared" si="48"/>
        <v>OK</v>
      </c>
    </row>
    <row r="426" spans="1:21" x14ac:dyDescent="0.3">
      <c r="A426" s="1" t="str">
        <f>CleanedData!F426</f>
        <v>PROP00425</v>
      </c>
      <c r="B426" s="2" t="str">
        <f>CleanedData!A426</f>
        <v>FranceLyon</v>
      </c>
      <c r="C426" s="2" t="str">
        <f>CleanedData!D426</f>
        <v>France</v>
      </c>
      <c r="D426" s="2" t="str">
        <f>CleanedData!E426</f>
        <v>Lyon</v>
      </c>
      <c r="E426" s="2" t="str">
        <f>CleanedData!O426</f>
        <v>Lyon</v>
      </c>
      <c r="F426" s="2" t="str">
        <f>CleanedData!M426</f>
        <v/>
      </c>
      <c r="G426" s="2" t="str">
        <f>CleanedData!B426</f>
        <v>7481</v>
      </c>
      <c r="H426" s="2" t="str">
        <f>CleanedData!C426</f>
        <v>+72-101402924</v>
      </c>
      <c r="I426" s="2" t="str">
        <f>CleanedData!G426</f>
        <v>Active</v>
      </c>
      <c r="J426" s="14">
        <f>CleanedData!H426</f>
        <v>45362</v>
      </c>
      <c r="K426" s="2" t="str">
        <f t="shared" si="49"/>
        <v>MISSING</v>
      </c>
      <c r="L426" s="2" t="str">
        <f t="shared" si="50"/>
        <v>OK</v>
      </c>
      <c r="M426" s="2" t="str">
        <f t="shared" si="51"/>
        <v>OK</v>
      </c>
      <c r="N426" s="2" t="str">
        <f t="shared" si="52"/>
        <v>MATCH</v>
      </c>
      <c r="O426" s="2" t="str">
        <f t="shared" si="53"/>
        <v>ERROR</v>
      </c>
      <c r="P426" s="2">
        <f t="shared" si="54"/>
        <v>1</v>
      </c>
      <c r="Q426" s="2" t="str">
        <f t="shared" si="55"/>
        <v>2024-03</v>
      </c>
      <c r="R426" s="3" t="s">
        <v>23</v>
      </c>
      <c r="S426" s="2">
        <f>IF(tblChecks[[#This Row],[AnyError]]="ERROR",1,0)</f>
        <v>1</v>
      </c>
      <c r="T426" s="2">
        <f>IF(tblChecks[[#This Row],[MissingStreet]]="MISSING",1,0)</f>
        <v>1</v>
      </c>
      <c r="U426" t="str">
        <f t="shared" si="48"/>
        <v>MissingStreet</v>
      </c>
    </row>
    <row r="427" spans="1:21" x14ac:dyDescent="0.3">
      <c r="A427" s="1" t="str">
        <f>CleanedData!F427</f>
        <v>PROP00426</v>
      </c>
      <c r="B427" s="2" t="str">
        <f>CleanedData!A427</f>
        <v>Shaw Freeway 88, Spain, Seville</v>
      </c>
      <c r="C427" s="2" t="str">
        <f>CleanedData!D427</f>
        <v>Spain</v>
      </c>
      <c r="D427" s="2" t="str">
        <f>CleanedData!E427</f>
        <v>Seville</v>
      </c>
      <c r="E427" s="2" t="str">
        <f>CleanedData!O427</f>
        <v>Seville</v>
      </c>
      <c r="F427" s="2" t="str">
        <f>CleanedData!M427</f>
        <v>Shaw Freeway 88</v>
      </c>
      <c r="G427" s="2" t="str">
        <f>CleanedData!B427</f>
        <v>51116</v>
      </c>
      <c r="H427" s="2" t="str">
        <f>CleanedData!C427</f>
        <v>+25-252463908</v>
      </c>
      <c r="I427" s="2" t="str">
        <f>CleanedData!G427</f>
        <v>Active</v>
      </c>
      <c r="J427" s="14">
        <f>CleanedData!H427</f>
        <v>45054</v>
      </c>
      <c r="K427" s="2" t="str">
        <f t="shared" si="49"/>
        <v>OK</v>
      </c>
      <c r="L427" s="2" t="str">
        <f t="shared" si="50"/>
        <v>OK</v>
      </c>
      <c r="M427" s="2" t="str">
        <f t="shared" si="51"/>
        <v>OK</v>
      </c>
      <c r="N427" s="2" t="str">
        <f t="shared" si="52"/>
        <v>MATCH</v>
      </c>
      <c r="O427" s="2" t="str">
        <f t="shared" si="53"/>
        <v>OK</v>
      </c>
      <c r="P427" s="2">
        <f t="shared" si="54"/>
        <v>0</v>
      </c>
      <c r="Q427" s="2" t="str">
        <f t="shared" si="55"/>
        <v>2023-05</v>
      </c>
      <c r="R427" s="3" t="s">
        <v>16</v>
      </c>
      <c r="S427" s="2">
        <f>IF(tblChecks[[#This Row],[AnyError]]="ERROR",1,0)</f>
        <v>0</v>
      </c>
      <c r="T427" s="2">
        <f>IF(tblChecks[[#This Row],[MissingStreet]]="MISSING",1,0)</f>
        <v>0</v>
      </c>
      <c r="U427" t="str">
        <f t="shared" si="48"/>
        <v>OK</v>
      </c>
    </row>
    <row r="428" spans="1:21" x14ac:dyDescent="0.3">
      <c r="A428" s="1" t="str">
        <f>CleanedData!F428</f>
        <v>PROP00427</v>
      </c>
      <c r="B428" s="2" t="str">
        <f>CleanedData!A428</f>
        <v>Brasília, Nicholas Burgs 214, Brazil</v>
      </c>
      <c r="C428" s="2" t="str">
        <f>CleanedData!D428</f>
        <v>Brazil</v>
      </c>
      <c r="D428" s="2" t="str">
        <f>CleanedData!E428</f>
        <v>Brasília</v>
      </c>
      <c r="E428" s="2" t="str">
        <f>CleanedData!O428</f>
        <v>Brasília</v>
      </c>
      <c r="F428" s="2" t="str">
        <f>CleanedData!M428</f>
        <v>Nicholas Burgs 214</v>
      </c>
      <c r="G428" s="2" t="str">
        <f>CleanedData!B428</f>
        <v>42271</v>
      </c>
      <c r="H428" s="2" t="str">
        <f>CleanedData!C428</f>
        <v>+98-190512043</v>
      </c>
      <c r="I428" s="2" t="str">
        <f>CleanedData!G428</f>
        <v>Active</v>
      </c>
      <c r="J428" s="14">
        <f>CleanedData!H428</f>
        <v>45254</v>
      </c>
      <c r="K428" s="2" t="str">
        <f t="shared" si="49"/>
        <v>OK</v>
      </c>
      <c r="L428" s="2" t="str">
        <f t="shared" si="50"/>
        <v>OK</v>
      </c>
      <c r="M428" s="2" t="str">
        <f t="shared" si="51"/>
        <v>OK</v>
      </c>
      <c r="N428" s="2" t="str">
        <f t="shared" si="52"/>
        <v>MATCH</v>
      </c>
      <c r="O428" s="2" t="str">
        <f t="shared" si="53"/>
        <v>OK</v>
      </c>
      <c r="P428" s="2">
        <f t="shared" si="54"/>
        <v>0</v>
      </c>
      <c r="Q428" s="2" t="str">
        <f t="shared" si="55"/>
        <v>2023-11</v>
      </c>
      <c r="R428" s="3" t="s">
        <v>54</v>
      </c>
      <c r="S428" s="2">
        <f>IF(tblChecks[[#This Row],[AnyError]]="ERROR",1,0)</f>
        <v>0</v>
      </c>
      <c r="T428" s="2">
        <f>IF(tblChecks[[#This Row],[MissingStreet]]="MISSING",1,0)</f>
        <v>0</v>
      </c>
      <c r="U428" t="str">
        <f t="shared" si="48"/>
        <v>OK</v>
      </c>
    </row>
    <row r="429" spans="1:21" x14ac:dyDescent="0.3">
      <c r="A429" s="1" t="str">
        <f>CleanedData!F429</f>
        <v>PROP00428</v>
      </c>
      <c r="B429" s="2" t="str">
        <f>CleanedData!A429</f>
        <v>Mary Run 169, Bordeaux</v>
      </c>
      <c r="C429" s="2" t="str">
        <f>CleanedData!D429</f>
        <v>France</v>
      </c>
      <c r="D429" s="2" t="str">
        <f>CleanedData!E429</f>
        <v>Bordeaux</v>
      </c>
      <c r="E429" s="2" t="str">
        <f>CleanedData!O429</f>
        <v>Bordeaux</v>
      </c>
      <c r="F429" s="2" t="str">
        <f>CleanedData!M429</f>
        <v>Mary Run 169</v>
      </c>
      <c r="G429" s="2" t="str">
        <f>CleanedData!B429</f>
        <v>44448</v>
      </c>
      <c r="H429" s="2" t="str">
        <f>CleanedData!C429</f>
        <v>+14-408408813</v>
      </c>
      <c r="I429" s="2" t="str">
        <f>CleanedData!G429</f>
        <v>Inactive</v>
      </c>
      <c r="J429" s="14">
        <f>CleanedData!H429</f>
        <v>45891</v>
      </c>
      <c r="K429" s="2" t="str">
        <f t="shared" si="49"/>
        <v>OK</v>
      </c>
      <c r="L429" s="2" t="str">
        <f t="shared" si="50"/>
        <v>OK</v>
      </c>
      <c r="M429" s="2" t="str">
        <f t="shared" si="51"/>
        <v>OK</v>
      </c>
      <c r="N429" s="2" t="str">
        <f t="shared" si="52"/>
        <v>MATCH</v>
      </c>
      <c r="O429" s="2" t="str">
        <f t="shared" si="53"/>
        <v>OK</v>
      </c>
      <c r="P429" s="2">
        <f t="shared" si="54"/>
        <v>0</v>
      </c>
      <c r="Q429" s="2" t="str">
        <f t="shared" si="55"/>
        <v>2025-08</v>
      </c>
      <c r="R429" s="3" t="s">
        <v>23</v>
      </c>
      <c r="S429" s="2">
        <f>IF(tblChecks[[#This Row],[AnyError]]="ERROR",1,0)</f>
        <v>0</v>
      </c>
      <c r="T429" s="2">
        <f>IF(tblChecks[[#This Row],[MissingStreet]]="MISSING",1,0)</f>
        <v>0</v>
      </c>
      <c r="U429" t="str">
        <f t="shared" si="48"/>
        <v>OK</v>
      </c>
    </row>
    <row r="430" spans="1:21" x14ac:dyDescent="0.3">
      <c r="A430" s="1" t="str">
        <f>CleanedData!F430</f>
        <v>PROP00429</v>
      </c>
      <c r="B430" s="2" t="str">
        <f>CleanedData!A430</f>
        <v>FranceMarseille</v>
      </c>
      <c r="C430" s="2" t="str">
        <f>CleanedData!D430</f>
        <v>France</v>
      </c>
      <c r="D430" s="2" t="str">
        <f>CleanedData!E430</f>
        <v>Marseille</v>
      </c>
      <c r="E430" s="2" t="str">
        <f>CleanedData!O430</f>
        <v>Marseille</v>
      </c>
      <c r="F430" s="2" t="str">
        <f>CleanedData!M430</f>
        <v/>
      </c>
      <c r="G430" s="2" t="str">
        <f>CleanedData!B430</f>
        <v>62426</v>
      </c>
      <c r="H430" s="2" t="str">
        <f>CleanedData!C430</f>
        <v>+30-233506416</v>
      </c>
      <c r="I430" s="2" t="str">
        <f>CleanedData!G430</f>
        <v>Active</v>
      </c>
      <c r="J430" s="14">
        <f>CleanedData!H430</f>
        <v>45807</v>
      </c>
      <c r="K430" s="2" t="str">
        <f t="shared" si="49"/>
        <v>MISSING</v>
      </c>
      <c r="L430" s="2" t="str">
        <f t="shared" si="50"/>
        <v>OK</v>
      </c>
      <c r="M430" s="2" t="str">
        <f t="shared" si="51"/>
        <v>OK</v>
      </c>
      <c r="N430" s="2" t="str">
        <f t="shared" si="52"/>
        <v>MATCH</v>
      </c>
      <c r="O430" s="2" t="str">
        <f t="shared" si="53"/>
        <v>ERROR</v>
      </c>
      <c r="P430" s="2">
        <f t="shared" si="54"/>
        <v>1</v>
      </c>
      <c r="Q430" s="2" t="str">
        <f t="shared" si="55"/>
        <v>2025-05</v>
      </c>
      <c r="R430" s="3" t="s">
        <v>54</v>
      </c>
      <c r="S430" s="2">
        <f>IF(tblChecks[[#This Row],[AnyError]]="ERROR",1,0)</f>
        <v>1</v>
      </c>
      <c r="T430" s="2">
        <f>IF(tblChecks[[#This Row],[MissingStreet]]="MISSING",1,0)</f>
        <v>1</v>
      </c>
      <c r="U430" t="str">
        <f t="shared" si="48"/>
        <v>MissingStreet</v>
      </c>
    </row>
    <row r="431" spans="1:21" x14ac:dyDescent="0.3">
      <c r="A431" s="1" t="str">
        <f>CleanedData!F431</f>
        <v>PROP00430</v>
      </c>
      <c r="B431" s="2" t="str">
        <f>CleanedData!A431</f>
        <v>Berlin, Katherine Mountains 208, Germany</v>
      </c>
      <c r="C431" s="2" t="str">
        <f>CleanedData!D431</f>
        <v>Germany</v>
      </c>
      <c r="D431" s="2" t="str">
        <f>CleanedData!E431</f>
        <v>Berlin</v>
      </c>
      <c r="E431" s="2" t="str">
        <f>CleanedData!O431</f>
        <v>Berlin</v>
      </c>
      <c r="F431" s="2" t="str">
        <f>CleanedData!M431</f>
        <v>Katherine Mountains 208</v>
      </c>
      <c r="G431" s="2" t="str">
        <f>CleanedData!B431</f>
        <v>59300</v>
      </c>
      <c r="H431" s="2" t="str">
        <f>CleanedData!C431</f>
        <v>+57-231360946</v>
      </c>
      <c r="I431" s="2" t="str">
        <f>CleanedData!G431</f>
        <v>Active</v>
      </c>
      <c r="J431" s="14">
        <f>CleanedData!H431</f>
        <v>45271</v>
      </c>
      <c r="K431" s="2" t="str">
        <f t="shared" si="49"/>
        <v>OK</v>
      </c>
      <c r="L431" s="2" t="str">
        <f t="shared" si="50"/>
        <v>OK</v>
      </c>
      <c r="M431" s="2" t="str">
        <f t="shared" si="51"/>
        <v>OK</v>
      </c>
      <c r="N431" s="2" t="str">
        <f t="shared" si="52"/>
        <v>MATCH</v>
      </c>
      <c r="O431" s="2" t="str">
        <f t="shared" si="53"/>
        <v>OK</v>
      </c>
      <c r="P431" s="2">
        <f t="shared" si="54"/>
        <v>0</v>
      </c>
      <c r="Q431" s="2" t="str">
        <f t="shared" si="55"/>
        <v>2023-12</v>
      </c>
      <c r="R431" s="3" t="s">
        <v>39</v>
      </c>
      <c r="S431" s="2">
        <f>IF(tblChecks[[#This Row],[AnyError]]="ERROR",1,0)</f>
        <v>0</v>
      </c>
      <c r="T431" s="2">
        <f>IF(tblChecks[[#This Row],[MissingStreet]]="MISSING",1,0)</f>
        <v>0</v>
      </c>
      <c r="U431" t="str">
        <f t="shared" si="48"/>
        <v>OK</v>
      </c>
    </row>
    <row r="432" spans="1:21" x14ac:dyDescent="0.3">
      <c r="A432" s="1" t="str">
        <f>CleanedData!F432</f>
        <v>PROP00431</v>
      </c>
      <c r="B432" s="2" t="str">
        <f>CleanedData!A432</f>
        <v>ItalyRome</v>
      </c>
      <c r="C432" s="2" t="str">
        <f>CleanedData!D432</f>
        <v>Italy</v>
      </c>
      <c r="D432" s="2" t="str">
        <f>CleanedData!E432</f>
        <v>Rome</v>
      </c>
      <c r="E432" s="2" t="str">
        <f>CleanedData!O432</f>
        <v>Rome</v>
      </c>
      <c r="F432" s="2" t="str">
        <f>CleanedData!M432</f>
        <v/>
      </c>
      <c r="G432" s="2" t="str">
        <f>CleanedData!B432</f>
        <v>34045</v>
      </c>
      <c r="H432" s="2" t="str">
        <f>CleanedData!C432</f>
        <v>+74-224464313</v>
      </c>
      <c r="I432" s="2" t="str">
        <f>CleanedData!G432</f>
        <v>Inactive</v>
      </c>
      <c r="J432" s="14">
        <f>CleanedData!H432</f>
        <v>44989</v>
      </c>
      <c r="K432" s="2" t="str">
        <f t="shared" si="49"/>
        <v>MISSING</v>
      </c>
      <c r="L432" s="2" t="str">
        <f t="shared" si="50"/>
        <v>OK</v>
      </c>
      <c r="M432" s="2" t="str">
        <f t="shared" si="51"/>
        <v>OK</v>
      </c>
      <c r="N432" s="2" t="str">
        <f t="shared" si="52"/>
        <v>MATCH</v>
      </c>
      <c r="O432" s="2" t="str">
        <f t="shared" si="53"/>
        <v>ERROR</v>
      </c>
      <c r="P432" s="2">
        <f t="shared" si="54"/>
        <v>1</v>
      </c>
      <c r="Q432" s="2" t="str">
        <f t="shared" si="55"/>
        <v>2023-03</v>
      </c>
      <c r="R432" s="3" t="s">
        <v>39</v>
      </c>
      <c r="S432" s="2">
        <f>IF(tblChecks[[#This Row],[AnyError]]="ERROR",1,0)</f>
        <v>1</v>
      </c>
      <c r="T432" s="2">
        <f>IF(tblChecks[[#This Row],[MissingStreet]]="MISSING",1,0)</f>
        <v>1</v>
      </c>
      <c r="U432" t="str">
        <f t="shared" si="48"/>
        <v>MissingStreet</v>
      </c>
    </row>
    <row r="433" spans="1:21" x14ac:dyDescent="0.3">
      <c r="A433" s="1" t="str">
        <f>CleanedData!F433</f>
        <v>PROP00432</v>
      </c>
      <c r="B433" s="2" t="str">
        <f>CleanedData!A433</f>
        <v>Munich, Mary Plaza 227, Germany</v>
      </c>
      <c r="C433" s="2" t="str">
        <f>CleanedData!D433</f>
        <v>Germany</v>
      </c>
      <c r="D433" s="2" t="str">
        <f>CleanedData!E433</f>
        <v>Munich</v>
      </c>
      <c r="E433" s="2" t="str">
        <f>CleanedData!O433</f>
        <v>Munich</v>
      </c>
      <c r="F433" s="2" t="str">
        <f>CleanedData!M433</f>
        <v>Mary Plaza 227</v>
      </c>
      <c r="G433" s="2" t="str">
        <f>CleanedData!B433</f>
        <v>95821</v>
      </c>
      <c r="H433" s="2" t="str">
        <f>CleanedData!C433</f>
        <v>+12-313079520</v>
      </c>
      <c r="I433" s="2" t="str">
        <f>CleanedData!G433</f>
        <v>Inactive</v>
      </c>
      <c r="J433" s="14">
        <f>CleanedData!H433</f>
        <v>45293</v>
      </c>
      <c r="K433" s="2" t="str">
        <f t="shared" si="49"/>
        <v>OK</v>
      </c>
      <c r="L433" s="2" t="str">
        <f t="shared" si="50"/>
        <v>OK</v>
      </c>
      <c r="M433" s="2" t="str">
        <f t="shared" si="51"/>
        <v>OK</v>
      </c>
      <c r="N433" s="2" t="str">
        <f t="shared" si="52"/>
        <v>MATCH</v>
      </c>
      <c r="O433" s="2" t="str">
        <f t="shared" si="53"/>
        <v>OK</v>
      </c>
      <c r="P433" s="2">
        <f t="shared" si="54"/>
        <v>0</v>
      </c>
      <c r="Q433" s="2" t="str">
        <f t="shared" si="55"/>
        <v>2024-01</v>
      </c>
      <c r="R433" s="3" t="s">
        <v>33</v>
      </c>
      <c r="S433" s="2">
        <f>IF(tblChecks[[#This Row],[AnyError]]="ERROR",1,0)</f>
        <v>0</v>
      </c>
      <c r="T433" s="2">
        <f>IF(tblChecks[[#This Row],[MissingStreet]]="MISSING",1,0)</f>
        <v>0</v>
      </c>
      <c r="U433" t="str">
        <f t="shared" si="48"/>
        <v>OK</v>
      </c>
    </row>
    <row r="434" spans="1:21" x14ac:dyDescent="0.3">
      <c r="A434" s="1" t="str">
        <f>CleanedData!F434</f>
        <v>PROP00433</v>
      </c>
      <c r="B434" s="2" t="str">
        <f>CleanedData!A434</f>
        <v>Rodriguez Heights 58, Berlin</v>
      </c>
      <c r="C434" s="2" t="str">
        <f>CleanedData!D434</f>
        <v>Germany</v>
      </c>
      <c r="D434" s="2" t="str">
        <f>CleanedData!E434</f>
        <v>Berlin</v>
      </c>
      <c r="E434" s="2" t="str">
        <f>CleanedData!O434</f>
        <v>Berlin</v>
      </c>
      <c r="F434" s="2" t="str">
        <f>CleanedData!M434</f>
        <v>Rodriguez Heights 58</v>
      </c>
      <c r="G434" s="2" t="str">
        <f>CleanedData!B434</f>
        <v>31648</v>
      </c>
      <c r="H434" s="2" t="str">
        <f>CleanedData!C434</f>
        <v>+40-885281469</v>
      </c>
      <c r="I434" s="2" t="str">
        <f>CleanedData!G434</f>
        <v>Inactive</v>
      </c>
      <c r="J434" s="14">
        <f>CleanedData!H434</f>
        <v>45204</v>
      </c>
      <c r="K434" s="2" t="str">
        <f t="shared" si="49"/>
        <v>OK</v>
      </c>
      <c r="L434" s="2" t="str">
        <f t="shared" si="50"/>
        <v>OK</v>
      </c>
      <c r="M434" s="2" t="str">
        <f t="shared" si="51"/>
        <v>OK</v>
      </c>
      <c r="N434" s="2" t="str">
        <f t="shared" si="52"/>
        <v>MATCH</v>
      </c>
      <c r="O434" s="2" t="str">
        <f t="shared" si="53"/>
        <v>OK</v>
      </c>
      <c r="P434" s="2">
        <f t="shared" si="54"/>
        <v>0</v>
      </c>
      <c r="Q434" s="2" t="str">
        <f t="shared" si="55"/>
        <v>2023-10</v>
      </c>
      <c r="R434" s="3" t="s">
        <v>33</v>
      </c>
      <c r="S434" s="2">
        <f>IF(tblChecks[[#This Row],[AnyError]]="ERROR",1,0)</f>
        <v>0</v>
      </c>
      <c r="T434" s="2">
        <f>IF(tblChecks[[#This Row],[MissingStreet]]="MISSING",1,0)</f>
        <v>0</v>
      </c>
      <c r="U434" t="str">
        <f t="shared" si="48"/>
        <v>OK</v>
      </c>
    </row>
    <row r="435" spans="1:21" x14ac:dyDescent="0.3">
      <c r="A435" s="1" t="str">
        <f>CleanedData!F435</f>
        <v>PROP00434</v>
      </c>
      <c r="B435" s="2" t="str">
        <f>CleanedData!A435</f>
        <v>USA, Houston, Martinez Garden 131</v>
      </c>
      <c r="C435" s="2" t="str">
        <f>CleanedData!D435</f>
        <v>USA</v>
      </c>
      <c r="D435" s="2" t="str">
        <f>CleanedData!E435</f>
        <v>Houston</v>
      </c>
      <c r="E435" s="2" t="str">
        <f>CleanedData!O435</f>
        <v>Houston</v>
      </c>
      <c r="F435" s="2" t="str">
        <f>CleanedData!M435</f>
        <v>Martinez Garden 131</v>
      </c>
      <c r="G435" s="2" t="str">
        <f>CleanedData!B435</f>
        <v>55528</v>
      </c>
      <c r="H435" s="2" t="str">
        <f>CleanedData!C435</f>
        <v>+62-853313608</v>
      </c>
      <c r="I435" s="2" t="str">
        <f>CleanedData!G435</f>
        <v>Inactive</v>
      </c>
      <c r="J435" s="14">
        <f>CleanedData!H435</f>
        <v>45309</v>
      </c>
      <c r="K435" s="2" t="str">
        <f t="shared" si="49"/>
        <v>OK</v>
      </c>
      <c r="L435" s="2" t="str">
        <f t="shared" si="50"/>
        <v>OK</v>
      </c>
      <c r="M435" s="2" t="str">
        <f t="shared" si="51"/>
        <v>OK</v>
      </c>
      <c r="N435" s="2" t="str">
        <f t="shared" si="52"/>
        <v>MATCH</v>
      </c>
      <c r="O435" s="2" t="str">
        <f t="shared" si="53"/>
        <v>OK</v>
      </c>
      <c r="P435" s="2">
        <f t="shared" si="54"/>
        <v>0</v>
      </c>
      <c r="Q435" s="2" t="str">
        <f t="shared" si="55"/>
        <v>2024-01</v>
      </c>
      <c r="R435" s="3" t="s">
        <v>33</v>
      </c>
      <c r="S435" s="2">
        <f>IF(tblChecks[[#This Row],[AnyError]]="ERROR",1,0)</f>
        <v>0</v>
      </c>
      <c r="T435" s="2">
        <f>IF(tblChecks[[#This Row],[MissingStreet]]="MISSING",1,0)</f>
        <v>0</v>
      </c>
      <c r="U435" t="str">
        <f t="shared" si="48"/>
        <v>OK</v>
      </c>
    </row>
    <row r="436" spans="1:21" x14ac:dyDescent="0.3">
      <c r="A436" s="1" t="str">
        <f>CleanedData!F436</f>
        <v>PROP00435</v>
      </c>
      <c r="B436" s="2" t="str">
        <f>CleanedData!A436</f>
        <v>USAPhoenix, USA</v>
      </c>
      <c r="C436" s="2" t="str">
        <f>CleanedData!D436</f>
        <v>USA</v>
      </c>
      <c r="D436" s="2" t="str">
        <f>CleanedData!E436</f>
        <v>Phoenix</v>
      </c>
      <c r="E436" s="2" t="str">
        <f>CleanedData!O436</f>
        <v>Phoenix</v>
      </c>
      <c r="F436" s="2" t="str">
        <f>CleanedData!M436</f>
        <v>USA</v>
      </c>
      <c r="G436" s="2" t="str">
        <f>CleanedData!B436</f>
        <v>66014</v>
      </c>
      <c r="H436" s="2" t="str">
        <f>CleanedData!C436</f>
        <v>+38-672393576</v>
      </c>
      <c r="I436" s="2" t="str">
        <f>CleanedData!G436</f>
        <v>Active</v>
      </c>
      <c r="J436" s="14">
        <f>CleanedData!H436</f>
        <v>45356</v>
      </c>
      <c r="K436" s="2" t="str">
        <f t="shared" si="49"/>
        <v>OK</v>
      </c>
      <c r="L436" s="2" t="str">
        <f t="shared" si="50"/>
        <v>OK</v>
      </c>
      <c r="M436" s="2" t="str">
        <f t="shared" si="51"/>
        <v>OK</v>
      </c>
      <c r="N436" s="2" t="str">
        <f t="shared" si="52"/>
        <v>MATCH</v>
      </c>
      <c r="O436" s="2" t="str">
        <f t="shared" si="53"/>
        <v>OK</v>
      </c>
      <c r="P436" s="2">
        <f t="shared" si="54"/>
        <v>0</v>
      </c>
      <c r="Q436" s="2" t="str">
        <f t="shared" si="55"/>
        <v>2024-03</v>
      </c>
      <c r="R436" s="3" t="s">
        <v>39</v>
      </c>
      <c r="S436" s="2">
        <f>IF(tblChecks[[#This Row],[AnyError]]="ERROR",1,0)</f>
        <v>0</v>
      </c>
      <c r="T436" s="2">
        <f>IF(tblChecks[[#This Row],[MissingStreet]]="MISSING",1,0)</f>
        <v>0</v>
      </c>
      <c r="U436" t="str">
        <f t="shared" si="48"/>
        <v>OK</v>
      </c>
    </row>
    <row r="437" spans="1:21" x14ac:dyDescent="0.3">
      <c r="A437" s="1" t="str">
        <f>CleanedData!F437</f>
        <v>PROP00436</v>
      </c>
      <c r="B437" s="2" t="str">
        <f>CleanedData!A437</f>
        <v>FranceLyon</v>
      </c>
      <c r="C437" s="2" t="str">
        <f>CleanedData!D437</f>
        <v>France</v>
      </c>
      <c r="D437" s="2" t="str">
        <f>CleanedData!E437</f>
        <v>Lyon</v>
      </c>
      <c r="E437" s="2" t="str">
        <f>CleanedData!O437</f>
        <v>Lyon</v>
      </c>
      <c r="F437" s="2" t="str">
        <f>CleanedData!M437</f>
        <v/>
      </c>
      <c r="G437" s="2" t="str">
        <f>CleanedData!B437</f>
        <v>32212</v>
      </c>
      <c r="H437" s="2" t="str">
        <f>CleanedData!C437</f>
        <v>+45-554730929</v>
      </c>
      <c r="I437" s="2" t="str">
        <f>CleanedData!G437</f>
        <v>Inactive</v>
      </c>
      <c r="J437" s="14">
        <f>CleanedData!H437</f>
        <v>45521</v>
      </c>
      <c r="K437" s="2" t="str">
        <f t="shared" si="49"/>
        <v>MISSING</v>
      </c>
      <c r="L437" s="2" t="str">
        <f t="shared" si="50"/>
        <v>OK</v>
      </c>
      <c r="M437" s="2" t="str">
        <f t="shared" si="51"/>
        <v>OK</v>
      </c>
      <c r="N437" s="2" t="str">
        <f t="shared" si="52"/>
        <v>MATCH</v>
      </c>
      <c r="O437" s="2" t="str">
        <f t="shared" si="53"/>
        <v>ERROR</v>
      </c>
      <c r="P437" s="2">
        <f t="shared" si="54"/>
        <v>1</v>
      </c>
      <c r="Q437" s="2" t="str">
        <f t="shared" si="55"/>
        <v>2024-08</v>
      </c>
      <c r="R437" s="3" t="s">
        <v>54</v>
      </c>
      <c r="S437" s="2">
        <f>IF(tblChecks[[#This Row],[AnyError]]="ERROR",1,0)</f>
        <v>1</v>
      </c>
      <c r="T437" s="2">
        <f>IF(tblChecks[[#This Row],[MissingStreet]]="MISSING",1,0)</f>
        <v>1</v>
      </c>
      <c r="U437" t="str">
        <f t="shared" si="48"/>
        <v>MissingStreet</v>
      </c>
    </row>
    <row r="438" spans="1:21" x14ac:dyDescent="0.3">
      <c r="A438" s="1" t="str">
        <f>CleanedData!F438</f>
        <v>PROP00437</v>
      </c>
      <c r="B438" s="2" t="str">
        <f>CleanedData!A438</f>
        <v>SpainSeville, Spain</v>
      </c>
      <c r="C438" s="2" t="str">
        <f>CleanedData!D438</f>
        <v>Spain</v>
      </c>
      <c r="D438" s="2" t="str">
        <f>CleanedData!E438</f>
        <v>Seville</v>
      </c>
      <c r="E438" s="2" t="str">
        <f>CleanedData!O438</f>
        <v>Seville</v>
      </c>
      <c r="F438" s="2" t="str">
        <f>CleanedData!M438</f>
        <v>Spain</v>
      </c>
      <c r="G438" s="2" t="str">
        <f>CleanedData!B438</f>
        <v>81085</v>
      </c>
      <c r="H438" s="2" t="str">
        <f>CleanedData!C438</f>
        <v>+23-238983003</v>
      </c>
      <c r="I438" s="2" t="str">
        <f>CleanedData!G438</f>
        <v>Inactive</v>
      </c>
      <c r="J438" s="14">
        <f>CleanedData!H438</f>
        <v>45924</v>
      </c>
      <c r="K438" s="2" t="str">
        <f t="shared" si="49"/>
        <v>OK</v>
      </c>
      <c r="L438" s="2" t="str">
        <f t="shared" si="50"/>
        <v>OK</v>
      </c>
      <c r="M438" s="2" t="str">
        <f t="shared" si="51"/>
        <v>OK</v>
      </c>
      <c r="N438" s="2" t="str">
        <f t="shared" si="52"/>
        <v>MATCH</v>
      </c>
      <c r="O438" s="2" t="str">
        <f t="shared" si="53"/>
        <v>OK</v>
      </c>
      <c r="P438" s="2">
        <f t="shared" si="54"/>
        <v>0</v>
      </c>
      <c r="Q438" s="2" t="str">
        <f t="shared" si="55"/>
        <v>2025-09</v>
      </c>
      <c r="R438" s="3" t="s">
        <v>23</v>
      </c>
      <c r="S438" s="2">
        <f>IF(tblChecks[[#This Row],[AnyError]]="ERROR",1,0)</f>
        <v>0</v>
      </c>
      <c r="T438" s="2">
        <f>IF(tblChecks[[#This Row],[MissingStreet]]="MISSING",1,0)</f>
        <v>0</v>
      </c>
      <c r="U438" t="str">
        <f t="shared" si="48"/>
        <v>OK</v>
      </c>
    </row>
    <row r="439" spans="1:21" x14ac:dyDescent="0.3">
      <c r="A439" s="1" t="str">
        <f>CleanedData!F439</f>
        <v>PROP00438</v>
      </c>
      <c r="B439" s="2" t="str">
        <f>CleanedData!A439</f>
        <v>FranceToulouse, France</v>
      </c>
      <c r="C439" s="2" t="str">
        <f>CleanedData!D439</f>
        <v>France</v>
      </c>
      <c r="D439" s="2" t="str">
        <f>CleanedData!E439</f>
        <v>Toulouse</v>
      </c>
      <c r="E439" s="2" t="str">
        <f>CleanedData!O439</f>
        <v>Toulouse</v>
      </c>
      <c r="F439" s="2" t="str">
        <f>CleanedData!M439</f>
        <v>France</v>
      </c>
      <c r="G439" s="2" t="str">
        <f>CleanedData!B439</f>
        <v>25052</v>
      </c>
      <c r="H439" s="2" t="str">
        <f>CleanedData!C439</f>
        <v>+78-817396246</v>
      </c>
      <c r="I439" s="2" t="str">
        <f>CleanedData!G439</f>
        <v>Active</v>
      </c>
      <c r="J439" s="14">
        <f>CleanedData!H439</f>
        <v>45521</v>
      </c>
      <c r="K439" s="2" t="str">
        <f t="shared" si="49"/>
        <v>OK</v>
      </c>
      <c r="L439" s="2" t="str">
        <f t="shared" si="50"/>
        <v>OK</v>
      </c>
      <c r="M439" s="2" t="str">
        <f t="shared" si="51"/>
        <v>OK</v>
      </c>
      <c r="N439" s="2" t="str">
        <f t="shared" si="52"/>
        <v>MATCH</v>
      </c>
      <c r="O439" s="2" t="str">
        <f t="shared" si="53"/>
        <v>OK</v>
      </c>
      <c r="P439" s="2">
        <f t="shared" si="54"/>
        <v>0</v>
      </c>
      <c r="Q439" s="2" t="str">
        <f t="shared" si="55"/>
        <v>2024-08</v>
      </c>
      <c r="R439" s="3" t="s">
        <v>39</v>
      </c>
      <c r="S439" s="2">
        <f>IF(tblChecks[[#This Row],[AnyError]]="ERROR",1,0)</f>
        <v>0</v>
      </c>
      <c r="T439" s="2">
        <f>IF(tblChecks[[#This Row],[MissingStreet]]="MISSING",1,0)</f>
        <v>0</v>
      </c>
      <c r="U439" t="str">
        <f t="shared" si="48"/>
        <v>OK</v>
      </c>
    </row>
    <row r="440" spans="1:21" x14ac:dyDescent="0.3">
      <c r="A440" s="1" t="str">
        <f>CleanedData!F440</f>
        <v>PROP00439</v>
      </c>
      <c r="B440" s="2" t="str">
        <f>CleanedData!A440</f>
        <v>USA, Phoenix, Alexandra Lake 91</v>
      </c>
      <c r="C440" s="2" t="str">
        <f>CleanedData!D440</f>
        <v>USA</v>
      </c>
      <c r="D440" s="2" t="str">
        <f>CleanedData!E440</f>
        <v>Phoenix</v>
      </c>
      <c r="E440" s="2" t="str">
        <f>CleanedData!O440</f>
        <v>Phoenix</v>
      </c>
      <c r="F440" s="2" t="str">
        <f>CleanedData!M440</f>
        <v>Alexandra Lake 91</v>
      </c>
      <c r="G440" s="2" t="str">
        <f>CleanedData!B440</f>
        <v>9371</v>
      </c>
      <c r="H440" s="2" t="str">
        <f>CleanedData!C440</f>
        <v>+71-392240399</v>
      </c>
      <c r="I440" s="2" t="str">
        <f>CleanedData!G440</f>
        <v>Active</v>
      </c>
      <c r="J440" s="14">
        <f>CleanedData!H440</f>
        <v>45084</v>
      </c>
      <c r="K440" s="2" t="str">
        <f t="shared" si="49"/>
        <v>OK</v>
      </c>
      <c r="L440" s="2" t="str">
        <f t="shared" si="50"/>
        <v>OK</v>
      </c>
      <c r="M440" s="2" t="str">
        <f t="shared" si="51"/>
        <v>OK</v>
      </c>
      <c r="N440" s="2" t="str">
        <f t="shared" si="52"/>
        <v>MATCH</v>
      </c>
      <c r="O440" s="2" t="str">
        <f t="shared" si="53"/>
        <v>OK</v>
      </c>
      <c r="P440" s="2">
        <f t="shared" si="54"/>
        <v>0</v>
      </c>
      <c r="Q440" s="2" t="str">
        <f t="shared" si="55"/>
        <v>2023-06</v>
      </c>
      <c r="R440" s="3" t="s">
        <v>23</v>
      </c>
      <c r="S440" s="2">
        <f>IF(tblChecks[[#This Row],[AnyError]]="ERROR",1,0)</f>
        <v>0</v>
      </c>
      <c r="T440" s="2">
        <f>IF(tblChecks[[#This Row],[MissingStreet]]="MISSING",1,0)</f>
        <v>0</v>
      </c>
      <c r="U440" t="str">
        <f t="shared" si="48"/>
        <v>OK</v>
      </c>
    </row>
    <row r="441" spans="1:21" x14ac:dyDescent="0.3">
      <c r="A441" s="1" t="str">
        <f>CleanedData!F441</f>
        <v>PROP00440</v>
      </c>
      <c r="B441" s="2" t="str">
        <f>CleanedData!A441</f>
        <v>UKBirmingham</v>
      </c>
      <c r="C441" s="2" t="str">
        <f>CleanedData!D441</f>
        <v>UK</v>
      </c>
      <c r="D441" s="2" t="str">
        <f>CleanedData!E441</f>
        <v>Birmingham</v>
      </c>
      <c r="E441" s="2" t="str">
        <f>CleanedData!O441</f>
        <v>Birmingham</v>
      </c>
      <c r="F441" s="2" t="str">
        <f>CleanedData!M441</f>
        <v/>
      </c>
      <c r="G441" s="2" t="str">
        <f>CleanedData!B441</f>
        <v>6207</v>
      </c>
      <c r="H441" s="2" t="str">
        <f>CleanedData!C441</f>
        <v>+94-154736831</v>
      </c>
      <c r="I441" s="2" t="str">
        <f>CleanedData!G441</f>
        <v>Active</v>
      </c>
      <c r="J441" s="14">
        <f>CleanedData!H441</f>
        <v>45675</v>
      </c>
      <c r="K441" s="2" t="str">
        <f t="shared" si="49"/>
        <v>MISSING</v>
      </c>
      <c r="L441" s="2" t="str">
        <f t="shared" si="50"/>
        <v>OK</v>
      </c>
      <c r="M441" s="2" t="str">
        <f t="shared" si="51"/>
        <v>OK</v>
      </c>
      <c r="N441" s="2" t="str">
        <f t="shared" si="52"/>
        <v>MATCH</v>
      </c>
      <c r="O441" s="2" t="str">
        <f t="shared" si="53"/>
        <v>ERROR</v>
      </c>
      <c r="P441" s="2">
        <f t="shared" si="54"/>
        <v>1</v>
      </c>
      <c r="Q441" s="2" t="str">
        <f t="shared" si="55"/>
        <v>2025-01</v>
      </c>
      <c r="R441" s="3" t="s">
        <v>54</v>
      </c>
      <c r="S441" s="2">
        <f>IF(tblChecks[[#This Row],[AnyError]]="ERROR",1,0)</f>
        <v>1</v>
      </c>
      <c r="T441" s="2">
        <f>IF(tblChecks[[#This Row],[MissingStreet]]="MISSING",1,0)</f>
        <v>1</v>
      </c>
      <c r="U441" t="str">
        <f t="shared" si="48"/>
        <v>MissingStreet</v>
      </c>
    </row>
    <row r="442" spans="1:21" x14ac:dyDescent="0.3">
      <c r="A442" s="1" t="str">
        <f>CleanedData!F442</f>
        <v>PROP00441</v>
      </c>
      <c r="B442" s="2" t="str">
        <f>CleanedData!A442</f>
        <v>Zavala Glen 265, Brasília</v>
      </c>
      <c r="C442" s="2" t="str">
        <f>CleanedData!D442</f>
        <v>Brazil</v>
      </c>
      <c r="D442" s="2" t="str">
        <f>CleanedData!E442</f>
        <v>Brasília</v>
      </c>
      <c r="E442" s="2" t="str">
        <f>CleanedData!O442</f>
        <v>Brasília</v>
      </c>
      <c r="F442" s="2" t="str">
        <f>CleanedData!M442</f>
        <v>Zavala Glen 265</v>
      </c>
      <c r="G442" s="2" t="str">
        <f>CleanedData!B442</f>
        <v>98453</v>
      </c>
      <c r="H442" s="2" t="str">
        <f>CleanedData!C442</f>
        <v>+43-223338221</v>
      </c>
      <c r="I442" s="2" t="str">
        <f>CleanedData!G442</f>
        <v>Active</v>
      </c>
      <c r="J442" s="14">
        <f>CleanedData!H442</f>
        <v>45902</v>
      </c>
      <c r="K442" s="2" t="str">
        <f t="shared" si="49"/>
        <v>OK</v>
      </c>
      <c r="L442" s="2" t="str">
        <f t="shared" si="50"/>
        <v>OK</v>
      </c>
      <c r="M442" s="2" t="str">
        <f t="shared" si="51"/>
        <v>OK</v>
      </c>
      <c r="N442" s="2" t="str">
        <f t="shared" si="52"/>
        <v>MATCH</v>
      </c>
      <c r="O442" s="2" t="str">
        <f t="shared" si="53"/>
        <v>OK</v>
      </c>
      <c r="P442" s="2">
        <f t="shared" si="54"/>
        <v>0</v>
      </c>
      <c r="Q442" s="2" t="str">
        <f t="shared" si="55"/>
        <v>2025-09</v>
      </c>
      <c r="R442" s="3" t="s">
        <v>33</v>
      </c>
      <c r="S442" s="2">
        <f>IF(tblChecks[[#This Row],[AnyError]]="ERROR",1,0)</f>
        <v>0</v>
      </c>
      <c r="T442" s="2">
        <f>IF(tblChecks[[#This Row],[MissingStreet]]="MISSING",1,0)</f>
        <v>0</v>
      </c>
      <c r="U442" t="str">
        <f t="shared" si="48"/>
        <v>OK</v>
      </c>
    </row>
    <row r="443" spans="1:21" x14ac:dyDescent="0.3">
      <c r="A443" s="1" t="str">
        <f>CleanedData!F443</f>
        <v>PROP00442</v>
      </c>
      <c r="B443" s="2" t="str">
        <f>CleanedData!A443</f>
        <v>Michael Cliff204, Melbourne, Australia</v>
      </c>
      <c r="C443" s="2" t="str">
        <f>CleanedData!D443</f>
        <v>Australia</v>
      </c>
      <c r="D443" s="2" t="str">
        <f>CleanedData!E443</f>
        <v>Melbourne</v>
      </c>
      <c r="E443" s="2" t="str">
        <f>CleanedData!O443</f>
        <v>Melbourne</v>
      </c>
      <c r="F443" s="2" t="str">
        <f>CleanedData!M443</f>
        <v>Michael Cliff204</v>
      </c>
      <c r="G443" s="2" t="str">
        <f>CleanedData!B443</f>
        <v>45694</v>
      </c>
      <c r="H443" s="2" t="str">
        <f>CleanedData!C443</f>
        <v>+16-742135188</v>
      </c>
      <c r="I443" s="2" t="str">
        <f>CleanedData!G443</f>
        <v>Active</v>
      </c>
      <c r="J443" s="14">
        <f>CleanedData!H443</f>
        <v>45645</v>
      </c>
      <c r="K443" s="2" t="str">
        <f t="shared" si="49"/>
        <v>OK</v>
      </c>
      <c r="L443" s="2" t="str">
        <f t="shared" si="50"/>
        <v>OK</v>
      </c>
      <c r="M443" s="2" t="str">
        <f t="shared" si="51"/>
        <v>OK</v>
      </c>
      <c r="N443" s="2" t="str">
        <f t="shared" si="52"/>
        <v>MATCH</v>
      </c>
      <c r="O443" s="2" t="str">
        <f t="shared" si="53"/>
        <v>OK</v>
      </c>
      <c r="P443" s="2">
        <f t="shared" si="54"/>
        <v>0</v>
      </c>
      <c r="Q443" s="2" t="str">
        <f t="shared" si="55"/>
        <v>2024-12</v>
      </c>
      <c r="R443" s="3" t="s">
        <v>33</v>
      </c>
      <c r="S443" s="2">
        <f>IF(tblChecks[[#This Row],[AnyError]]="ERROR",1,0)</f>
        <v>0</v>
      </c>
      <c r="T443" s="2">
        <f>IF(tblChecks[[#This Row],[MissingStreet]]="MISSING",1,0)</f>
        <v>0</v>
      </c>
      <c r="U443" t="str">
        <f t="shared" si="48"/>
        <v>OK</v>
      </c>
    </row>
    <row r="444" spans="1:21" x14ac:dyDescent="0.3">
      <c r="A444" s="1" t="str">
        <f>CleanedData!F444</f>
        <v>PROP00443</v>
      </c>
      <c r="B444" s="2" t="str">
        <f>CleanedData!A444</f>
        <v>Australia, Brisbane</v>
      </c>
      <c r="C444" s="2" t="str">
        <f>CleanedData!D444</f>
        <v>Australia</v>
      </c>
      <c r="D444" s="2" t="str">
        <f>CleanedData!E444</f>
        <v>Brisbane</v>
      </c>
      <c r="E444" s="2" t="str">
        <f>CleanedData!O444</f>
        <v>Brisbane</v>
      </c>
      <c r="F444" s="2" t="str">
        <f>CleanedData!M444</f>
        <v>Brisbane</v>
      </c>
      <c r="G444" s="2" t="str">
        <f>CleanedData!B444</f>
        <v>14088</v>
      </c>
      <c r="H444" s="2" t="str">
        <f>CleanedData!C444</f>
        <v>+54-127510368</v>
      </c>
      <c r="I444" s="2" t="str">
        <f>CleanedData!G444</f>
        <v>Inactive</v>
      </c>
      <c r="J444" s="14">
        <f>CleanedData!H444</f>
        <v>45247</v>
      </c>
      <c r="K444" s="2" t="str">
        <f t="shared" si="49"/>
        <v>OK</v>
      </c>
      <c r="L444" s="2" t="str">
        <f t="shared" si="50"/>
        <v>OK</v>
      </c>
      <c r="M444" s="2" t="str">
        <f t="shared" si="51"/>
        <v>OK</v>
      </c>
      <c r="N444" s="2" t="str">
        <f t="shared" si="52"/>
        <v>MATCH</v>
      </c>
      <c r="O444" s="2" t="str">
        <f t="shared" si="53"/>
        <v>OK</v>
      </c>
      <c r="P444" s="2">
        <f t="shared" si="54"/>
        <v>0</v>
      </c>
      <c r="Q444" s="2" t="str">
        <f t="shared" si="55"/>
        <v>2023-11</v>
      </c>
      <c r="R444" s="3" t="s">
        <v>16</v>
      </c>
      <c r="S444" s="2">
        <f>IF(tblChecks[[#This Row],[AnyError]]="ERROR",1,0)</f>
        <v>0</v>
      </c>
      <c r="T444" s="2">
        <f>IF(tblChecks[[#This Row],[MissingStreet]]="MISSING",1,0)</f>
        <v>0</v>
      </c>
      <c r="U444" t="str">
        <f t="shared" si="48"/>
        <v>OK</v>
      </c>
    </row>
    <row r="445" spans="1:21" x14ac:dyDescent="0.3">
      <c r="A445" s="1" t="str">
        <f>CleanedData!F445</f>
        <v>PROP00444</v>
      </c>
      <c r="B445" s="2" t="str">
        <f>CleanedData!A445</f>
        <v>BrisbaneAnderson Knoll292, Australia</v>
      </c>
      <c r="C445" s="2" t="str">
        <f>CleanedData!D445</f>
        <v>Australia</v>
      </c>
      <c r="D445" s="2" t="str">
        <f>CleanedData!E445</f>
        <v>Brisbane</v>
      </c>
      <c r="E445" s="2" t="str">
        <f>CleanedData!O445</f>
        <v>Brisbane</v>
      </c>
      <c r="F445" s="2" t="str">
        <f>CleanedData!M445</f>
        <v>BrisbaneAnderson Knoll292</v>
      </c>
      <c r="G445" s="2" t="str">
        <f>CleanedData!B445</f>
        <v>72068</v>
      </c>
      <c r="H445" s="2" t="str">
        <f>CleanedData!C445</f>
        <v>+60-949162560</v>
      </c>
      <c r="I445" s="2" t="str">
        <f>CleanedData!G445</f>
        <v>Inactive</v>
      </c>
      <c r="J445" s="14">
        <f>CleanedData!H445</f>
        <v>44969</v>
      </c>
      <c r="K445" s="2" t="str">
        <f t="shared" si="49"/>
        <v>OK</v>
      </c>
      <c r="L445" s="2" t="str">
        <f t="shared" si="50"/>
        <v>OK</v>
      </c>
      <c r="M445" s="2" t="str">
        <f t="shared" si="51"/>
        <v>OK</v>
      </c>
      <c r="N445" s="2" t="str">
        <f t="shared" si="52"/>
        <v>MATCH</v>
      </c>
      <c r="O445" s="2" t="str">
        <f t="shared" si="53"/>
        <v>OK</v>
      </c>
      <c r="P445" s="2">
        <f t="shared" si="54"/>
        <v>0</v>
      </c>
      <c r="Q445" s="2" t="str">
        <f t="shared" si="55"/>
        <v>2023-02</v>
      </c>
      <c r="R445" s="3" t="s">
        <v>23</v>
      </c>
      <c r="S445" s="2">
        <f>IF(tblChecks[[#This Row],[AnyError]]="ERROR",1,0)</f>
        <v>0</v>
      </c>
      <c r="T445" s="2">
        <f>IF(tblChecks[[#This Row],[MissingStreet]]="MISSING",1,0)</f>
        <v>0</v>
      </c>
      <c r="U445" t="str">
        <f t="shared" si="48"/>
        <v>OK</v>
      </c>
    </row>
    <row r="446" spans="1:21" x14ac:dyDescent="0.3">
      <c r="A446" s="1" t="str">
        <f>CleanedData!F446</f>
        <v>PROP00445</v>
      </c>
      <c r="B446" s="2" t="str">
        <f>CleanedData!A446</f>
        <v>Li Extensions 200, Milan</v>
      </c>
      <c r="C446" s="2" t="str">
        <f>CleanedData!D446</f>
        <v>Italy</v>
      </c>
      <c r="D446" s="2" t="str">
        <f>CleanedData!E446</f>
        <v>Milan</v>
      </c>
      <c r="E446" s="2" t="str">
        <f>CleanedData!O446</f>
        <v>Milan</v>
      </c>
      <c r="F446" s="2" t="str">
        <f>CleanedData!M446</f>
        <v>Li Extensions 200</v>
      </c>
      <c r="G446" s="2" t="str">
        <f>CleanedData!B446</f>
        <v>90243</v>
      </c>
      <c r="H446" s="2" t="str">
        <f>CleanedData!C446</f>
        <v>+66-171023407</v>
      </c>
      <c r="I446" s="2" t="str">
        <f>CleanedData!G446</f>
        <v>Inactive</v>
      </c>
      <c r="J446" s="14">
        <f>CleanedData!H446</f>
        <v>45815</v>
      </c>
      <c r="K446" s="2" t="str">
        <f t="shared" si="49"/>
        <v>OK</v>
      </c>
      <c r="L446" s="2" t="str">
        <f t="shared" si="50"/>
        <v>OK</v>
      </c>
      <c r="M446" s="2" t="str">
        <f t="shared" si="51"/>
        <v>OK</v>
      </c>
      <c r="N446" s="2" t="str">
        <f t="shared" si="52"/>
        <v>MATCH</v>
      </c>
      <c r="O446" s="2" t="str">
        <f t="shared" si="53"/>
        <v>OK</v>
      </c>
      <c r="P446" s="2">
        <f t="shared" si="54"/>
        <v>0</v>
      </c>
      <c r="Q446" s="2" t="str">
        <f t="shared" si="55"/>
        <v>2025-06</v>
      </c>
      <c r="R446" s="3" t="s">
        <v>23</v>
      </c>
      <c r="S446" s="2">
        <f>IF(tblChecks[[#This Row],[AnyError]]="ERROR",1,0)</f>
        <v>0</v>
      </c>
      <c r="T446" s="2">
        <f>IF(tblChecks[[#This Row],[MissingStreet]]="MISSING",1,0)</f>
        <v>0</v>
      </c>
      <c r="U446" t="str">
        <f t="shared" si="48"/>
        <v>OK</v>
      </c>
    </row>
    <row r="447" spans="1:21" x14ac:dyDescent="0.3">
      <c r="A447" s="1" t="str">
        <f>CleanedData!F447</f>
        <v>PROP00446</v>
      </c>
      <c r="B447" s="2" t="str">
        <f>CleanedData!A447</f>
        <v>Pollard Neck214, Phoenix, USA</v>
      </c>
      <c r="C447" s="2" t="str">
        <f>CleanedData!D447</f>
        <v>USA</v>
      </c>
      <c r="D447" s="2" t="str">
        <f>CleanedData!E447</f>
        <v>Phoenix</v>
      </c>
      <c r="E447" s="2" t="str">
        <f>CleanedData!O447</f>
        <v>Phoenix</v>
      </c>
      <c r="F447" s="2" t="str">
        <f>CleanedData!M447</f>
        <v>Pollard Neck214</v>
      </c>
      <c r="G447" s="2" t="str">
        <f>CleanedData!B447</f>
        <v>83303</v>
      </c>
      <c r="H447" s="2" t="str">
        <f>CleanedData!C447</f>
        <v>+45-718680766</v>
      </c>
      <c r="I447" s="2" t="str">
        <f>CleanedData!G447</f>
        <v>Inactive</v>
      </c>
      <c r="J447" s="14">
        <f>CleanedData!H447</f>
        <v>45761</v>
      </c>
      <c r="K447" s="2" t="str">
        <f t="shared" si="49"/>
        <v>OK</v>
      </c>
      <c r="L447" s="2" t="str">
        <f t="shared" si="50"/>
        <v>OK</v>
      </c>
      <c r="M447" s="2" t="str">
        <f t="shared" si="51"/>
        <v>OK</v>
      </c>
      <c r="N447" s="2" t="str">
        <f t="shared" si="52"/>
        <v>MATCH</v>
      </c>
      <c r="O447" s="2" t="str">
        <f t="shared" si="53"/>
        <v>OK</v>
      </c>
      <c r="P447" s="2">
        <f t="shared" si="54"/>
        <v>0</v>
      </c>
      <c r="Q447" s="2" t="str">
        <f t="shared" si="55"/>
        <v>2025-04</v>
      </c>
      <c r="R447" s="3" t="s">
        <v>16</v>
      </c>
      <c r="S447" s="2">
        <f>IF(tblChecks[[#This Row],[AnyError]]="ERROR",1,0)</f>
        <v>0</v>
      </c>
      <c r="T447" s="2">
        <f>IF(tblChecks[[#This Row],[MissingStreet]]="MISSING",1,0)</f>
        <v>0</v>
      </c>
      <c r="U447" t="str">
        <f t="shared" si="48"/>
        <v>OK</v>
      </c>
    </row>
    <row r="448" spans="1:21" x14ac:dyDescent="0.3">
      <c r="A448" s="1" t="str">
        <f>CleanedData!F448</f>
        <v>PROP00447</v>
      </c>
      <c r="B448" s="2" t="str">
        <f>CleanedData!A448</f>
        <v>Australia, Adelaide, Lisa Circles 122</v>
      </c>
      <c r="C448" s="2" t="str">
        <f>CleanedData!D448</f>
        <v>Australia</v>
      </c>
      <c r="D448" s="2" t="str">
        <f>CleanedData!E448</f>
        <v>Adelaide</v>
      </c>
      <c r="E448" s="2" t="str">
        <f>CleanedData!O448</f>
        <v>Adelaide</v>
      </c>
      <c r="F448" s="2" t="str">
        <f>CleanedData!M448</f>
        <v>Lisa Circles 122</v>
      </c>
      <c r="G448" s="2" t="str">
        <f>CleanedData!B448</f>
        <v>94354</v>
      </c>
      <c r="H448" s="2" t="str">
        <f>CleanedData!C448</f>
        <v>+94-458982105</v>
      </c>
      <c r="I448" s="2" t="str">
        <f>CleanedData!G448</f>
        <v>Inactive</v>
      </c>
      <c r="J448" s="14">
        <f>CleanedData!H448</f>
        <v>45697</v>
      </c>
      <c r="K448" s="2" t="str">
        <f t="shared" si="49"/>
        <v>OK</v>
      </c>
      <c r="L448" s="2" t="str">
        <f t="shared" si="50"/>
        <v>OK</v>
      </c>
      <c r="M448" s="2" t="str">
        <f t="shared" si="51"/>
        <v>OK</v>
      </c>
      <c r="N448" s="2" t="str">
        <f t="shared" si="52"/>
        <v>MATCH</v>
      </c>
      <c r="O448" s="2" t="str">
        <f t="shared" si="53"/>
        <v>OK</v>
      </c>
      <c r="P448" s="2">
        <f t="shared" si="54"/>
        <v>0</v>
      </c>
      <c r="Q448" s="2" t="str">
        <f t="shared" si="55"/>
        <v>2025-02</v>
      </c>
      <c r="R448" s="3" t="s">
        <v>23</v>
      </c>
      <c r="S448" s="2">
        <f>IF(tblChecks[[#This Row],[AnyError]]="ERROR",1,0)</f>
        <v>0</v>
      </c>
      <c r="T448" s="2">
        <f>IF(tblChecks[[#This Row],[MissingStreet]]="MISSING",1,0)</f>
        <v>0</v>
      </c>
      <c r="U448" t="str">
        <f t="shared" si="48"/>
        <v>OK</v>
      </c>
    </row>
    <row r="449" spans="1:21" x14ac:dyDescent="0.3">
      <c r="A449" s="1" t="str">
        <f>CleanedData!F449</f>
        <v>PROP00448</v>
      </c>
      <c r="B449" s="2" t="str">
        <f>CleanedData!A449</f>
        <v>UKLondon, UK</v>
      </c>
      <c r="C449" s="2" t="str">
        <f>CleanedData!D449</f>
        <v>UK</v>
      </c>
      <c r="D449" s="2" t="str">
        <f>CleanedData!E449</f>
        <v>London</v>
      </c>
      <c r="E449" s="2" t="str">
        <f>CleanedData!O449</f>
        <v>London</v>
      </c>
      <c r="F449" s="2" t="str">
        <f>CleanedData!M449</f>
        <v>UK</v>
      </c>
      <c r="G449" s="2" t="str">
        <f>CleanedData!B449</f>
        <v>6242</v>
      </c>
      <c r="H449" s="2" t="str">
        <f>CleanedData!C449</f>
        <v>+26-410926680</v>
      </c>
      <c r="I449" s="2" t="str">
        <f>CleanedData!G449</f>
        <v>Active</v>
      </c>
      <c r="J449" s="14">
        <f>CleanedData!H449</f>
        <v>45665</v>
      </c>
      <c r="K449" s="2" t="str">
        <f t="shared" si="49"/>
        <v>OK</v>
      </c>
      <c r="L449" s="2" t="str">
        <f t="shared" si="50"/>
        <v>OK</v>
      </c>
      <c r="M449" s="2" t="str">
        <f t="shared" si="51"/>
        <v>OK</v>
      </c>
      <c r="N449" s="2" t="str">
        <f t="shared" si="52"/>
        <v>MATCH</v>
      </c>
      <c r="O449" s="2" t="str">
        <f t="shared" si="53"/>
        <v>OK</v>
      </c>
      <c r="P449" s="2">
        <f t="shared" si="54"/>
        <v>0</v>
      </c>
      <c r="Q449" s="2" t="str">
        <f t="shared" si="55"/>
        <v>2025-01</v>
      </c>
      <c r="R449" s="3" t="s">
        <v>39</v>
      </c>
      <c r="S449" s="2">
        <f>IF(tblChecks[[#This Row],[AnyError]]="ERROR",1,0)</f>
        <v>0</v>
      </c>
      <c r="T449" s="2">
        <f>IF(tblChecks[[#This Row],[MissingStreet]]="MISSING",1,0)</f>
        <v>0</v>
      </c>
      <c r="U449" t="str">
        <f t="shared" si="48"/>
        <v>OK</v>
      </c>
    </row>
    <row r="450" spans="1:21" x14ac:dyDescent="0.3">
      <c r="A450" s="1" t="str">
        <f>CleanedData!F450</f>
        <v>PROP00449</v>
      </c>
      <c r="B450" s="2" t="str">
        <f>CleanedData!A450</f>
        <v>France, Toulouse</v>
      </c>
      <c r="C450" s="2" t="str">
        <f>CleanedData!D450</f>
        <v>France</v>
      </c>
      <c r="D450" s="2" t="str">
        <f>CleanedData!E450</f>
        <v>Toulouse</v>
      </c>
      <c r="E450" s="2" t="str">
        <f>CleanedData!O450</f>
        <v>Toulouse</v>
      </c>
      <c r="F450" s="2" t="str">
        <f>CleanedData!M450</f>
        <v>Toulouse</v>
      </c>
      <c r="G450" s="2" t="str">
        <f>CleanedData!B450</f>
        <v>41143</v>
      </c>
      <c r="H450" s="2" t="str">
        <f>CleanedData!C450</f>
        <v>+79-180455801</v>
      </c>
      <c r="I450" s="2" t="str">
        <f>CleanedData!G450</f>
        <v>Inactive</v>
      </c>
      <c r="J450" s="14">
        <f>CleanedData!H450</f>
        <v>45802</v>
      </c>
      <c r="K450" s="2" t="str">
        <f t="shared" si="49"/>
        <v>OK</v>
      </c>
      <c r="L450" s="2" t="str">
        <f t="shared" si="50"/>
        <v>OK</v>
      </c>
      <c r="M450" s="2" t="str">
        <f t="shared" si="51"/>
        <v>OK</v>
      </c>
      <c r="N450" s="2" t="str">
        <f t="shared" si="52"/>
        <v>MATCH</v>
      </c>
      <c r="O450" s="2" t="str">
        <f t="shared" si="53"/>
        <v>OK</v>
      </c>
      <c r="P450" s="2">
        <f t="shared" si="54"/>
        <v>0</v>
      </c>
      <c r="Q450" s="2" t="str">
        <f t="shared" si="55"/>
        <v>2025-05</v>
      </c>
      <c r="R450" s="3" t="s">
        <v>16</v>
      </c>
      <c r="S450" s="2">
        <f>IF(tblChecks[[#This Row],[AnyError]]="ERROR",1,0)</f>
        <v>0</v>
      </c>
      <c r="T450" s="2">
        <f>IF(tblChecks[[#This Row],[MissingStreet]]="MISSING",1,0)</f>
        <v>0</v>
      </c>
      <c r="U450" t="str">
        <f t="shared" ref="U450:U501" si="56">IF(K450="MISSING","MissingStreet",
IF(L450="INVALID","PostalCode_INVALID",
IF(M450="INVALID","Phone_INVALID","OK")))</f>
        <v>OK</v>
      </c>
    </row>
    <row r="451" spans="1:21" x14ac:dyDescent="0.3">
      <c r="A451" s="1" t="str">
        <f>CleanedData!F451</f>
        <v>PROP00450</v>
      </c>
      <c r="B451" s="2" t="str">
        <f>CleanedData!A451</f>
        <v>ItalyTurin</v>
      </c>
      <c r="C451" s="2" t="str">
        <f>CleanedData!D451</f>
        <v>Italy</v>
      </c>
      <c r="D451" s="2" t="str">
        <f>CleanedData!E451</f>
        <v>Turin</v>
      </c>
      <c r="E451" s="2" t="str">
        <f>CleanedData!O451</f>
        <v>Turin</v>
      </c>
      <c r="F451" s="2" t="str">
        <f>CleanedData!M451</f>
        <v/>
      </c>
      <c r="G451" s="2" t="str">
        <f>CleanedData!B451</f>
        <v>62550</v>
      </c>
      <c r="H451" s="2" t="str">
        <f>CleanedData!C451</f>
        <v>+67-887717794</v>
      </c>
      <c r="I451" s="2" t="str">
        <f>CleanedData!G451</f>
        <v>Active</v>
      </c>
      <c r="J451" s="14">
        <f>CleanedData!H451</f>
        <v>45151</v>
      </c>
      <c r="K451" s="2" t="str">
        <f t="shared" ref="K451:K501" si="57">IF(TRIM(F451)="","MISSING","OK")</f>
        <v>MISSING</v>
      </c>
      <c r="L451" s="2" t="str">
        <f t="shared" ref="L451:L501" si="58">IF(LEN(TRIM(G451))&lt;3,"INVALID","OK")</f>
        <v>OK</v>
      </c>
      <c r="M451" s="2" t="str">
        <f t="shared" ref="M451:M501" si="59">IF(LEN(SUBSTITUTE(SUBSTITUTE(H451," ",""),"-",""))&gt;=7,"OK","INVALID")</f>
        <v>OK</v>
      </c>
      <c r="N451" s="2" t="str">
        <f t="shared" ref="N451:N501" si="60">IF(E451="","NO_EXTRACT",
 IF(LOWER(TRIM(E451))=LOWER(TRIM(D451)),"MATCH","CHECK"))</f>
        <v>MATCH</v>
      </c>
      <c r="O451" s="2" t="str">
        <f t="shared" ref="O451:O501" si="61">IF(OR(K451="MISSING",L451="INVALID",M451="INVALID"),"ERROR","OK")</f>
        <v>ERROR</v>
      </c>
      <c r="P451" s="2">
        <f t="shared" ref="P451:P501" si="62">(K451="MISSING")*1 + (L451="INVALID")*1 + (M451="INVALID")*1</f>
        <v>1</v>
      </c>
      <c r="Q451" s="2" t="str">
        <f t="shared" ref="Q451:Q501" si="63">YEAR(J451) &amp; "-" &amp; TEXT(MONTH(J451),"00")</f>
        <v>2023-08</v>
      </c>
      <c r="R451" s="3" t="s">
        <v>33</v>
      </c>
      <c r="S451" s="2">
        <f>IF(tblChecks[[#This Row],[AnyError]]="ERROR",1,0)</f>
        <v>1</v>
      </c>
      <c r="T451" s="2">
        <f>IF(tblChecks[[#This Row],[MissingStreet]]="MISSING",1,0)</f>
        <v>1</v>
      </c>
      <c r="U451" t="str">
        <f t="shared" si="56"/>
        <v>MissingStreet</v>
      </c>
    </row>
    <row r="452" spans="1:21" x14ac:dyDescent="0.3">
      <c r="A452" s="1" t="str">
        <f>CleanedData!F452</f>
        <v>PROP00451</v>
      </c>
      <c r="B452" s="2" t="str">
        <f>CleanedData!A452</f>
        <v>Johnson Rue 284, France, Toulouse</v>
      </c>
      <c r="C452" s="2" t="str">
        <f>CleanedData!D452</f>
        <v>France</v>
      </c>
      <c r="D452" s="2" t="str">
        <f>CleanedData!E452</f>
        <v>Toulouse</v>
      </c>
      <c r="E452" s="2" t="str">
        <f>CleanedData!O452</f>
        <v>Toulouse</v>
      </c>
      <c r="F452" s="2" t="str">
        <f>CleanedData!M452</f>
        <v>Johnson Rue 284</v>
      </c>
      <c r="G452" s="2" t="str">
        <f>CleanedData!B452</f>
        <v>25549</v>
      </c>
      <c r="H452" s="2" t="str">
        <f>CleanedData!C452</f>
        <v>+23-704063687</v>
      </c>
      <c r="I452" s="2" t="str">
        <f>CleanedData!G452</f>
        <v>Active</v>
      </c>
      <c r="J452" s="14">
        <f>CleanedData!H452</f>
        <v>45542</v>
      </c>
      <c r="K452" s="2" t="str">
        <f t="shared" si="57"/>
        <v>OK</v>
      </c>
      <c r="L452" s="2" t="str">
        <f t="shared" si="58"/>
        <v>OK</v>
      </c>
      <c r="M452" s="2" t="str">
        <f t="shared" si="59"/>
        <v>OK</v>
      </c>
      <c r="N452" s="2" t="str">
        <f t="shared" si="60"/>
        <v>MATCH</v>
      </c>
      <c r="O452" s="2" t="str">
        <f t="shared" si="61"/>
        <v>OK</v>
      </c>
      <c r="P452" s="2">
        <f t="shared" si="62"/>
        <v>0</v>
      </c>
      <c r="Q452" s="2" t="str">
        <f t="shared" si="63"/>
        <v>2024-09</v>
      </c>
      <c r="R452" s="3" t="s">
        <v>16</v>
      </c>
      <c r="S452" s="2">
        <f>IF(tblChecks[[#This Row],[AnyError]]="ERROR",1,0)</f>
        <v>0</v>
      </c>
      <c r="T452" s="2">
        <f>IF(tblChecks[[#This Row],[MissingStreet]]="MISSING",1,0)</f>
        <v>0</v>
      </c>
      <c r="U452" t="str">
        <f t="shared" si="56"/>
        <v>OK</v>
      </c>
    </row>
    <row r="453" spans="1:21" x14ac:dyDescent="0.3">
      <c r="A453" s="1" t="str">
        <f>CleanedData!F453</f>
        <v>PROP00452</v>
      </c>
      <c r="B453" s="2" t="str">
        <f>CleanedData!A453</f>
        <v>Canada, Ottawa, Kelly Tunnel 30</v>
      </c>
      <c r="C453" s="2" t="str">
        <f>CleanedData!D453</f>
        <v>Canada</v>
      </c>
      <c r="D453" s="2" t="str">
        <f>CleanedData!E453</f>
        <v>Ottawa</v>
      </c>
      <c r="E453" s="2" t="str">
        <f>CleanedData!O453</f>
        <v>Ottawa</v>
      </c>
      <c r="F453" s="2" t="str">
        <f>CleanedData!M453</f>
        <v>Kelly Tunnel 30</v>
      </c>
      <c r="G453" s="2" t="str">
        <f>CleanedData!B453</f>
        <v>6766</v>
      </c>
      <c r="H453" s="2" t="str">
        <f>CleanedData!C453</f>
        <v>+72-423719741</v>
      </c>
      <c r="I453" s="2" t="str">
        <f>CleanedData!G453</f>
        <v>Active</v>
      </c>
      <c r="J453" s="14">
        <f>CleanedData!H453</f>
        <v>44901</v>
      </c>
      <c r="K453" s="2" t="str">
        <f t="shared" si="57"/>
        <v>OK</v>
      </c>
      <c r="L453" s="2" t="str">
        <f t="shared" si="58"/>
        <v>OK</v>
      </c>
      <c r="M453" s="2" t="str">
        <f t="shared" si="59"/>
        <v>OK</v>
      </c>
      <c r="N453" s="2" t="str">
        <f t="shared" si="60"/>
        <v>MATCH</v>
      </c>
      <c r="O453" s="2" t="str">
        <f t="shared" si="61"/>
        <v>OK</v>
      </c>
      <c r="P453" s="2">
        <f t="shared" si="62"/>
        <v>0</v>
      </c>
      <c r="Q453" s="2" t="str">
        <f t="shared" si="63"/>
        <v>2022-12</v>
      </c>
      <c r="R453" s="3" t="s">
        <v>39</v>
      </c>
      <c r="S453" s="2">
        <f>IF(tblChecks[[#This Row],[AnyError]]="ERROR",1,0)</f>
        <v>0</v>
      </c>
      <c r="T453" s="2">
        <f>IF(tblChecks[[#This Row],[MissingStreet]]="MISSING",1,0)</f>
        <v>0</v>
      </c>
      <c r="U453" t="str">
        <f t="shared" si="56"/>
        <v>OK</v>
      </c>
    </row>
    <row r="454" spans="1:21" x14ac:dyDescent="0.3">
      <c r="A454" s="1" t="str">
        <f>CleanedData!F454</f>
        <v>PROP00453</v>
      </c>
      <c r="B454" s="2" t="str">
        <f>CleanedData!A454</f>
        <v>CalgaryNelson Union220, Canada</v>
      </c>
      <c r="C454" s="2" t="str">
        <f>CleanedData!D454</f>
        <v>Canada</v>
      </c>
      <c r="D454" s="2" t="str">
        <f>CleanedData!E454</f>
        <v>Calgary</v>
      </c>
      <c r="E454" s="2" t="str">
        <f>CleanedData!O454</f>
        <v>Calgary</v>
      </c>
      <c r="F454" s="2" t="str">
        <f>CleanedData!M454</f>
        <v>CalgaryNelson Union220</v>
      </c>
      <c r="G454" s="2" t="str">
        <f>CleanedData!B454</f>
        <v>48738</v>
      </c>
      <c r="H454" s="2" t="str">
        <f>CleanedData!C454</f>
        <v>+38-952764932</v>
      </c>
      <c r="I454" s="2" t="str">
        <f>CleanedData!G454</f>
        <v>Inactive</v>
      </c>
      <c r="J454" s="14">
        <f>CleanedData!H454</f>
        <v>45920</v>
      </c>
      <c r="K454" s="2" t="str">
        <f t="shared" si="57"/>
        <v>OK</v>
      </c>
      <c r="L454" s="2" t="str">
        <f t="shared" si="58"/>
        <v>OK</v>
      </c>
      <c r="M454" s="2" t="str">
        <f t="shared" si="59"/>
        <v>OK</v>
      </c>
      <c r="N454" s="2" t="str">
        <f t="shared" si="60"/>
        <v>MATCH</v>
      </c>
      <c r="O454" s="2" t="str">
        <f t="shared" si="61"/>
        <v>OK</v>
      </c>
      <c r="P454" s="2">
        <f t="shared" si="62"/>
        <v>0</v>
      </c>
      <c r="Q454" s="2" t="str">
        <f t="shared" si="63"/>
        <v>2025-09</v>
      </c>
      <c r="R454" s="3" t="s">
        <v>39</v>
      </c>
      <c r="S454" s="2">
        <f>IF(tblChecks[[#This Row],[AnyError]]="ERROR",1,0)</f>
        <v>0</v>
      </c>
      <c r="T454" s="2">
        <f>IF(tblChecks[[#This Row],[MissingStreet]]="MISSING",1,0)</f>
        <v>0</v>
      </c>
      <c r="U454" t="str">
        <f t="shared" si="56"/>
        <v>OK</v>
      </c>
    </row>
    <row r="455" spans="1:21" x14ac:dyDescent="0.3">
      <c r="A455" s="1" t="str">
        <f>CleanedData!F455</f>
        <v>PROP00454</v>
      </c>
      <c r="B455" s="2" t="str">
        <f>CleanedData!A455</f>
        <v>GermanyMunichPreston Summit83</v>
      </c>
      <c r="C455" s="2" t="str">
        <f>CleanedData!D455</f>
        <v>Germany</v>
      </c>
      <c r="D455" s="2" t="str">
        <f>CleanedData!E455</f>
        <v>Munich</v>
      </c>
      <c r="E455" s="2" t="str">
        <f>CleanedData!O455</f>
        <v>Munich</v>
      </c>
      <c r="F455" s="2" t="str">
        <f>CleanedData!M455</f>
        <v>GermanyMunichPreston Summit83</v>
      </c>
      <c r="G455" s="2" t="str">
        <f>CleanedData!B455</f>
        <v>58138</v>
      </c>
      <c r="H455" s="2" t="str">
        <f>CleanedData!C455</f>
        <v>+44-342255043</v>
      </c>
      <c r="I455" s="2" t="str">
        <f>CleanedData!G455</f>
        <v>Active</v>
      </c>
      <c r="J455" s="14">
        <f>CleanedData!H455</f>
        <v>45351</v>
      </c>
      <c r="K455" s="2" t="str">
        <f t="shared" si="57"/>
        <v>OK</v>
      </c>
      <c r="L455" s="2" t="str">
        <f t="shared" si="58"/>
        <v>OK</v>
      </c>
      <c r="M455" s="2" t="str">
        <f t="shared" si="59"/>
        <v>OK</v>
      </c>
      <c r="N455" s="2" t="str">
        <f t="shared" si="60"/>
        <v>MATCH</v>
      </c>
      <c r="O455" s="2" t="str">
        <f t="shared" si="61"/>
        <v>OK</v>
      </c>
      <c r="P455" s="2">
        <f t="shared" si="62"/>
        <v>0</v>
      </c>
      <c r="Q455" s="2" t="str">
        <f t="shared" si="63"/>
        <v>2024-02</v>
      </c>
      <c r="R455" s="3" t="s">
        <v>16</v>
      </c>
      <c r="S455" s="2">
        <f>IF(tblChecks[[#This Row],[AnyError]]="ERROR",1,0)</f>
        <v>0</v>
      </c>
      <c r="T455" s="2">
        <f>IF(tblChecks[[#This Row],[MissingStreet]]="MISSING",1,0)</f>
        <v>0</v>
      </c>
      <c r="U455" t="str">
        <f t="shared" si="56"/>
        <v>OK</v>
      </c>
    </row>
    <row r="456" spans="1:21" x14ac:dyDescent="0.3">
      <c r="A456" s="1" t="str">
        <f>CleanedData!F456</f>
        <v>PROP00455</v>
      </c>
      <c r="B456" s="2" t="str">
        <f>CleanedData!A456</f>
        <v>VancouverMorgan Ferry167, Canada</v>
      </c>
      <c r="C456" s="2" t="str">
        <f>CleanedData!D456</f>
        <v>Canada</v>
      </c>
      <c r="D456" s="2" t="str">
        <f>CleanedData!E456</f>
        <v>Vancouver</v>
      </c>
      <c r="E456" s="2" t="str">
        <f>CleanedData!O456</f>
        <v>Vancouver</v>
      </c>
      <c r="F456" s="2" t="str">
        <f>CleanedData!M456</f>
        <v>VancouverMorgan Ferry167</v>
      </c>
      <c r="G456" s="2" t="str">
        <f>CleanedData!B456</f>
        <v>65539</v>
      </c>
      <c r="H456" s="2" t="str">
        <f>CleanedData!C456</f>
        <v>+42-509314769</v>
      </c>
      <c r="I456" s="2" t="str">
        <f>CleanedData!G456</f>
        <v>Inactive</v>
      </c>
      <c r="J456" s="14">
        <f>CleanedData!H456</f>
        <v>45621</v>
      </c>
      <c r="K456" s="2" t="str">
        <f t="shared" si="57"/>
        <v>OK</v>
      </c>
      <c r="L456" s="2" t="str">
        <f t="shared" si="58"/>
        <v>OK</v>
      </c>
      <c r="M456" s="2" t="str">
        <f t="shared" si="59"/>
        <v>OK</v>
      </c>
      <c r="N456" s="2" t="str">
        <f t="shared" si="60"/>
        <v>MATCH</v>
      </c>
      <c r="O456" s="2" t="str">
        <f t="shared" si="61"/>
        <v>OK</v>
      </c>
      <c r="P456" s="2">
        <f t="shared" si="62"/>
        <v>0</v>
      </c>
      <c r="Q456" s="2" t="str">
        <f t="shared" si="63"/>
        <v>2024-11</v>
      </c>
      <c r="R456" s="3" t="s">
        <v>23</v>
      </c>
      <c r="S456" s="2">
        <f>IF(tblChecks[[#This Row],[AnyError]]="ERROR",1,0)</f>
        <v>0</v>
      </c>
      <c r="T456" s="2">
        <f>IF(tblChecks[[#This Row],[MissingStreet]]="MISSING",1,0)</f>
        <v>0</v>
      </c>
      <c r="U456" t="str">
        <f t="shared" si="56"/>
        <v>OK</v>
      </c>
    </row>
    <row r="457" spans="1:21" x14ac:dyDescent="0.3">
      <c r="A457" s="1" t="str">
        <f>CleanedData!F457</f>
        <v>PROP00456</v>
      </c>
      <c r="B457" s="2" t="str">
        <f>CleanedData!A457</f>
        <v>Richardson Union 93, Bordeaux</v>
      </c>
      <c r="C457" s="2" t="str">
        <f>CleanedData!D457</f>
        <v>France</v>
      </c>
      <c r="D457" s="2" t="str">
        <f>CleanedData!E457</f>
        <v>Bordeaux</v>
      </c>
      <c r="E457" s="2" t="str">
        <f>CleanedData!O457</f>
        <v>Bordeaux</v>
      </c>
      <c r="F457" s="2" t="str">
        <f>CleanedData!M457</f>
        <v>Richardson Union 93</v>
      </c>
      <c r="G457" s="2" t="str">
        <f>CleanedData!B457</f>
        <v>68563</v>
      </c>
      <c r="H457" s="2" t="str">
        <f>CleanedData!C457</f>
        <v>+98-974979313</v>
      </c>
      <c r="I457" s="2" t="str">
        <f>CleanedData!G457</f>
        <v>Active</v>
      </c>
      <c r="J457" s="14">
        <f>CleanedData!H457</f>
        <v>45503</v>
      </c>
      <c r="K457" s="2" t="str">
        <f t="shared" si="57"/>
        <v>OK</v>
      </c>
      <c r="L457" s="2" t="str">
        <f t="shared" si="58"/>
        <v>OK</v>
      </c>
      <c r="M457" s="2" t="str">
        <f t="shared" si="59"/>
        <v>OK</v>
      </c>
      <c r="N457" s="2" t="str">
        <f t="shared" si="60"/>
        <v>MATCH</v>
      </c>
      <c r="O457" s="2" t="str">
        <f t="shared" si="61"/>
        <v>OK</v>
      </c>
      <c r="P457" s="2">
        <f t="shared" si="62"/>
        <v>0</v>
      </c>
      <c r="Q457" s="2" t="str">
        <f t="shared" si="63"/>
        <v>2024-07</v>
      </c>
      <c r="R457" s="3" t="s">
        <v>23</v>
      </c>
      <c r="S457" s="2">
        <f>IF(tblChecks[[#This Row],[AnyError]]="ERROR",1,0)</f>
        <v>0</v>
      </c>
      <c r="T457" s="2">
        <f>IF(tblChecks[[#This Row],[MissingStreet]]="MISSING",1,0)</f>
        <v>0</v>
      </c>
      <c r="U457" t="str">
        <f t="shared" si="56"/>
        <v>OK</v>
      </c>
    </row>
    <row r="458" spans="1:21" x14ac:dyDescent="0.3">
      <c r="A458" s="1" t="str">
        <f>CleanedData!F458</f>
        <v>PROP00457</v>
      </c>
      <c r="B458" s="2" t="str">
        <f>CleanedData!A458</f>
        <v>CanadaToronto</v>
      </c>
      <c r="C458" s="2" t="str">
        <f>CleanedData!D458</f>
        <v>Canada</v>
      </c>
      <c r="D458" s="2" t="str">
        <f>CleanedData!E458</f>
        <v>Toronto</v>
      </c>
      <c r="E458" s="2" t="str">
        <f>CleanedData!O458</f>
        <v>Toronto</v>
      </c>
      <c r="F458" s="2" t="str">
        <f>CleanedData!M458</f>
        <v/>
      </c>
      <c r="G458" s="2" t="str">
        <f>CleanedData!B458</f>
        <v>56141</v>
      </c>
      <c r="H458" s="2" t="str">
        <f>CleanedData!C458</f>
        <v>+87-757614648</v>
      </c>
      <c r="I458" s="2" t="str">
        <f>CleanedData!G458</f>
        <v>Active</v>
      </c>
      <c r="J458" s="14">
        <f>CleanedData!H458</f>
        <v>45596</v>
      </c>
      <c r="K458" s="2" t="str">
        <f t="shared" si="57"/>
        <v>MISSING</v>
      </c>
      <c r="L458" s="2" t="str">
        <f t="shared" si="58"/>
        <v>OK</v>
      </c>
      <c r="M458" s="2" t="str">
        <f t="shared" si="59"/>
        <v>OK</v>
      </c>
      <c r="N458" s="2" t="str">
        <f t="shared" si="60"/>
        <v>MATCH</v>
      </c>
      <c r="O458" s="2" t="str">
        <f t="shared" si="61"/>
        <v>ERROR</v>
      </c>
      <c r="P458" s="2">
        <f t="shared" si="62"/>
        <v>1</v>
      </c>
      <c r="Q458" s="2" t="str">
        <f t="shared" si="63"/>
        <v>2024-10</v>
      </c>
      <c r="R458" s="3" t="s">
        <v>16</v>
      </c>
      <c r="S458" s="2">
        <f>IF(tblChecks[[#This Row],[AnyError]]="ERROR",1,0)</f>
        <v>1</v>
      </c>
      <c r="T458" s="2">
        <f>IF(tblChecks[[#This Row],[MissingStreet]]="MISSING",1,0)</f>
        <v>1</v>
      </c>
      <c r="U458" t="str">
        <f t="shared" si="56"/>
        <v>MissingStreet</v>
      </c>
    </row>
    <row r="459" spans="1:21" x14ac:dyDescent="0.3">
      <c r="A459" s="1" t="str">
        <f>CleanedData!F459</f>
        <v>PROP00458</v>
      </c>
      <c r="B459" s="2" t="str">
        <f>CleanedData!A459</f>
        <v>Valencia, Ryan View 53, Spain</v>
      </c>
      <c r="C459" s="2" t="str">
        <f>CleanedData!D459</f>
        <v>Spain</v>
      </c>
      <c r="D459" s="2" t="str">
        <f>CleanedData!E459</f>
        <v>Valencia</v>
      </c>
      <c r="E459" s="2" t="str">
        <f>CleanedData!O459</f>
        <v>Valencia</v>
      </c>
      <c r="F459" s="2" t="str">
        <f>CleanedData!M459</f>
        <v>Ryan View 53</v>
      </c>
      <c r="G459" s="2" t="str">
        <f>CleanedData!B459</f>
        <v>24153</v>
      </c>
      <c r="H459" s="2" t="str">
        <f>CleanedData!C459</f>
        <v>+29-322663813</v>
      </c>
      <c r="I459" s="2" t="str">
        <f>CleanedData!G459</f>
        <v>Active</v>
      </c>
      <c r="J459" s="14">
        <f>CleanedData!H459</f>
        <v>45949</v>
      </c>
      <c r="K459" s="2" t="str">
        <f t="shared" si="57"/>
        <v>OK</v>
      </c>
      <c r="L459" s="2" t="str">
        <f t="shared" si="58"/>
        <v>OK</v>
      </c>
      <c r="M459" s="2" t="str">
        <f t="shared" si="59"/>
        <v>OK</v>
      </c>
      <c r="N459" s="2" t="str">
        <f t="shared" si="60"/>
        <v>MATCH</v>
      </c>
      <c r="O459" s="2" t="str">
        <f t="shared" si="61"/>
        <v>OK</v>
      </c>
      <c r="P459" s="2">
        <f t="shared" si="62"/>
        <v>0</v>
      </c>
      <c r="Q459" s="2" t="str">
        <f t="shared" si="63"/>
        <v>2025-10</v>
      </c>
      <c r="R459" s="3" t="s">
        <v>54</v>
      </c>
      <c r="S459" s="2">
        <f>IF(tblChecks[[#This Row],[AnyError]]="ERROR",1,0)</f>
        <v>0</v>
      </c>
      <c r="T459" s="2">
        <f>IF(tblChecks[[#This Row],[MissingStreet]]="MISSING",1,0)</f>
        <v>0</v>
      </c>
      <c r="U459" t="str">
        <f t="shared" si="56"/>
        <v>OK</v>
      </c>
    </row>
    <row r="460" spans="1:21" x14ac:dyDescent="0.3">
      <c r="A460" s="1" t="str">
        <f>CleanedData!F460</f>
        <v>PROP00459</v>
      </c>
      <c r="B460" s="2" t="str">
        <f>CleanedData!A460</f>
        <v>Nagoya, Morris Common 254, Japan</v>
      </c>
      <c r="C460" s="2" t="str">
        <f>CleanedData!D460</f>
        <v>Japan</v>
      </c>
      <c r="D460" s="2" t="str">
        <f>CleanedData!E460</f>
        <v>Nagoya</v>
      </c>
      <c r="E460" s="2" t="str">
        <f>CleanedData!O460</f>
        <v>Nagoya</v>
      </c>
      <c r="F460" s="2" t="str">
        <f>CleanedData!M460</f>
        <v>Morris Common 254</v>
      </c>
      <c r="G460" s="2" t="str">
        <f>CleanedData!B460</f>
        <v>43482</v>
      </c>
      <c r="H460" s="2" t="str">
        <f>CleanedData!C460</f>
        <v>+32-669145934</v>
      </c>
      <c r="I460" s="2" t="str">
        <f>CleanedData!G460</f>
        <v>Inactive</v>
      </c>
      <c r="J460" s="14">
        <f>CleanedData!H460</f>
        <v>44943</v>
      </c>
      <c r="K460" s="2" t="str">
        <f t="shared" si="57"/>
        <v>OK</v>
      </c>
      <c r="L460" s="2" t="str">
        <f t="shared" si="58"/>
        <v>OK</v>
      </c>
      <c r="M460" s="2" t="str">
        <f t="shared" si="59"/>
        <v>OK</v>
      </c>
      <c r="N460" s="2" t="str">
        <f t="shared" si="60"/>
        <v>MATCH</v>
      </c>
      <c r="O460" s="2" t="str">
        <f t="shared" si="61"/>
        <v>OK</v>
      </c>
      <c r="P460" s="2">
        <f t="shared" si="62"/>
        <v>0</v>
      </c>
      <c r="Q460" s="2" t="str">
        <f t="shared" si="63"/>
        <v>2023-01</v>
      </c>
      <c r="R460" s="3" t="s">
        <v>23</v>
      </c>
      <c r="S460" s="2">
        <f>IF(tblChecks[[#This Row],[AnyError]]="ERROR",1,0)</f>
        <v>0</v>
      </c>
      <c r="T460" s="2">
        <f>IF(tblChecks[[#This Row],[MissingStreet]]="MISSING",1,0)</f>
        <v>0</v>
      </c>
      <c r="U460" t="str">
        <f t="shared" si="56"/>
        <v>OK</v>
      </c>
    </row>
    <row r="461" spans="1:21" x14ac:dyDescent="0.3">
      <c r="A461" s="1" t="str">
        <f>CleanedData!F461</f>
        <v>PROP00460</v>
      </c>
      <c r="B461" s="2" t="str">
        <f>CleanedData!A461</f>
        <v>Germany, Frankfurt, Parker Rapids 70</v>
      </c>
      <c r="C461" s="2" t="str">
        <f>CleanedData!D461</f>
        <v>Germany</v>
      </c>
      <c r="D461" s="2" t="str">
        <f>CleanedData!E461</f>
        <v>Frankfurt</v>
      </c>
      <c r="E461" s="2" t="str">
        <f>CleanedData!O461</f>
        <v>Frankfurt</v>
      </c>
      <c r="F461" s="2" t="str">
        <f>CleanedData!M461</f>
        <v>Parker Rapids 70</v>
      </c>
      <c r="G461" s="2" t="str">
        <f>CleanedData!B461</f>
        <v>94566</v>
      </c>
      <c r="H461" s="2" t="str">
        <f>CleanedData!C461</f>
        <v>+56-145125978</v>
      </c>
      <c r="I461" s="2" t="str">
        <f>CleanedData!G461</f>
        <v>Active</v>
      </c>
      <c r="J461" s="14">
        <f>CleanedData!H461</f>
        <v>44936</v>
      </c>
      <c r="K461" s="2" t="str">
        <f t="shared" si="57"/>
        <v>OK</v>
      </c>
      <c r="L461" s="2" t="str">
        <f t="shared" si="58"/>
        <v>OK</v>
      </c>
      <c r="M461" s="2" t="str">
        <f t="shared" si="59"/>
        <v>OK</v>
      </c>
      <c r="N461" s="2" t="str">
        <f t="shared" si="60"/>
        <v>MATCH</v>
      </c>
      <c r="O461" s="2" t="str">
        <f t="shared" si="61"/>
        <v>OK</v>
      </c>
      <c r="P461" s="2">
        <f t="shared" si="62"/>
        <v>0</v>
      </c>
      <c r="Q461" s="2" t="str">
        <f t="shared" si="63"/>
        <v>2023-01</v>
      </c>
      <c r="R461" s="3" t="s">
        <v>23</v>
      </c>
      <c r="S461" s="2">
        <f>IF(tblChecks[[#This Row],[AnyError]]="ERROR",1,0)</f>
        <v>0</v>
      </c>
      <c r="T461" s="2">
        <f>IF(tblChecks[[#This Row],[MissingStreet]]="MISSING",1,0)</f>
        <v>0</v>
      </c>
      <c r="U461" t="str">
        <f t="shared" si="56"/>
        <v>OK</v>
      </c>
    </row>
    <row r="462" spans="1:21" x14ac:dyDescent="0.3">
      <c r="A462" s="1" t="str">
        <f>CleanedData!F462</f>
        <v>PROP00461</v>
      </c>
      <c r="B462" s="2" t="str">
        <f>CleanedData!A462</f>
        <v>Sapporo, Jackson Mills 199, Japan</v>
      </c>
      <c r="C462" s="2" t="str">
        <f>CleanedData!D462</f>
        <v>Japan</v>
      </c>
      <c r="D462" s="2" t="str">
        <f>CleanedData!E462</f>
        <v>Sapporo</v>
      </c>
      <c r="E462" s="2" t="str">
        <f>CleanedData!O462</f>
        <v>Sapporo</v>
      </c>
      <c r="F462" s="2" t="str">
        <f>CleanedData!M462</f>
        <v>Jackson Mills 199</v>
      </c>
      <c r="G462" s="2" t="str">
        <f>CleanedData!B462</f>
        <v>46578</v>
      </c>
      <c r="H462" s="2" t="str">
        <f>CleanedData!C462</f>
        <v>+34-558188661</v>
      </c>
      <c r="I462" s="2" t="str">
        <f>CleanedData!G462</f>
        <v>Inactive</v>
      </c>
      <c r="J462" s="14">
        <f>CleanedData!H462</f>
        <v>45573</v>
      </c>
      <c r="K462" s="2" t="str">
        <f t="shared" si="57"/>
        <v>OK</v>
      </c>
      <c r="L462" s="2" t="str">
        <f t="shared" si="58"/>
        <v>OK</v>
      </c>
      <c r="M462" s="2" t="str">
        <f t="shared" si="59"/>
        <v>OK</v>
      </c>
      <c r="N462" s="2" t="str">
        <f t="shared" si="60"/>
        <v>MATCH</v>
      </c>
      <c r="O462" s="2" t="str">
        <f t="shared" si="61"/>
        <v>OK</v>
      </c>
      <c r="P462" s="2">
        <f t="shared" si="62"/>
        <v>0</v>
      </c>
      <c r="Q462" s="2" t="str">
        <f t="shared" si="63"/>
        <v>2024-10</v>
      </c>
      <c r="R462" s="3" t="s">
        <v>33</v>
      </c>
      <c r="S462" s="2">
        <f>IF(tblChecks[[#This Row],[AnyError]]="ERROR",1,0)</f>
        <v>0</v>
      </c>
      <c r="T462" s="2">
        <f>IF(tblChecks[[#This Row],[MissingStreet]]="MISSING",1,0)</f>
        <v>0</v>
      </c>
      <c r="U462" t="str">
        <f t="shared" si="56"/>
        <v>OK</v>
      </c>
    </row>
    <row r="463" spans="1:21" x14ac:dyDescent="0.3">
      <c r="A463" s="1" t="str">
        <f>CleanedData!F463</f>
        <v>PROP00462</v>
      </c>
      <c r="B463" s="2" t="str">
        <f>CleanedData!A463</f>
        <v>Williams Ways 19, Vancouver</v>
      </c>
      <c r="C463" s="2" t="str">
        <f>CleanedData!D463</f>
        <v>Canada</v>
      </c>
      <c r="D463" s="2" t="str">
        <f>CleanedData!E463</f>
        <v>Vancouver</v>
      </c>
      <c r="E463" s="2" t="str">
        <f>CleanedData!O463</f>
        <v>Vancouver</v>
      </c>
      <c r="F463" s="2" t="str">
        <f>CleanedData!M463</f>
        <v>Williams Ways 19</v>
      </c>
      <c r="G463" s="2" t="str">
        <f>CleanedData!B463</f>
        <v>46711</v>
      </c>
      <c r="H463" s="2" t="str">
        <f>CleanedData!C463</f>
        <v>+76-152137537</v>
      </c>
      <c r="I463" s="2" t="str">
        <f>CleanedData!G463</f>
        <v>Inactive</v>
      </c>
      <c r="J463" s="14">
        <f>CleanedData!H463</f>
        <v>45849</v>
      </c>
      <c r="K463" s="2" t="str">
        <f t="shared" si="57"/>
        <v>OK</v>
      </c>
      <c r="L463" s="2" t="str">
        <f t="shared" si="58"/>
        <v>OK</v>
      </c>
      <c r="M463" s="2" t="str">
        <f t="shared" si="59"/>
        <v>OK</v>
      </c>
      <c r="N463" s="2" t="str">
        <f t="shared" si="60"/>
        <v>MATCH</v>
      </c>
      <c r="O463" s="2" t="str">
        <f t="shared" si="61"/>
        <v>OK</v>
      </c>
      <c r="P463" s="2">
        <f t="shared" si="62"/>
        <v>0</v>
      </c>
      <c r="Q463" s="2" t="str">
        <f t="shared" si="63"/>
        <v>2025-07</v>
      </c>
      <c r="R463" s="3" t="s">
        <v>39</v>
      </c>
      <c r="S463" s="2">
        <f>IF(tblChecks[[#This Row],[AnyError]]="ERROR",1,0)</f>
        <v>0</v>
      </c>
      <c r="T463" s="2">
        <f>IF(tblChecks[[#This Row],[MissingStreet]]="MISSING",1,0)</f>
        <v>0</v>
      </c>
      <c r="U463" t="str">
        <f t="shared" si="56"/>
        <v>OK</v>
      </c>
    </row>
    <row r="464" spans="1:21" x14ac:dyDescent="0.3">
      <c r="A464" s="1" t="str">
        <f>CleanedData!F464</f>
        <v>PROP00463</v>
      </c>
      <c r="B464" s="2" t="str">
        <f>CleanedData!A464</f>
        <v>FranceLyonHill Turnpike103</v>
      </c>
      <c r="C464" s="2" t="str">
        <f>CleanedData!D464</f>
        <v>France</v>
      </c>
      <c r="D464" s="2" t="str">
        <f>CleanedData!E464</f>
        <v>Lyon</v>
      </c>
      <c r="E464" s="2" t="str">
        <f>CleanedData!O464</f>
        <v>Lyon</v>
      </c>
      <c r="F464" s="2" t="str">
        <f>CleanedData!M464</f>
        <v>FranceLyonHill Turnpike103</v>
      </c>
      <c r="G464" s="2" t="str">
        <f>CleanedData!B464</f>
        <v>8019</v>
      </c>
      <c r="H464" s="2" t="str">
        <f>CleanedData!C464</f>
        <v>+85-919107862</v>
      </c>
      <c r="I464" s="2" t="str">
        <f>CleanedData!G464</f>
        <v>Active</v>
      </c>
      <c r="J464" s="14">
        <f>CleanedData!H464</f>
        <v>45589</v>
      </c>
      <c r="K464" s="2" t="str">
        <f t="shared" si="57"/>
        <v>OK</v>
      </c>
      <c r="L464" s="2" t="str">
        <f t="shared" si="58"/>
        <v>OK</v>
      </c>
      <c r="M464" s="2" t="str">
        <f t="shared" si="59"/>
        <v>OK</v>
      </c>
      <c r="N464" s="2" t="str">
        <f t="shared" si="60"/>
        <v>MATCH</v>
      </c>
      <c r="O464" s="2" t="str">
        <f t="shared" si="61"/>
        <v>OK</v>
      </c>
      <c r="P464" s="2">
        <f t="shared" si="62"/>
        <v>0</v>
      </c>
      <c r="Q464" s="2" t="str">
        <f t="shared" si="63"/>
        <v>2024-10</v>
      </c>
      <c r="R464" s="3" t="s">
        <v>54</v>
      </c>
      <c r="S464" s="2">
        <f>IF(tblChecks[[#This Row],[AnyError]]="ERROR",1,0)</f>
        <v>0</v>
      </c>
      <c r="T464" s="2">
        <f>IF(tblChecks[[#This Row],[MissingStreet]]="MISSING",1,0)</f>
        <v>0</v>
      </c>
      <c r="U464" t="str">
        <f t="shared" si="56"/>
        <v>OK</v>
      </c>
    </row>
    <row r="465" spans="1:21" x14ac:dyDescent="0.3">
      <c r="A465" s="1" t="str">
        <f>CleanedData!F465</f>
        <v>PROP00464</v>
      </c>
      <c r="B465" s="2" t="str">
        <f>CleanedData!A465</f>
        <v>Japan, Kyoto</v>
      </c>
      <c r="C465" s="2" t="str">
        <f>CleanedData!D465</f>
        <v>Japan</v>
      </c>
      <c r="D465" s="2" t="str">
        <f>CleanedData!E465</f>
        <v>Kyoto</v>
      </c>
      <c r="E465" s="2" t="str">
        <f>CleanedData!O465</f>
        <v>Kyoto</v>
      </c>
      <c r="F465" s="2" t="str">
        <f>CleanedData!M465</f>
        <v>Kyoto</v>
      </c>
      <c r="G465" s="2" t="str">
        <f>CleanedData!B465</f>
        <v>48120</v>
      </c>
      <c r="H465" s="2" t="str">
        <f>CleanedData!C465</f>
        <v>+58-508362262</v>
      </c>
      <c r="I465" s="2" t="str">
        <f>CleanedData!G465</f>
        <v>Active</v>
      </c>
      <c r="J465" s="14">
        <f>CleanedData!H465</f>
        <v>45730</v>
      </c>
      <c r="K465" s="2" t="str">
        <f t="shared" si="57"/>
        <v>OK</v>
      </c>
      <c r="L465" s="2" t="str">
        <f t="shared" si="58"/>
        <v>OK</v>
      </c>
      <c r="M465" s="2" t="str">
        <f t="shared" si="59"/>
        <v>OK</v>
      </c>
      <c r="N465" s="2" t="str">
        <f t="shared" si="60"/>
        <v>MATCH</v>
      </c>
      <c r="O465" s="2" t="str">
        <f t="shared" si="61"/>
        <v>OK</v>
      </c>
      <c r="P465" s="2">
        <f t="shared" si="62"/>
        <v>0</v>
      </c>
      <c r="Q465" s="2" t="str">
        <f t="shared" si="63"/>
        <v>2025-03</v>
      </c>
      <c r="R465" s="3" t="s">
        <v>33</v>
      </c>
      <c r="S465" s="2">
        <f>IF(tblChecks[[#This Row],[AnyError]]="ERROR",1,0)</f>
        <v>0</v>
      </c>
      <c r="T465" s="2">
        <f>IF(tblChecks[[#This Row],[MissingStreet]]="MISSING",1,0)</f>
        <v>0</v>
      </c>
      <c r="U465" t="str">
        <f t="shared" si="56"/>
        <v>OK</v>
      </c>
    </row>
    <row r="466" spans="1:21" x14ac:dyDescent="0.3">
      <c r="A466" s="1" t="str">
        <f>CleanedData!F466</f>
        <v>PROP00465</v>
      </c>
      <c r="B466" s="2" t="str">
        <f>CleanedData!A466</f>
        <v>SpainMadrid, Spain</v>
      </c>
      <c r="C466" s="2" t="str">
        <f>CleanedData!D466</f>
        <v>Spain</v>
      </c>
      <c r="D466" s="2" t="str">
        <f>CleanedData!E466</f>
        <v>Madrid</v>
      </c>
      <c r="E466" s="2" t="str">
        <f>CleanedData!O466</f>
        <v>Madrid</v>
      </c>
      <c r="F466" s="2" t="str">
        <f>CleanedData!M466</f>
        <v>Spain</v>
      </c>
      <c r="G466" s="2" t="str">
        <f>CleanedData!B466</f>
        <v>80136</v>
      </c>
      <c r="H466" s="2" t="str">
        <f>CleanedData!C466</f>
        <v>+46-735711475</v>
      </c>
      <c r="I466" s="2" t="str">
        <f>CleanedData!G466</f>
        <v>Inactive</v>
      </c>
      <c r="J466" s="14">
        <f>CleanedData!H466</f>
        <v>45004</v>
      </c>
      <c r="K466" s="2" t="str">
        <f t="shared" si="57"/>
        <v>OK</v>
      </c>
      <c r="L466" s="2" t="str">
        <f t="shared" si="58"/>
        <v>OK</v>
      </c>
      <c r="M466" s="2" t="str">
        <f t="shared" si="59"/>
        <v>OK</v>
      </c>
      <c r="N466" s="2" t="str">
        <f t="shared" si="60"/>
        <v>MATCH</v>
      </c>
      <c r="O466" s="2" t="str">
        <f t="shared" si="61"/>
        <v>OK</v>
      </c>
      <c r="P466" s="2">
        <f t="shared" si="62"/>
        <v>0</v>
      </c>
      <c r="Q466" s="2" t="str">
        <f t="shared" si="63"/>
        <v>2023-03</v>
      </c>
      <c r="R466" s="3" t="s">
        <v>33</v>
      </c>
      <c r="S466" s="2">
        <f>IF(tblChecks[[#This Row],[AnyError]]="ERROR",1,0)</f>
        <v>0</v>
      </c>
      <c r="T466" s="2">
        <f>IF(tblChecks[[#This Row],[MissingStreet]]="MISSING",1,0)</f>
        <v>0</v>
      </c>
      <c r="U466" t="str">
        <f t="shared" si="56"/>
        <v>OK</v>
      </c>
    </row>
    <row r="467" spans="1:21" x14ac:dyDescent="0.3">
      <c r="A467" s="1" t="str">
        <f>CleanedData!F467</f>
        <v>PROP00466</v>
      </c>
      <c r="B467" s="2" t="str">
        <f>CleanedData!A467</f>
        <v>Johnson Cliff 203, Brazil, Rio de Janeiro</v>
      </c>
      <c r="C467" s="2" t="str">
        <f>CleanedData!D467</f>
        <v>Brazil</v>
      </c>
      <c r="D467" s="2" t="str">
        <f>CleanedData!E467</f>
        <v>Rio de Janeiro</v>
      </c>
      <c r="E467" s="2" t="str">
        <f>CleanedData!O467</f>
        <v>Rio de Janeiro</v>
      </c>
      <c r="F467" s="2" t="str">
        <f>CleanedData!M467</f>
        <v>Johnson Cliff 203</v>
      </c>
      <c r="G467" s="2" t="str">
        <f>CleanedData!B467</f>
        <v>31433</v>
      </c>
      <c r="H467" s="2" t="str">
        <f>CleanedData!C467</f>
        <v>+13-242170344</v>
      </c>
      <c r="I467" s="2" t="str">
        <f>CleanedData!G467</f>
        <v>Active</v>
      </c>
      <c r="J467" s="14">
        <f>CleanedData!H467</f>
        <v>45500</v>
      </c>
      <c r="K467" s="2" t="str">
        <f t="shared" si="57"/>
        <v>OK</v>
      </c>
      <c r="L467" s="2" t="str">
        <f t="shared" si="58"/>
        <v>OK</v>
      </c>
      <c r="M467" s="2" t="str">
        <f t="shared" si="59"/>
        <v>OK</v>
      </c>
      <c r="N467" s="2" t="str">
        <f t="shared" si="60"/>
        <v>MATCH</v>
      </c>
      <c r="O467" s="2" t="str">
        <f t="shared" si="61"/>
        <v>OK</v>
      </c>
      <c r="P467" s="2">
        <f t="shared" si="62"/>
        <v>0</v>
      </c>
      <c r="Q467" s="2" t="str">
        <f t="shared" si="63"/>
        <v>2024-07</v>
      </c>
      <c r="R467" s="3" t="s">
        <v>39</v>
      </c>
      <c r="S467" s="2">
        <f>IF(tblChecks[[#This Row],[AnyError]]="ERROR",1,0)</f>
        <v>0</v>
      </c>
      <c r="T467" s="2">
        <f>IF(tblChecks[[#This Row],[MissingStreet]]="MISSING",1,0)</f>
        <v>0</v>
      </c>
      <c r="U467" t="str">
        <f t="shared" si="56"/>
        <v>OK</v>
      </c>
    </row>
    <row r="468" spans="1:21" x14ac:dyDescent="0.3">
      <c r="A468" s="1" t="str">
        <f>CleanedData!F468</f>
        <v>PROP00467</v>
      </c>
      <c r="B468" s="2" t="str">
        <f>CleanedData!A468</f>
        <v>Germany, Berlin, Cox Port 212</v>
      </c>
      <c r="C468" s="2" t="str">
        <f>CleanedData!D468</f>
        <v>Germany</v>
      </c>
      <c r="D468" s="2" t="str">
        <f>CleanedData!E468</f>
        <v>Berlin</v>
      </c>
      <c r="E468" s="2" t="str">
        <f>CleanedData!O468</f>
        <v>Berlin</v>
      </c>
      <c r="F468" s="2" t="str">
        <f>CleanedData!M468</f>
        <v>Cox Port 212</v>
      </c>
      <c r="G468" s="2" t="str">
        <f>CleanedData!B468</f>
        <v>4745</v>
      </c>
      <c r="H468" s="2" t="str">
        <f>CleanedData!C468</f>
        <v>+37-893485880</v>
      </c>
      <c r="I468" s="2" t="str">
        <f>CleanedData!G468</f>
        <v>Inactive</v>
      </c>
      <c r="J468" s="14">
        <f>CleanedData!H468</f>
        <v>45961</v>
      </c>
      <c r="K468" s="2" t="str">
        <f t="shared" si="57"/>
        <v>OK</v>
      </c>
      <c r="L468" s="2" t="str">
        <f t="shared" si="58"/>
        <v>OK</v>
      </c>
      <c r="M468" s="2" t="str">
        <f t="shared" si="59"/>
        <v>OK</v>
      </c>
      <c r="N468" s="2" t="str">
        <f t="shared" si="60"/>
        <v>MATCH</v>
      </c>
      <c r="O468" s="2" t="str">
        <f t="shared" si="61"/>
        <v>OK</v>
      </c>
      <c r="P468" s="2">
        <f t="shared" si="62"/>
        <v>0</v>
      </c>
      <c r="Q468" s="2" t="str">
        <f t="shared" si="63"/>
        <v>2025-10</v>
      </c>
      <c r="R468" s="3" t="s">
        <v>16</v>
      </c>
      <c r="S468" s="2">
        <f>IF(tblChecks[[#This Row],[AnyError]]="ERROR",1,0)</f>
        <v>0</v>
      </c>
      <c r="T468" s="2">
        <f>IF(tblChecks[[#This Row],[MissingStreet]]="MISSING",1,0)</f>
        <v>0</v>
      </c>
      <c r="U468" t="str">
        <f t="shared" si="56"/>
        <v>OK</v>
      </c>
    </row>
    <row r="469" spans="1:21" x14ac:dyDescent="0.3">
      <c r="A469" s="1" t="str">
        <f>CleanedData!F469</f>
        <v>PROP00468</v>
      </c>
      <c r="B469" s="2" t="str">
        <f>CleanedData!A469</f>
        <v>FortalezaErika Land124, Brazil</v>
      </c>
      <c r="C469" s="2" t="str">
        <f>CleanedData!D469</f>
        <v>Brazil</v>
      </c>
      <c r="D469" s="2" t="str">
        <f>CleanedData!E469</f>
        <v>Fortaleza</v>
      </c>
      <c r="E469" s="2" t="str">
        <f>CleanedData!O469</f>
        <v>Fortaleza</v>
      </c>
      <c r="F469" s="2" t="str">
        <f>CleanedData!M469</f>
        <v>FortalezaErika Land124</v>
      </c>
      <c r="G469" s="2" t="str">
        <f>CleanedData!B469</f>
        <v>49261</v>
      </c>
      <c r="H469" s="2" t="str">
        <f>CleanedData!C469</f>
        <v>+5-419704757</v>
      </c>
      <c r="I469" s="2" t="str">
        <f>CleanedData!G469</f>
        <v>Inactive</v>
      </c>
      <c r="J469" s="14">
        <f>CleanedData!H469</f>
        <v>45052</v>
      </c>
      <c r="K469" s="2" t="str">
        <f t="shared" si="57"/>
        <v>OK</v>
      </c>
      <c r="L469" s="2" t="str">
        <f t="shared" si="58"/>
        <v>OK</v>
      </c>
      <c r="M469" s="2" t="str">
        <f t="shared" si="59"/>
        <v>OK</v>
      </c>
      <c r="N469" s="2" t="str">
        <f t="shared" si="60"/>
        <v>MATCH</v>
      </c>
      <c r="O469" s="2" t="str">
        <f t="shared" si="61"/>
        <v>OK</v>
      </c>
      <c r="P469" s="2">
        <f t="shared" si="62"/>
        <v>0</v>
      </c>
      <c r="Q469" s="2" t="str">
        <f t="shared" si="63"/>
        <v>2023-05</v>
      </c>
      <c r="R469" s="3" t="s">
        <v>33</v>
      </c>
      <c r="S469" s="2">
        <f>IF(tblChecks[[#This Row],[AnyError]]="ERROR",1,0)</f>
        <v>0</v>
      </c>
      <c r="T469" s="2">
        <f>IF(tblChecks[[#This Row],[MissingStreet]]="MISSING",1,0)</f>
        <v>0</v>
      </c>
      <c r="U469" t="str">
        <f t="shared" si="56"/>
        <v>OK</v>
      </c>
    </row>
    <row r="470" spans="1:21" x14ac:dyDescent="0.3">
      <c r="A470" s="1" t="str">
        <f>CleanedData!F470</f>
        <v>PROP00469</v>
      </c>
      <c r="B470" s="2" t="str">
        <f>CleanedData!A470</f>
        <v>Spain, Madrid</v>
      </c>
      <c r="C470" s="2" t="str">
        <f>CleanedData!D470</f>
        <v>Spain</v>
      </c>
      <c r="D470" s="2" t="str">
        <f>CleanedData!E470</f>
        <v>Madrid</v>
      </c>
      <c r="E470" s="2" t="str">
        <f>CleanedData!O470</f>
        <v>Madrid</v>
      </c>
      <c r="F470" s="2" t="str">
        <f>CleanedData!M470</f>
        <v>Madrid</v>
      </c>
      <c r="G470" s="2" t="str">
        <f>CleanedData!B470</f>
        <v>18548</v>
      </c>
      <c r="H470" s="2" t="str">
        <f>CleanedData!C470</f>
        <v>+59-183526763</v>
      </c>
      <c r="I470" s="2" t="str">
        <f>CleanedData!G470</f>
        <v>Inactive</v>
      </c>
      <c r="J470" s="14">
        <f>CleanedData!H470</f>
        <v>44925</v>
      </c>
      <c r="K470" s="2" t="str">
        <f t="shared" si="57"/>
        <v>OK</v>
      </c>
      <c r="L470" s="2" t="str">
        <f t="shared" si="58"/>
        <v>OK</v>
      </c>
      <c r="M470" s="2" t="str">
        <f t="shared" si="59"/>
        <v>OK</v>
      </c>
      <c r="N470" s="2" t="str">
        <f t="shared" si="60"/>
        <v>MATCH</v>
      </c>
      <c r="O470" s="2" t="str">
        <f t="shared" si="61"/>
        <v>OK</v>
      </c>
      <c r="P470" s="2">
        <f t="shared" si="62"/>
        <v>0</v>
      </c>
      <c r="Q470" s="2" t="str">
        <f t="shared" si="63"/>
        <v>2022-12</v>
      </c>
      <c r="R470" s="3" t="s">
        <v>39</v>
      </c>
      <c r="S470" s="2">
        <f>IF(tblChecks[[#This Row],[AnyError]]="ERROR",1,0)</f>
        <v>0</v>
      </c>
      <c r="T470" s="2">
        <f>IF(tblChecks[[#This Row],[MissingStreet]]="MISSING",1,0)</f>
        <v>0</v>
      </c>
      <c r="U470" t="str">
        <f t="shared" si="56"/>
        <v>OK</v>
      </c>
    </row>
    <row r="471" spans="1:21" x14ac:dyDescent="0.3">
      <c r="A471" s="1" t="str">
        <f>CleanedData!F471</f>
        <v>PROP00470</v>
      </c>
      <c r="B471" s="2" t="str">
        <f>CleanedData!A471</f>
        <v>FranceBordeaux</v>
      </c>
      <c r="C471" s="2" t="str">
        <f>CleanedData!D471</f>
        <v>France</v>
      </c>
      <c r="D471" s="2" t="str">
        <f>CleanedData!E471</f>
        <v>Bordeaux</v>
      </c>
      <c r="E471" s="2" t="str">
        <f>CleanedData!O471</f>
        <v>Bordeaux</v>
      </c>
      <c r="F471" s="2" t="str">
        <f>CleanedData!M471</f>
        <v/>
      </c>
      <c r="G471" s="2" t="str">
        <f>CleanedData!B471</f>
        <v>37029</v>
      </c>
      <c r="H471" s="2" t="str">
        <f>CleanedData!C471</f>
        <v>+74-321068602</v>
      </c>
      <c r="I471" s="2" t="str">
        <f>CleanedData!G471</f>
        <v>Inactive</v>
      </c>
      <c r="J471" s="14">
        <f>CleanedData!H471</f>
        <v>45549</v>
      </c>
      <c r="K471" s="2" t="str">
        <f t="shared" si="57"/>
        <v>MISSING</v>
      </c>
      <c r="L471" s="2" t="str">
        <f t="shared" si="58"/>
        <v>OK</v>
      </c>
      <c r="M471" s="2" t="str">
        <f t="shared" si="59"/>
        <v>OK</v>
      </c>
      <c r="N471" s="2" t="str">
        <f t="shared" si="60"/>
        <v>MATCH</v>
      </c>
      <c r="O471" s="2" t="str">
        <f t="shared" si="61"/>
        <v>ERROR</v>
      </c>
      <c r="P471" s="2">
        <f t="shared" si="62"/>
        <v>1</v>
      </c>
      <c r="Q471" s="2" t="str">
        <f t="shared" si="63"/>
        <v>2024-09</v>
      </c>
      <c r="R471" s="3" t="s">
        <v>33</v>
      </c>
      <c r="S471" s="2">
        <f>IF(tblChecks[[#This Row],[AnyError]]="ERROR",1,0)</f>
        <v>1</v>
      </c>
      <c r="T471" s="2">
        <f>IF(tblChecks[[#This Row],[MissingStreet]]="MISSING",1,0)</f>
        <v>1</v>
      </c>
      <c r="U471" t="str">
        <f t="shared" si="56"/>
        <v>MissingStreet</v>
      </c>
    </row>
    <row r="472" spans="1:21" x14ac:dyDescent="0.3">
      <c r="A472" s="1" t="str">
        <f>CleanedData!F472</f>
        <v>PROP00471</v>
      </c>
      <c r="B472" s="2" t="str">
        <f>CleanedData!A472</f>
        <v>FranceToulouse</v>
      </c>
      <c r="C472" s="2" t="str">
        <f>CleanedData!D472</f>
        <v>France</v>
      </c>
      <c r="D472" s="2" t="str">
        <f>CleanedData!E472</f>
        <v>Toulouse</v>
      </c>
      <c r="E472" s="2" t="str">
        <f>CleanedData!O472</f>
        <v>Toulouse</v>
      </c>
      <c r="F472" s="2" t="str">
        <f>CleanedData!M472</f>
        <v/>
      </c>
      <c r="G472" s="2" t="str">
        <f>CleanedData!B472</f>
        <v>96927</v>
      </c>
      <c r="H472" s="2" t="str">
        <f>CleanedData!C472</f>
        <v>+63-136193132</v>
      </c>
      <c r="I472" s="2" t="str">
        <f>CleanedData!G472</f>
        <v>Inactive</v>
      </c>
      <c r="J472" s="14">
        <f>CleanedData!H472</f>
        <v>45088</v>
      </c>
      <c r="K472" s="2" t="str">
        <f t="shared" si="57"/>
        <v>MISSING</v>
      </c>
      <c r="L472" s="2" t="str">
        <f t="shared" si="58"/>
        <v>OK</v>
      </c>
      <c r="M472" s="2" t="str">
        <f t="shared" si="59"/>
        <v>OK</v>
      </c>
      <c r="N472" s="2" t="str">
        <f t="shared" si="60"/>
        <v>MATCH</v>
      </c>
      <c r="O472" s="2" t="str">
        <f t="shared" si="61"/>
        <v>ERROR</v>
      </c>
      <c r="P472" s="2">
        <f t="shared" si="62"/>
        <v>1</v>
      </c>
      <c r="Q472" s="2" t="str">
        <f t="shared" si="63"/>
        <v>2023-06</v>
      </c>
      <c r="R472" s="3" t="s">
        <v>39</v>
      </c>
      <c r="S472" s="2">
        <f>IF(tblChecks[[#This Row],[AnyError]]="ERROR",1,0)</f>
        <v>1</v>
      </c>
      <c r="T472" s="2">
        <f>IF(tblChecks[[#This Row],[MissingStreet]]="MISSING",1,0)</f>
        <v>1</v>
      </c>
      <c r="U472" t="str">
        <f t="shared" si="56"/>
        <v>MissingStreet</v>
      </c>
    </row>
    <row r="473" spans="1:21" x14ac:dyDescent="0.3">
      <c r="A473" s="1" t="str">
        <f>CleanedData!F473</f>
        <v>PROP00472</v>
      </c>
      <c r="B473" s="2" t="str">
        <f>CleanedData!A473</f>
        <v>FortalezaVictor Loaf78, Brazil</v>
      </c>
      <c r="C473" s="2" t="str">
        <f>CleanedData!D473</f>
        <v>Brazil</v>
      </c>
      <c r="D473" s="2" t="str">
        <f>CleanedData!E473</f>
        <v>Fortaleza</v>
      </c>
      <c r="E473" s="2" t="str">
        <f>CleanedData!O473</f>
        <v>Fortaleza</v>
      </c>
      <c r="F473" s="2" t="str">
        <f>CleanedData!M473</f>
        <v>FortalezaVictor Loaf78</v>
      </c>
      <c r="G473" s="2" t="str">
        <f>CleanedData!B473</f>
        <v>74120</v>
      </c>
      <c r="H473" s="2" t="str">
        <f>CleanedData!C473</f>
        <v>+25-415340302</v>
      </c>
      <c r="I473" s="2" t="str">
        <f>CleanedData!G473</f>
        <v>Inactive</v>
      </c>
      <c r="J473" s="14">
        <f>CleanedData!H473</f>
        <v>45208</v>
      </c>
      <c r="K473" s="2" t="str">
        <f t="shared" si="57"/>
        <v>OK</v>
      </c>
      <c r="L473" s="2" t="str">
        <f t="shared" si="58"/>
        <v>OK</v>
      </c>
      <c r="M473" s="2" t="str">
        <f t="shared" si="59"/>
        <v>OK</v>
      </c>
      <c r="N473" s="2" t="str">
        <f t="shared" si="60"/>
        <v>MATCH</v>
      </c>
      <c r="O473" s="2" t="str">
        <f t="shared" si="61"/>
        <v>OK</v>
      </c>
      <c r="P473" s="2">
        <f t="shared" si="62"/>
        <v>0</v>
      </c>
      <c r="Q473" s="2" t="str">
        <f t="shared" si="63"/>
        <v>2023-10</v>
      </c>
      <c r="R473" s="3" t="s">
        <v>33</v>
      </c>
      <c r="S473" s="2">
        <f>IF(tblChecks[[#This Row],[AnyError]]="ERROR",1,0)</f>
        <v>0</v>
      </c>
      <c r="T473" s="2">
        <f>IF(tblChecks[[#This Row],[MissingStreet]]="MISSING",1,0)</f>
        <v>0</v>
      </c>
      <c r="U473" t="str">
        <f t="shared" si="56"/>
        <v>OK</v>
      </c>
    </row>
    <row r="474" spans="1:21" x14ac:dyDescent="0.3">
      <c r="A474" s="1" t="str">
        <f>CleanedData!F474</f>
        <v>PROP00473</v>
      </c>
      <c r="B474" s="2" t="str">
        <f>CleanedData!A474</f>
        <v>Japan, Kyoto, Jose Green 128</v>
      </c>
      <c r="C474" s="2" t="str">
        <f>CleanedData!D474</f>
        <v>Japan</v>
      </c>
      <c r="D474" s="2" t="str">
        <f>CleanedData!E474</f>
        <v>Kyoto</v>
      </c>
      <c r="E474" s="2" t="str">
        <f>CleanedData!O474</f>
        <v>Kyoto</v>
      </c>
      <c r="F474" s="2" t="str">
        <f>CleanedData!M474</f>
        <v>Jose Green 128</v>
      </c>
      <c r="G474" s="2" t="str">
        <f>CleanedData!B474</f>
        <v>92780</v>
      </c>
      <c r="H474" s="2" t="str">
        <f>CleanedData!C474</f>
        <v>+78-107362328</v>
      </c>
      <c r="I474" s="2" t="str">
        <f>CleanedData!G474</f>
        <v>Inactive</v>
      </c>
      <c r="J474" s="14">
        <f>CleanedData!H474</f>
        <v>45886</v>
      </c>
      <c r="K474" s="2" t="str">
        <f t="shared" si="57"/>
        <v>OK</v>
      </c>
      <c r="L474" s="2" t="str">
        <f t="shared" si="58"/>
        <v>OK</v>
      </c>
      <c r="M474" s="2" t="str">
        <f t="shared" si="59"/>
        <v>OK</v>
      </c>
      <c r="N474" s="2" t="str">
        <f t="shared" si="60"/>
        <v>MATCH</v>
      </c>
      <c r="O474" s="2" t="str">
        <f t="shared" si="61"/>
        <v>OK</v>
      </c>
      <c r="P474" s="2">
        <f t="shared" si="62"/>
        <v>0</v>
      </c>
      <c r="Q474" s="2" t="str">
        <f t="shared" si="63"/>
        <v>2025-08</v>
      </c>
      <c r="R474" s="3" t="s">
        <v>54</v>
      </c>
      <c r="S474" s="2">
        <f>IF(tblChecks[[#This Row],[AnyError]]="ERROR",1,0)</f>
        <v>0</v>
      </c>
      <c r="T474" s="2">
        <f>IF(tblChecks[[#This Row],[MissingStreet]]="MISSING",1,0)</f>
        <v>0</v>
      </c>
      <c r="U474" t="str">
        <f t="shared" si="56"/>
        <v>OK</v>
      </c>
    </row>
    <row r="475" spans="1:21" x14ac:dyDescent="0.3">
      <c r="A475" s="1" t="str">
        <f>CleanedData!F475</f>
        <v>PROP00474</v>
      </c>
      <c r="B475" s="2" t="str">
        <f>CleanedData!A475</f>
        <v>Lewis Ridge143, Montreal, Canada</v>
      </c>
      <c r="C475" s="2" t="str">
        <f>CleanedData!D475</f>
        <v>Canada</v>
      </c>
      <c r="D475" s="2" t="str">
        <f>CleanedData!E475</f>
        <v>Montreal</v>
      </c>
      <c r="E475" s="2" t="str">
        <f>CleanedData!O475</f>
        <v>Montreal</v>
      </c>
      <c r="F475" s="2" t="str">
        <f>CleanedData!M475</f>
        <v>Lewis Ridge143</v>
      </c>
      <c r="G475" s="2" t="str">
        <f>CleanedData!B475</f>
        <v>37932</v>
      </c>
      <c r="H475" s="2" t="str">
        <f>CleanedData!C475</f>
        <v>+79-556631781</v>
      </c>
      <c r="I475" s="2" t="str">
        <f>CleanedData!G475</f>
        <v>Inactive</v>
      </c>
      <c r="J475" s="14">
        <f>CleanedData!H475</f>
        <v>45040</v>
      </c>
      <c r="K475" s="2" t="str">
        <f t="shared" si="57"/>
        <v>OK</v>
      </c>
      <c r="L475" s="2" t="str">
        <f t="shared" si="58"/>
        <v>OK</v>
      </c>
      <c r="M475" s="2" t="str">
        <f t="shared" si="59"/>
        <v>OK</v>
      </c>
      <c r="N475" s="2" t="str">
        <f t="shared" si="60"/>
        <v>MATCH</v>
      </c>
      <c r="O475" s="2" t="str">
        <f t="shared" si="61"/>
        <v>OK</v>
      </c>
      <c r="P475" s="2">
        <f t="shared" si="62"/>
        <v>0</v>
      </c>
      <c r="Q475" s="2" t="str">
        <f t="shared" si="63"/>
        <v>2023-04</v>
      </c>
      <c r="R475" s="3" t="s">
        <v>16</v>
      </c>
      <c r="S475" s="2">
        <f>IF(tblChecks[[#This Row],[AnyError]]="ERROR",1,0)</f>
        <v>0</v>
      </c>
      <c r="T475" s="2">
        <f>IF(tblChecks[[#This Row],[MissingStreet]]="MISSING",1,0)</f>
        <v>0</v>
      </c>
      <c r="U475" t="str">
        <f t="shared" si="56"/>
        <v>OK</v>
      </c>
    </row>
    <row r="476" spans="1:21" x14ac:dyDescent="0.3">
      <c r="A476" s="1" t="str">
        <f>CleanedData!F476</f>
        <v>PROP00475</v>
      </c>
      <c r="B476" s="2" t="str">
        <f>CleanedData!A476</f>
        <v>Spain, Barcelona, Gonzalez Dale 165</v>
      </c>
      <c r="C476" s="2" t="str">
        <f>CleanedData!D476</f>
        <v>Spain</v>
      </c>
      <c r="D476" s="2" t="str">
        <f>CleanedData!E476</f>
        <v>Barcelona</v>
      </c>
      <c r="E476" s="2" t="str">
        <f>CleanedData!O476</f>
        <v>Barcelona</v>
      </c>
      <c r="F476" s="2" t="str">
        <f>CleanedData!M476</f>
        <v>Gonzalez Dale 165</v>
      </c>
      <c r="G476" s="2" t="str">
        <f>CleanedData!B476</f>
        <v>10207</v>
      </c>
      <c r="H476" s="2" t="str">
        <f>CleanedData!C476</f>
        <v>+50-933953718</v>
      </c>
      <c r="I476" s="2" t="str">
        <f>CleanedData!G476</f>
        <v>Active</v>
      </c>
      <c r="J476" s="14">
        <f>CleanedData!H476</f>
        <v>44909</v>
      </c>
      <c r="K476" s="2" t="str">
        <f t="shared" si="57"/>
        <v>OK</v>
      </c>
      <c r="L476" s="2" t="str">
        <f t="shared" si="58"/>
        <v>OK</v>
      </c>
      <c r="M476" s="2" t="str">
        <f t="shared" si="59"/>
        <v>OK</v>
      </c>
      <c r="N476" s="2" t="str">
        <f t="shared" si="60"/>
        <v>MATCH</v>
      </c>
      <c r="O476" s="2" t="str">
        <f t="shared" si="61"/>
        <v>OK</v>
      </c>
      <c r="P476" s="2">
        <f t="shared" si="62"/>
        <v>0</v>
      </c>
      <c r="Q476" s="2" t="str">
        <f t="shared" si="63"/>
        <v>2022-12</v>
      </c>
      <c r="R476" s="3" t="s">
        <v>39</v>
      </c>
      <c r="S476" s="2">
        <f>IF(tblChecks[[#This Row],[AnyError]]="ERROR",1,0)</f>
        <v>0</v>
      </c>
      <c r="T476" s="2">
        <f>IF(tblChecks[[#This Row],[MissingStreet]]="MISSING",1,0)</f>
        <v>0</v>
      </c>
      <c r="U476" t="str">
        <f t="shared" si="56"/>
        <v>OK</v>
      </c>
    </row>
    <row r="477" spans="1:21" x14ac:dyDescent="0.3">
      <c r="A477" s="1" t="str">
        <f>CleanedData!F477</f>
        <v>PROP00476</v>
      </c>
      <c r="B477" s="2" t="str">
        <f>CleanedData!A477</f>
        <v>Thompson Station 269, Brazil, São Paulo</v>
      </c>
      <c r="C477" s="2" t="str">
        <f>CleanedData!D477</f>
        <v>Brazil</v>
      </c>
      <c r="D477" s="2" t="str">
        <f>CleanedData!E477</f>
        <v>São Paulo</v>
      </c>
      <c r="E477" s="2" t="str">
        <f>CleanedData!O477</f>
        <v>São Paulo</v>
      </c>
      <c r="F477" s="2" t="str">
        <f>CleanedData!M477</f>
        <v>Thompson Station 269</v>
      </c>
      <c r="G477" s="2" t="str">
        <f>CleanedData!B477</f>
        <v>58842</v>
      </c>
      <c r="H477" s="2" t="str">
        <f>CleanedData!C477</f>
        <v>+31-135111330</v>
      </c>
      <c r="I477" s="2" t="str">
        <f>CleanedData!G477</f>
        <v>Inactive</v>
      </c>
      <c r="J477" s="14">
        <f>CleanedData!H477</f>
        <v>45677</v>
      </c>
      <c r="K477" s="2" t="str">
        <f t="shared" si="57"/>
        <v>OK</v>
      </c>
      <c r="L477" s="2" t="str">
        <f t="shared" si="58"/>
        <v>OK</v>
      </c>
      <c r="M477" s="2" t="str">
        <f t="shared" si="59"/>
        <v>OK</v>
      </c>
      <c r="N477" s="2" t="str">
        <f t="shared" si="60"/>
        <v>MATCH</v>
      </c>
      <c r="O477" s="2" t="str">
        <f t="shared" si="61"/>
        <v>OK</v>
      </c>
      <c r="P477" s="2">
        <f t="shared" si="62"/>
        <v>0</v>
      </c>
      <c r="Q477" s="2" t="str">
        <f t="shared" si="63"/>
        <v>2025-01</v>
      </c>
      <c r="R477" s="3" t="s">
        <v>23</v>
      </c>
      <c r="S477" s="2">
        <f>IF(tblChecks[[#This Row],[AnyError]]="ERROR",1,0)</f>
        <v>0</v>
      </c>
      <c r="T477" s="2">
        <f>IF(tblChecks[[#This Row],[MissingStreet]]="MISSING",1,0)</f>
        <v>0</v>
      </c>
      <c r="U477" t="str">
        <f t="shared" si="56"/>
        <v>OK</v>
      </c>
    </row>
    <row r="478" spans="1:21" x14ac:dyDescent="0.3">
      <c r="A478" s="1" t="str">
        <f>CleanedData!F478</f>
        <v>PROP00477</v>
      </c>
      <c r="B478" s="2" t="str">
        <f>CleanedData!A478</f>
        <v>FlorenceLisa Vista146, Italy</v>
      </c>
      <c r="C478" s="2" t="str">
        <f>CleanedData!D478</f>
        <v>Italy</v>
      </c>
      <c r="D478" s="2" t="str">
        <f>CleanedData!E478</f>
        <v>Florence</v>
      </c>
      <c r="E478" s="2" t="str">
        <f>CleanedData!O478</f>
        <v>Florence</v>
      </c>
      <c r="F478" s="2" t="str">
        <f>CleanedData!M478</f>
        <v>FlorenceLisa Vista146</v>
      </c>
      <c r="G478" s="2" t="str">
        <f>CleanedData!B478</f>
        <v>42390</v>
      </c>
      <c r="H478" s="2" t="str">
        <f>CleanedData!C478</f>
        <v>+62-908839833</v>
      </c>
      <c r="I478" s="2" t="str">
        <f>CleanedData!G478</f>
        <v>Inactive</v>
      </c>
      <c r="J478" s="14">
        <f>CleanedData!H478</f>
        <v>45646</v>
      </c>
      <c r="K478" s="2" t="str">
        <f t="shared" si="57"/>
        <v>OK</v>
      </c>
      <c r="L478" s="2" t="str">
        <f t="shared" si="58"/>
        <v>OK</v>
      </c>
      <c r="M478" s="2" t="str">
        <f t="shared" si="59"/>
        <v>OK</v>
      </c>
      <c r="N478" s="2" t="str">
        <f t="shared" si="60"/>
        <v>MATCH</v>
      </c>
      <c r="O478" s="2" t="str">
        <f t="shared" si="61"/>
        <v>OK</v>
      </c>
      <c r="P478" s="2">
        <f t="shared" si="62"/>
        <v>0</v>
      </c>
      <c r="Q478" s="2" t="str">
        <f t="shared" si="63"/>
        <v>2024-12</v>
      </c>
      <c r="R478" s="3" t="s">
        <v>23</v>
      </c>
      <c r="S478" s="2">
        <f>IF(tblChecks[[#This Row],[AnyError]]="ERROR",1,0)</f>
        <v>0</v>
      </c>
      <c r="T478" s="2">
        <f>IF(tblChecks[[#This Row],[MissingStreet]]="MISSING",1,0)</f>
        <v>0</v>
      </c>
      <c r="U478" t="str">
        <f t="shared" si="56"/>
        <v>OK</v>
      </c>
    </row>
    <row r="479" spans="1:21" x14ac:dyDescent="0.3">
      <c r="A479" s="1" t="str">
        <f>CleanedData!F479</f>
        <v>PROP00478</v>
      </c>
      <c r="B479" s="2" t="str">
        <f>CleanedData!A479</f>
        <v>MunichMckinney Plaza135, Germany</v>
      </c>
      <c r="C479" s="2" t="str">
        <f>CleanedData!D479</f>
        <v>Germany</v>
      </c>
      <c r="D479" s="2" t="str">
        <f>CleanedData!E479</f>
        <v>Munich</v>
      </c>
      <c r="E479" s="2" t="str">
        <f>CleanedData!O479</f>
        <v>Munich</v>
      </c>
      <c r="F479" s="2" t="str">
        <f>CleanedData!M479</f>
        <v>MunichMckinney Plaza135</v>
      </c>
      <c r="G479" s="2" t="str">
        <f>CleanedData!B479</f>
        <v>71564</v>
      </c>
      <c r="H479" s="2" t="str">
        <f>CleanedData!C479</f>
        <v>+3-611628103</v>
      </c>
      <c r="I479" s="2" t="str">
        <f>CleanedData!G479</f>
        <v>Active</v>
      </c>
      <c r="J479" s="14">
        <f>CleanedData!H479</f>
        <v>45562</v>
      </c>
      <c r="K479" s="2" t="str">
        <f t="shared" si="57"/>
        <v>OK</v>
      </c>
      <c r="L479" s="2" t="str">
        <f t="shared" si="58"/>
        <v>OK</v>
      </c>
      <c r="M479" s="2" t="str">
        <f t="shared" si="59"/>
        <v>OK</v>
      </c>
      <c r="N479" s="2" t="str">
        <f t="shared" si="60"/>
        <v>MATCH</v>
      </c>
      <c r="O479" s="2" t="str">
        <f t="shared" si="61"/>
        <v>OK</v>
      </c>
      <c r="P479" s="2">
        <f t="shared" si="62"/>
        <v>0</v>
      </c>
      <c r="Q479" s="2" t="str">
        <f t="shared" si="63"/>
        <v>2024-09</v>
      </c>
      <c r="R479" s="3" t="s">
        <v>54</v>
      </c>
      <c r="S479" s="2">
        <f>IF(tblChecks[[#This Row],[AnyError]]="ERROR",1,0)</f>
        <v>0</v>
      </c>
      <c r="T479" s="2">
        <f>IF(tblChecks[[#This Row],[MissingStreet]]="MISSING",1,0)</f>
        <v>0</v>
      </c>
      <c r="U479" t="str">
        <f t="shared" si="56"/>
        <v>OK</v>
      </c>
    </row>
    <row r="480" spans="1:21" x14ac:dyDescent="0.3">
      <c r="A480" s="1" t="str">
        <f>CleanedData!F480</f>
        <v>PROP00479</v>
      </c>
      <c r="B480" s="2" t="str">
        <f>CleanedData!A480</f>
        <v>USANew York, USA</v>
      </c>
      <c r="C480" s="2" t="str">
        <f>CleanedData!D480</f>
        <v>USA</v>
      </c>
      <c r="D480" s="2" t="str">
        <f>CleanedData!E480</f>
        <v>New York</v>
      </c>
      <c r="E480" s="2" t="str">
        <f>CleanedData!O480</f>
        <v>New York</v>
      </c>
      <c r="F480" s="2" t="str">
        <f>CleanedData!M480</f>
        <v>USA</v>
      </c>
      <c r="G480" s="2" t="str">
        <f>CleanedData!B480</f>
        <v>21145</v>
      </c>
      <c r="H480" s="2" t="str">
        <f>CleanedData!C480</f>
        <v>+49-783942129</v>
      </c>
      <c r="I480" s="2" t="str">
        <f>CleanedData!G480</f>
        <v>Inactive</v>
      </c>
      <c r="J480" s="14">
        <f>CleanedData!H480</f>
        <v>45189</v>
      </c>
      <c r="K480" s="2" t="str">
        <f t="shared" si="57"/>
        <v>OK</v>
      </c>
      <c r="L480" s="2" t="str">
        <f t="shared" si="58"/>
        <v>OK</v>
      </c>
      <c r="M480" s="2" t="str">
        <f t="shared" si="59"/>
        <v>OK</v>
      </c>
      <c r="N480" s="2" t="str">
        <f t="shared" si="60"/>
        <v>MATCH</v>
      </c>
      <c r="O480" s="2" t="str">
        <f t="shared" si="61"/>
        <v>OK</v>
      </c>
      <c r="P480" s="2">
        <f t="shared" si="62"/>
        <v>0</v>
      </c>
      <c r="Q480" s="2" t="str">
        <f t="shared" si="63"/>
        <v>2023-09</v>
      </c>
      <c r="R480" s="3" t="s">
        <v>16</v>
      </c>
      <c r="S480" s="2">
        <f>IF(tblChecks[[#This Row],[AnyError]]="ERROR",1,0)</f>
        <v>0</v>
      </c>
      <c r="T480" s="2">
        <f>IF(tblChecks[[#This Row],[MissingStreet]]="MISSING",1,0)</f>
        <v>0</v>
      </c>
      <c r="U480" t="str">
        <f t="shared" si="56"/>
        <v>OK</v>
      </c>
    </row>
    <row r="481" spans="1:21" x14ac:dyDescent="0.3">
      <c r="A481" s="1" t="str">
        <f>CleanedData!F481</f>
        <v>PROP00480</v>
      </c>
      <c r="B481" s="2" t="str">
        <f>CleanedData!A481</f>
        <v>LondonLaura Pass238, UK</v>
      </c>
      <c r="C481" s="2" t="str">
        <f>CleanedData!D481</f>
        <v>UK</v>
      </c>
      <c r="D481" s="2" t="str">
        <f>CleanedData!E481</f>
        <v>London</v>
      </c>
      <c r="E481" s="2" t="str">
        <f>CleanedData!O481</f>
        <v>London</v>
      </c>
      <c r="F481" s="2" t="str">
        <f>CleanedData!M481</f>
        <v>LondonLaura Pass238</v>
      </c>
      <c r="G481" s="2" t="str">
        <f>CleanedData!B481</f>
        <v>29892</v>
      </c>
      <c r="H481" s="2" t="str">
        <f>CleanedData!C481</f>
        <v>+22-656402692</v>
      </c>
      <c r="I481" s="2" t="str">
        <f>CleanedData!G481</f>
        <v>Active</v>
      </c>
      <c r="J481" s="14">
        <f>CleanedData!H481</f>
        <v>45097</v>
      </c>
      <c r="K481" s="2" t="str">
        <f t="shared" si="57"/>
        <v>OK</v>
      </c>
      <c r="L481" s="2" t="str">
        <f t="shared" si="58"/>
        <v>OK</v>
      </c>
      <c r="M481" s="2" t="str">
        <f t="shared" si="59"/>
        <v>OK</v>
      </c>
      <c r="N481" s="2" t="str">
        <f t="shared" si="60"/>
        <v>MATCH</v>
      </c>
      <c r="O481" s="2" t="str">
        <f t="shared" si="61"/>
        <v>OK</v>
      </c>
      <c r="P481" s="2">
        <f t="shared" si="62"/>
        <v>0</v>
      </c>
      <c r="Q481" s="2" t="str">
        <f t="shared" si="63"/>
        <v>2023-06</v>
      </c>
      <c r="R481" s="3" t="s">
        <v>23</v>
      </c>
      <c r="S481" s="2">
        <f>IF(tblChecks[[#This Row],[AnyError]]="ERROR",1,0)</f>
        <v>0</v>
      </c>
      <c r="T481" s="2">
        <f>IF(tblChecks[[#This Row],[MissingStreet]]="MISSING",1,0)</f>
        <v>0</v>
      </c>
      <c r="U481" t="str">
        <f t="shared" si="56"/>
        <v>OK</v>
      </c>
    </row>
    <row r="482" spans="1:21" x14ac:dyDescent="0.3">
      <c r="A482" s="1" t="str">
        <f>CleanedData!F482</f>
        <v>PROP00481</v>
      </c>
      <c r="B482" s="2" t="str">
        <f>CleanedData!A482</f>
        <v>Tracie Turnpike298, Munich, Germany</v>
      </c>
      <c r="C482" s="2" t="str">
        <f>CleanedData!D482</f>
        <v>Germany</v>
      </c>
      <c r="D482" s="2" t="str">
        <f>CleanedData!E482</f>
        <v>Munich</v>
      </c>
      <c r="E482" s="2" t="str">
        <f>CleanedData!O482</f>
        <v>Munich</v>
      </c>
      <c r="F482" s="2" t="str">
        <f>CleanedData!M482</f>
        <v>Tracie Turnpike298</v>
      </c>
      <c r="G482" s="2" t="str">
        <f>CleanedData!B482</f>
        <v>18703</v>
      </c>
      <c r="H482" s="2" t="str">
        <f>CleanedData!C482</f>
        <v>+31-421010856</v>
      </c>
      <c r="I482" s="2" t="str">
        <f>CleanedData!G482</f>
        <v>Inactive</v>
      </c>
      <c r="J482" s="14">
        <f>CleanedData!H482</f>
        <v>45963</v>
      </c>
      <c r="K482" s="2" t="str">
        <f t="shared" si="57"/>
        <v>OK</v>
      </c>
      <c r="L482" s="2" t="str">
        <f t="shared" si="58"/>
        <v>OK</v>
      </c>
      <c r="M482" s="2" t="str">
        <f t="shared" si="59"/>
        <v>OK</v>
      </c>
      <c r="N482" s="2" t="str">
        <f t="shared" si="60"/>
        <v>MATCH</v>
      </c>
      <c r="O482" s="2" t="str">
        <f t="shared" si="61"/>
        <v>OK</v>
      </c>
      <c r="P482" s="2">
        <f t="shared" si="62"/>
        <v>0</v>
      </c>
      <c r="Q482" s="2" t="str">
        <f t="shared" si="63"/>
        <v>2025-11</v>
      </c>
      <c r="R482" s="3" t="s">
        <v>23</v>
      </c>
      <c r="S482" s="2">
        <f>IF(tblChecks[[#This Row],[AnyError]]="ERROR",1,0)</f>
        <v>0</v>
      </c>
      <c r="T482" s="2">
        <f>IF(tblChecks[[#This Row],[MissingStreet]]="MISSING",1,0)</f>
        <v>0</v>
      </c>
      <c r="U482" t="str">
        <f t="shared" si="56"/>
        <v>OK</v>
      </c>
    </row>
    <row r="483" spans="1:21" x14ac:dyDescent="0.3">
      <c r="A483" s="1" t="str">
        <f>CleanedData!F483</f>
        <v>PROP00482</v>
      </c>
      <c r="B483" s="2" t="str">
        <f>CleanedData!A483</f>
        <v>FranceParisKristy Burg137</v>
      </c>
      <c r="C483" s="2" t="str">
        <f>CleanedData!D483</f>
        <v>France</v>
      </c>
      <c r="D483" s="2" t="str">
        <f>CleanedData!E483</f>
        <v>Paris</v>
      </c>
      <c r="E483" s="2" t="str">
        <f>CleanedData!O483</f>
        <v>Paris</v>
      </c>
      <c r="F483" s="2" t="str">
        <f>CleanedData!M483</f>
        <v>FranceParisKristy Burg137</v>
      </c>
      <c r="G483" s="2" t="str">
        <f>CleanedData!B483</f>
        <v>47804</v>
      </c>
      <c r="H483" s="2" t="str">
        <f>CleanedData!C483</f>
        <v>+31-368100660</v>
      </c>
      <c r="I483" s="2" t="str">
        <f>CleanedData!G483</f>
        <v>Inactive</v>
      </c>
      <c r="J483" s="14">
        <f>CleanedData!H483</f>
        <v>45623</v>
      </c>
      <c r="K483" s="2" t="str">
        <f t="shared" si="57"/>
        <v>OK</v>
      </c>
      <c r="L483" s="2" t="str">
        <f t="shared" si="58"/>
        <v>OK</v>
      </c>
      <c r="M483" s="2" t="str">
        <f t="shared" si="59"/>
        <v>OK</v>
      </c>
      <c r="N483" s="2" t="str">
        <f t="shared" si="60"/>
        <v>MATCH</v>
      </c>
      <c r="O483" s="2" t="str">
        <f t="shared" si="61"/>
        <v>OK</v>
      </c>
      <c r="P483" s="2">
        <f t="shared" si="62"/>
        <v>0</v>
      </c>
      <c r="Q483" s="2" t="str">
        <f t="shared" si="63"/>
        <v>2024-11</v>
      </c>
      <c r="R483" s="3" t="s">
        <v>54</v>
      </c>
      <c r="S483" s="2">
        <f>IF(tblChecks[[#This Row],[AnyError]]="ERROR",1,0)</f>
        <v>0</v>
      </c>
      <c r="T483" s="2">
        <f>IF(tblChecks[[#This Row],[MissingStreet]]="MISSING",1,0)</f>
        <v>0</v>
      </c>
      <c r="U483" t="str">
        <f t="shared" si="56"/>
        <v>OK</v>
      </c>
    </row>
    <row r="484" spans="1:21" x14ac:dyDescent="0.3">
      <c r="A484" s="1" t="str">
        <f>CleanedData!F484</f>
        <v>PROP00483</v>
      </c>
      <c r="B484" s="2" t="str">
        <f>CleanedData!A484</f>
        <v>Hamburg, Mcdonald Plaza 82, Germany</v>
      </c>
      <c r="C484" s="2" t="str">
        <f>CleanedData!D484</f>
        <v>Germany</v>
      </c>
      <c r="D484" s="2" t="str">
        <f>CleanedData!E484</f>
        <v>Hamburg</v>
      </c>
      <c r="E484" s="2" t="str">
        <f>CleanedData!O484</f>
        <v>Hamburg</v>
      </c>
      <c r="F484" s="2" t="str">
        <f>CleanedData!M484</f>
        <v>Mcdonald Plaza 82</v>
      </c>
      <c r="G484" s="2" t="str">
        <f>CleanedData!B484</f>
        <v>17510</v>
      </c>
      <c r="H484" s="2" t="str">
        <f>CleanedData!C484</f>
        <v>+70-542057882</v>
      </c>
      <c r="I484" s="2" t="str">
        <f>CleanedData!G484</f>
        <v>Active</v>
      </c>
      <c r="J484" s="14">
        <f>CleanedData!H484</f>
        <v>45246</v>
      </c>
      <c r="K484" s="2" t="str">
        <f t="shared" si="57"/>
        <v>OK</v>
      </c>
      <c r="L484" s="2" t="str">
        <f t="shared" si="58"/>
        <v>OK</v>
      </c>
      <c r="M484" s="2" t="str">
        <f t="shared" si="59"/>
        <v>OK</v>
      </c>
      <c r="N484" s="2" t="str">
        <f t="shared" si="60"/>
        <v>MATCH</v>
      </c>
      <c r="O484" s="2" t="str">
        <f t="shared" si="61"/>
        <v>OK</v>
      </c>
      <c r="P484" s="2">
        <f t="shared" si="62"/>
        <v>0</v>
      </c>
      <c r="Q484" s="2" t="str">
        <f t="shared" si="63"/>
        <v>2023-11</v>
      </c>
      <c r="R484" s="3" t="s">
        <v>16</v>
      </c>
      <c r="S484" s="2">
        <f>IF(tblChecks[[#This Row],[AnyError]]="ERROR",1,0)</f>
        <v>0</v>
      </c>
      <c r="T484" s="2">
        <f>IF(tblChecks[[#This Row],[MissingStreet]]="MISSING",1,0)</f>
        <v>0</v>
      </c>
      <c r="U484" t="str">
        <f t="shared" si="56"/>
        <v>OK</v>
      </c>
    </row>
    <row r="485" spans="1:21" x14ac:dyDescent="0.3">
      <c r="A485" s="1" t="str">
        <f>CleanedData!F485</f>
        <v>PROP00484</v>
      </c>
      <c r="B485" s="2" t="str">
        <f>CleanedData!A485</f>
        <v>UKBirminghamCameron Locks172</v>
      </c>
      <c r="C485" s="2" t="str">
        <f>CleanedData!D485</f>
        <v>UK</v>
      </c>
      <c r="D485" s="2" t="str">
        <f>CleanedData!E485</f>
        <v>Birmingham</v>
      </c>
      <c r="E485" s="2" t="str">
        <f>CleanedData!O485</f>
        <v>Birmingham</v>
      </c>
      <c r="F485" s="2" t="str">
        <f>CleanedData!M485</f>
        <v>UKBirminghamCameron Locks172</v>
      </c>
      <c r="G485" s="2" t="str">
        <f>CleanedData!B485</f>
        <v>94470</v>
      </c>
      <c r="H485" s="2" t="str">
        <f>CleanedData!C485</f>
        <v>+99-542938193</v>
      </c>
      <c r="I485" s="2" t="str">
        <f>CleanedData!G485</f>
        <v>Active</v>
      </c>
      <c r="J485" s="14">
        <f>CleanedData!H485</f>
        <v>45179</v>
      </c>
      <c r="K485" s="2" t="str">
        <f t="shared" si="57"/>
        <v>OK</v>
      </c>
      <c r="L485" s="2" t="str">
        <f t="shared" si="58"/>
        <v>OK</v>
      </c>
      <c r="M485" s="2" t="str">
        <f t="shared" si="59"/>
        <v>OK</v>
      </c>
      <c r="N485" s="2" t="str">
        <f t="shared" si="60"/>
        <v>MATCH</v>
      </c>
      <c r="O485" s="2" t="str">
        <f t="shared" si="61"/>
        <v>OK</v>
      </c>
      <c r="P485" s="2">
        <f t="shared" si="62"/>
        <v>0</v>
      </c>
      <c r="Q485" s="2" t="str">
        <f t="shared" si="63"/>
        <v>2023-09</v>
      </c>
      <c r="R485" s="3" t="s">
        <v>33</v>
      </c>
      <c r="S485" s="2">
        <f>IF(tblChecks[[#This Row],[AnyError]]="ERROR",1,0)</f>
        <v>0</v>
      </c>
      <c r="T485" s="2">
        <f>IF(tblChecks[[#This Row],[MissingStreet]]="MISSING",1,0)</f>
        <v>0</v>
      </c>
      <c r="U485" t="str">
        <f t="shared" si="56"/>
        <v>OK</v>
      </c>
    </row>
    <row r="486" spans="1:21" x14ac:dyDescent="0.3">
      <c r="A486" s="1" t="str">
        <f>CleanedData!F486</f>
        <v>PROP00485</v>
      </c>
      <c r="B486" s="2" t="str">
        <f>CleanedData!A486</f>
        <v>LeedsFox Trafficway256, UK</v>
      </c>
      <c r="C486" s="2" t="str">
        <f>CleanedData!D486</f>
        <v>UK</v>
      </c>
      <c r="D486" s="2" t="str">
        <f>CleanedData!E486</f>
        <v>Leeds</v>
      </c>
      <c r="E486" s="2" t="str">
        <f>CleanedData!O486</f>
        <v>Leeds</v>
      </c>
      <c r="F486" s="2" t="str">
        <f>CleanedData!M486</f>
        <v>LeedsFox Trafficway256</v>
      </c>
      <c r="G486" s="2" t="str">
        <f>CleanedData!B486</f>
        <v>54166</v>
      </c>
      <c r="H486" s="2" t="str">
        <f>CleanedData!C486</f>
        <v>+20-793213048</v>
      </c>
      <c r="I486" s="2" t="str">
        <f>CleanedData!G486</f>
        <v>Inactive</v>
      </c>
      <c r="J486" s="14">
        <f>CleanedData!H486</f>
        <v>45250</v>
      </c>
      <c r="K486" s="2" t="str">
        <f t="shared" si="57"/>
        <v>OK</v>
      </c>
      <c r="L486" s="2" t="str">
        <f t="shared" si="58"/>
        <v>OK</v>
      </c>
      <c r="M486" s="2" t="str">
        <f t="shared" si="59"/>
        <v>OK</v>
      </c>
      <c r="N486" s="2" t="str">
        <f t="shared" si="60"/>
        <v>MATCH</v>
      </c>
      <c r="O486" s="2" t="str">
        <f t="shared" si="61"/>
        <v>OK</v>
      </c>
      <c r="P486" s="2">
        <f t="shared" si="62"/>
        <v>0</v>
      </c>
      <c r="Q486" s="2" t="str">
        <f t="shared" si="63"/>
        <v>2023-11</v>
      </c>
      <c r="R486" s="3" t="s">
        <v>33</v>
      </c>
      <c r="S486" s="2">
        <f>IF(tblChecks[[#This Row],[AnyError]]="ERROR",1,0)</f>
        <v>0</v>
      </c>
      <c r="T486" s="2">
        <f>IF(tblChecks[[#This Row],[MissingStreet]]="MISSING",1,0)</f>
        <v>0</v>
      </c>
      <c r="U486" t="str">
        <f t="shared" si="56"/>
        <v>OK</v>
      </c>
    </row>
    <row r="487" spans="1:21" x14ac:dyDescent="0.3">
      <c r="A487" s="1" t="str">
        <f>CleanedData!F487</f>
        <v>PROP00486</v>
      </c>
      <c r="B487" s="2" t="str">
        <f>CleanedData!A487</f>
        <v>BrazilRio de JaneiroDavid Island268</v>
      </c>
      <c r="C487" s="2" t="str">
        <f>CleanedData!D487</f>
        <v>Brazil</v>
      </c>
      <c r="D487" s="2" t="str">
        <f>CleanedData!E487</f>
        <v>Rio de Janeiro</v>
      </c>
      <c r="E487" s="2" t="str">
        <f>CleanedData!O487</f>
        <v>Rio de Janeiro</v>
      </c>
      <c r="F487" s="2" t="str">
        <f>CleanedData!M487</f>
        <v>BrazilRio de JaneiroDavid Island268</v>
      </c>
      <c r="G487" s="2" t="str">
        <f>CleanedData!B487</f>
        <v>84693</v>
      </c>
      <c r="H487" s="2" t="str">
        <f>CleanedData!C487</f>
        <v>+57-413768767</v>
      </c>
      <c r="I487" s="2" t="str">
        <f>CleanedData!G487</f>
        <v>Active</v>
      </c>
      <c r="J487" s="14">
        <f>CleanedData!H487</f>
        <v>45546</v>
      </c>
      <c r="K487" s="2" t="str">
        <f t="shared" si="57"/>
        <v>OK</v>
      </c>
      <c r="L487" s="2" t="str">
        <f t="shared" si="58"/>
        <v>OK</v>
      </c>
      <c r="M487" s="2" t="str">
        <f t="shared" si="59"/>
        <v>OK</v>
      </c>
      <c r="N487" s="2" t="str">
        <f t="shared" si="60"/>
        <v>MATCH</v>
      </c>
      <c r="O487" s="2" t="str">
        <f t="shared" si="61"/>
        <v>OK</v>
      </c>
      <c r="P487" s="2">
        <f t="shared" si="62"/>
        <v>0</v>
      </c>
      <c r="Q487" s="2" t="str">
        <f t="shared" si="63"/>
        <v>2024-09</v>
      </c>
      <c r="R487" s="3" t="s">
        <v>54</v>
      </c>
      <c r="S487" s="2">
        <f>IF(tblChecks[[#This Row],[AnyError]]="ERROR",1,0)</f>
        <v>0</v>
      </c>
      <c r="T487" s="2">
        <f>IF(tblChecks[[#This Row],[MissingStreet]]="MISSING",1,0)</f>
        <v>0</v>
      </c>
      <c r="U487" t="str">
        <f t="shared" si="56"/>
        <v>OK</v>
      </c>
    </row>
    <row r="488" spans="1:21" x14ac:dyDescent="0.3">
      <c r="A488" s="1" t="str">
        <f>CleanedData!F488</f>
        <v>PROP00487</v>
      </c>
      <c r="B488" s="2" t="str">
        <f>CleanedData!A488</f>
        <v>CanadaOttawa</v>
      </c>
      <c r="C488" s="2" t="str">
        <f>CleanedData!D488</f>
        <v>Canada</v>
      </c>
      <c r="D488" s="2" t="str">
        <f>CleanedData!E488</f>
        <v>Ottawa</v>
      </c>
      <c r="E488" s="2" t="str">
        <f>CleanedData!O488</f>
        <v>Ottawa</v>
      </c>
      <c r="F488" s="2" t="str">
        <f>CleanedData!M488</f>
        <v/>
      </c>
      <c r="G488" s="2" t="str">
        <f>CleanedData!B488</f>
        <v>68312</v>
      </c>
      <c r="H488" s="2" t="str">
        <f>CleanedData!C488</f>
        <v>+88-600277540</v>
      </c>
      <c r="I488" s="2" t="str">
        <f>CleanedData!G488</f>
        <v>Active</v>
      </c>
      <c r="J488" s="14">
        <f>CleanedData!H488</f>
        <v>45210</v>
      </c>
      <c r="K488" s="2" t="str">
        <f t="shared" si="57"/>
        <v>MISSING</v>
      </c>
      <c r="L488" s="2" t="str">
        <f t="shared" si="58"/>
        <v>OK</v>
      </c>
      <c r="M488" s="2" t="str">
        <f t="shared" si="59"/>
        <v>OK</v>
      </c>
      <c r="N488" s="2" t="str">
        <f t="shared" si="60"/>
        <v>MATCH</v>
      </c>
      <c r="O488" s="2" t="str">
        <f t="shared" si="61"/>
        <v>ERROR</v>
      </c>
      <c r="P488" s="2">
        <f t="shared" si="62"/>
        <v>1</v>
      </c>
      <c r="Q488" s="2" t="str">
        <f t="shared" si="63"/>
        <v>2023-10</v>
      </c>
      <c r="R488" s="3" t="s">
        <v>16</v>
      </c>
      <c r="S488" s="2">
        <f>IF(tblChecks[[#This Row],[AnyError]]="ERROR",1,0)</f>
        <v>1</v>
      </c>
      <c r="T488" s="2">
        <f>IF(tblChecks[[#This Row],[MissingStreet]]="MISSING",1,0)</f>
        <v>1</v>
      </c>
      <c r="U488" t="str">
        <f t="shared" si="56"/>
        <v>MissingStreet</v>
      </c>
    </row>
    <row r="489" spans="1:21" x14ac:dyDescent="0.3">
      <c r="A489" s="1" t="str">
        <f>CleanedData!F489</f>
        <v>PROP00488</v>
      </c>
      <c r="B489" s="2" t="str">
        <f>CleanedData!A489</f>
        <v>JapanKyoto</v>
      </c>
      <c r="C489" s="2" t="str">
        <f>CleanedData!D489</f>
        <v>Japan</v>
      </c>
      <c r="D489" s="2" t="str">
        <f>CleanedData!E489</f>
        <v>Kyoto</v>
      </c>
      <c r="E489" s="2" t="str">
        <f>CleanedData!O489</f>
        <v>Kyoto</v>
      </c>
      <c r="F489" s="2" t="str">
        <f>CleanedData!M489</f>
        <v/>
      </c>
      <c r="G489" s="2" t="str">
        <f>CleanedData!B489</f>
        <v>72761</v>
      </c>
      <c r="H489" s="2" t="str">
        <f>CleanedData!C489</f>
        <v>+15-137098483</v>
      </c>
      <c r="I489" s="2" t="str">
        <f>CleanedData!G489</f>
        <v>Active</v>
      </c>
      <c r="J489" s="14">
        <f>CleanedData!H489</f>
        <v>45943</v>
      </c>
      <c r="K489" s="2" t="str">
        <f t="shared" si="57"/>
        <v>MISSING</v>
      </c>
      <c r="L489" s="2" t="str">
        <f t="shared" si="58"/>
        <v>OK</v>
      </c>
      <c r="M489" s="2" t="str">
        <f t="shared" si="59"/>
        <v>OK</v>
      </c>
      <c r="N489" s="2" t="str">
        <f t="shared" si="60"/>
        <v>MATCH</v>
      </c>
      <c r="O489" s="2" t="str">
        <f t="shared" si="61"/>
        <v>ERROR</v>
      </c>
      <c r="P489" s="2">
        <f t="shared" si="62"/>
        <v>1</v>
      </c>
      <c r="Q489" s="2" t="str">
        <f t="shared" si="63"/>
        <v>2025-10</v>
      </c>
      <c r="R489" s="3" t="s">
        <v>33</v>
      </c>
      <c r="S489" s="2">
        <f>IF(tblChecks[[#This Row],[AnyError]]="ERROR",1,0)</f>
        <v>1</v>
      </c>
      <c r="T489" s="2">
        <f>IF(tblChecks[[#This Row],[MissingStreet]]="MISSING",1,0)</f>
        <v>1</v>
      </c>
      <c r="U489" t="str">
        <f t="shared" si="56"/>
        <v>MissingStreet</v>
      </c>
    </row>
    <row r="490" spans="1:21" x14ac:dyDescent="0.3">
      <c r="A490" s="1" t="str">
        <f>CleanedData!F490</f>
        <v>PROP00489</v>
      </c>
      <c r="B490" s="2" t="str">
        <f>CleanedData!A490</f>
        <v>Spain, Seville, Katrina Curve 179</v>
      </c>
      <c r="C490" s="2" t="str">
        <f>CleanedData!D490</f>
        <v>Spain</v>
      </c>
      <c r="D490" s="2" t="str">
        <f>CleanedData!E490</f>
        <v>Seville</v>
      </c>
      <c r="E490" s="2" t="str">
        <f>CleanedData!O490</f>
        <v>Seville</v>
      </c>
      <c r="F490" s="2" t="str">
        <f>CleanedData!M490</f>
        <v>Katrina Curve 179</v>
      </c>
      <c r="G490" s="2" t="str">
        <f>CleanedData!B490</f>
        <v>57205</v>
      </c>
      <c r="H490" s="2" t="str">
        <f>CleanedData!C490</f>
        <v>+56-258676327</v>
      </c>
      <c r="I490" s="2" t="str">
        <f>CleanedData!G490</f>
        <v>Inactive</v>
      </c>
      <c r="J490" s="14">
        <f>CleanedData!H490</f>
        <v>45177</v>
      </c>
      <c r="K490" s="2" t="str">
        <f t="shared" si="57"/>
        <v>OK</v>
      </c>
      <c r="L490" s="2" t="str">
        <f t="shared" si="58"/>
        <v>OK</v>
      </c>
      <c r="M490" s="2" t="str">
        <f t="shared" si="59"/>
        <v>OK</v>
      </c>
      <c r="N490" s="2" t="str">
        <f t="shared" si="60"/>
        <v>MATCH</v>
      </c>
      <c r="O490" s="2" t="str">
        <f t="shared" si="61"/>
        <v>OK</v>
      </c>
      <c r="P490" s="2">
        <f t="shared" si="62"/>
        <v>0</v>
      </c>
      <c r="Q490" s="2" t="str">
        <f t="shared" si="63"/>
        <v>2023-09</v>
      </c>
      <c r="R490" s="3" t="s">
        <v>54</v>
      </c>
      <c r="S490" s="2">
        <f>IF(tblChecks[[#This Row],[AnyError]]="ERROR",1,0)</f>
        <v>0</v>
      </c>
      <c r="T490" s="2">
        <f>IF(tblChecks[[#This Row],[MissingStreet]]="MISSING",1,0)</f>
        <v>0</v>
      </c>
      <c r="U490" t="str">
        <f t="shared" si="56"/>
        <v>OK</v>
      </c>
    </row>
    <row r="491" spans="1:21" x14ac:dyDescent="0.3">
      <c r="A491" s="1" t="str">
        <f>CleanedData!F491</f>
        <v>PROP00490</v>
      </c>
      <c r="B491" s="2" t="str">
        <f>CleanedData!A491</f>
        <v>Marie Path 275, Florence</v>
      </c>
      <c r="C491" s="2" t="str">
        <f>CleanedData!D491</f>
        <v>Italy</v>
      </c>
      <c r="D491" s="2" t="str">
        <f>CleanedData!E491</f>
        <v>Florence</v>
      </c>
      <c r="E491" s="2" t="str">
        <f>CleanedData!O491</f>
        <v>Florence</v>
      </c>
      <c r="F491" s="2" t="str">
        <f>CleanedData!M491</f>
        <v>Marie Path 275</v>
      </c>
      <c r="G491" s="2" t="str">
        <f>CleanedData!B491</f>
        <v>20557</v>
      </c>
      <c r="H491" s="2" t="str">
        <f>CleanedData!C491</f>
        <v>+1-689826228</v>
      </c>
      <c r="I491" s="2" t="str">
        <f>CleanedData!G491</f>
        <v>Active</v>
      </c>
      <c r="J491" s="14">
        <f>CleanedData!H491</f>
        <v>44895</v>
      </c>
      <c r="K491" s="2" t="str">
        <f t="shared" si="57"/>
        <v>OK</v>
      </c>
      <c r="L491" s="2" t="str">
        <f t="shared" si="58"/>
        <v>OK</v>
      </c>
      <c r="M491" s="2" t="str">
        <f t="shared" si="59"/>
        <v>OK</v>
      </c>
      <c r="N491" s="2" t="str">
        <f t="shared" si="60"/>
        <v>MATCH</v>
      </c>
      <c r="O491" s="2" t="str">
        <f t="shared" si="61"/>
        <v>OK</v>
      </c>
      <c r="P491" s="2">
        <f t="shared" si="62"/>
        <v>0</v>
      </c>
      <c r="Q491" s="2" t="str">
        <f t="shared" si="63"/>
        <v>2022-11</v>
      </c>
      <c r="R491" s="3" t="s">
        <v>16</v>
      </c>
      <c r="S491" s="2">
        <f>IF(tblChecks[[#This Row],[AnyError]]="ERROR",1,0)</f>
        <v>0</v>
      </c>
      <c r="T491" s="2">
        <f>IF(tblChecks[[#This Row],[MissingStreet]]="MISSING",1,0)</f>
        <v>0</v>
      </c>
      <c r="U491" t="str">
        <f t="shared" si="56"/>
        <v>OK</v>
      </c>
    </row>
    <row r="492" spans="1:21" x14ac:dyDescent="0.3">
      <c r="A492" s="1" t="str">
        <f>CleanedData!F492</f>
        <v>PROP00491</v>
      </c>
      <c r="B492" s="2" t="str">
        <f>CleanedData!A492</f>
        <v>Martin Islands 88, USA, Chicago</v>
      </c>
      <c r="C492" s="2" t="str">
        <f>CleanedData!D492</f>
        <v>USA</v>
      </c>
      <c r="D492" s="2" t="str">
        <f>CleanedData!E492</f>
        <v>Chicago</v>
      </c>
      <c r="E492" s="2" t="str">
        <f>CleanedData!O492</f>
        <v>Chicago</v>
      </c>
      <c r="F492" s="2" t="str">
        <f>CleanedData!M492</f>
        <v>Martin Islands 88</v>
      </c>
      <c r="G492" s="2" t="str">
        <f>CleanedData!B492</f>
        <v>93474</v>
      </c>
      <c r="H492" s="2" t="str">
        <f>CleanedData!C492</f>
        <v>+64-641427445</v>
      </c>
      <c r="I492" s="2" t="str">
        <f>CleanedData!G492</f>
        <v>Inactive</v>
      </c>
      <c r="J492" s="14">
        <f>CleanedData!H492</f>
        <v>45954</v>
      </c>
      <c r="K492" s="2" t="str">
        <f t="shared" si="57"/>
        <v>OK</v>
      </c>
      <c r="L492" s="2" t="str">
        <f t="shared" si="58"/>
        <v>OK</v>
      </c>
      <c r="M492" s="2" t="str">
        <f t="shared" si="59"/>
        <v>OK</v>
      </c>
      <c r="N492" s="2" t="str">
        <f t="shared" si="60"/>
        <v>MATCH</v>
      </c>
      <c r="O492" s="2" t="str">
        <f t="shared" si="61"/>
        <v>OK</v>
      </c>
      <c r="P492" s="2">
        <f t="shared" si="62"/>
        <v>0</v>
      </c>
      <c r="Q492" s="2" t="str">
        <f t="shared" si="63"/>
        <v>2025-10</v>
      </c>
      <c r="R492" s="3" t="s">
        <v>16</v>
      </c>
      <c r="S492" s="2">
        <f>IF(tblChecks[[#This Row],[AnyError]]="ERROR",1,0)</f>
        <v>0</v>
      </c>
      <c r="T492" s="2">
        <f>IF(tblChecks[[#This Row],[MissingStreet]]="MISSING",1,0)</f>
        <v>0</v>
      </c>
      <c r="U492" t="str">
        <f t="shared" si="56"/>
        <v>OK</v>
      </c>
    </row>
    <row r="493" spans="1:21" x14ac:dyDescent="0.3">
      <c r="A493" s="1" t="str">
        <f>CleanedData!F493</f>
        <v>PROP00492</v>
      </c>
      <c r="B493" s="2" t="str">
        <f>CleanedData!A493</f>
        <v>Michael Path277, Munich, Germany</v>
      </c>
      <c r="C493" s="2" t="str">
        <f>CleanedData!D493</f>
        <v>Germany</v>
      </c>
      <c r="D493" s="2" t="str">
        <f>CleanedData!E493</f>
        <v>Munich</v>
      </c>
      <c r="E493" s="2" t="str">
        <f>CleanedData!O493</f>
        <v>Munich</v>
      </c>
      <c r="F493" s="2" t="str">
        <f>CleanedData!M493</f>
        <v>Michael Path277</v>
      </c>
      <c r="G493" s="2" t="str">
        <f>CleanedData!B493</f>
        <v>37731</v>
      </c>
      <c r="H493" s="2" t="str">
        <f>CleanedData!C493</f>
        <v>+79-245424115</v>
      </c>
      <c r="I493" s="2" t="str">
        <f>CleanedData!G493</f>
        <v>Inactive</v>
      </c>
      <c r="J493" s="14">
        <f>CleanedData!H493</f>
        <v>45087</v>
      </c>
      <c r="K493" s="2" t="str">
        <f t="shared" si="57"/>
        <v>OK</v>
      </c>
      <c r="L493" s="2" t="str">
        <f t="shared" si="58"/>
        <v>OK</v>
      </c>
      <c r="M493" s="2" t="str">
        <f t="shared" si="59"/>
        <v>OK</v>
      </c>
      <c r="N493" s="2" t="str">
        <f t="shared" si="60"/>
        <v>MATCH</v>
      </c>
      <c r="O493" s="2" t="str">
        <f t="shared" si="61"/>
        <v>OK</v>
      </c>
      <c r="P493" s="2">
        <f t="shared" si="62"/>
        <v>0</v>
      </c>
      <c r="Q493" s="2" t="str">
        <f t="shared" si="63"/>
        <v>2023-06</v>
      </c>
      <c r="R493" s="3" t="s">
        <v>23</v>
      </c>
      <c r="S493" s="2">
        <f>IF(tblChecks[[#This Row],[AnyError]]="ERROR",1,0)</f>
        <v>0</v>
      </c>
      <c r="T493" s="2">
        <f>IF(tblChecks[[#This Row],[MissingStreet]]="MISSING",1,0)</f>
        <v>0</v>
      </c>
      <c r="U493" t="str">
        <f t="shared" si="56"/>
        <v>OK</v>
      </c>
    </row>
    <row r="494" spans="1:21" x14ac:dyDescent="0.3">
      <c r="A494" s="1" t="str">
        <f>CleanedData!F494</f>
        <v>PROP00493</v>
      </c>
      <c r="B494" s="2" t="str">
        <f>CleanedData!A494</f>
        <v>Japan, Sapporo, John Roads 93</v>
      </c>
      <c r="C494" s="2" t="str">
        <f>CleanedData!D494</f>
        <v>Japan</v>
      </c>
      <c r="D494" s="2" t="str">
        <f>CleanedData!E494</f>
        <v>Sapporo</v>
      </c>
      <c r="E494" s="2" t="str">
        <f>CleanedData!O494</f>
        <v>Sapporo</v>
      </c>
      <c r="F494" s="2" t="str">
        <f>CleanedData!M494</f>
        <v>John Roads 93</v>
      </c>
      <c r="G494" s="2" t="str">
        <f>CleanedData!B494</f>
        <v>72700</v>
      </c>
      <c r="H494" s="2" t="str">
        <f>CleanedData!C494</f>
        <v>+32-613617777</v>
      </c>
      <c r="I494" s="2" t="str">
        <f>CleanedData!G494</f>
        <v>Inactive</v>
      </c>
      <c r="J494" s="14">
        <f>CleanedData!H494</f>
        <v>45587</v>
      </c>
      <c r="K494" s="2" t="str">
        <f t="shared" si="57"/>
        <v>OK</v>
      </c>
      <c r="L494" s="2" t="str">
        <f t="shared" si="58"/>
        <v>OK</v>
      </c>
      <c r="M494" s="2" t="str">
        <f t="shared" si="59"/>
        <v>OK</v>
      </c>
      <c r="N494" s="2" t="str">
        <f t="shared" si="60"/>
        <v>MATCH</v>
      </c>
      <c r="O494" s="2" t="str">
        <f t="shared" si="61"/>
        <v>OK</v>
      </c>
      <c r="P494" s="2">
        <f t="shared" si="62"/>
        <v>0</v>
      </c>
      <c r="Q494" s="2" t="str">
        <f t="shared" si="63"/>
        <v>2024-10</v>
      </c>
      <c r="R494" s="3" t="s">
        <v>16</v>
      </c>
      <c r="S494" s="2">
        <f>IF(tblChecks[[#This Row],[AnyError]]="ERROR",1,0)</f>
        <v>0</v>
      </c>
      <c r="T494" s="2">
        <f>IF(tblChecks[[#This Row],[MissingStreet]]="MISSING",1,0)</f>
        <v>0</v>
      </c>
      <c r="U494" t="str">
        <f t="shared" si="56"/>
        <v>OK</v>
      </c>
    </row>
    <row r="495" spans="1:21" x14ac:dyDescent="0.3">
      <c r="A495" s="1" t="str">
        <f>CleanedData!F495</f>
        <v>PROP00494</v>
      </c>
      <c r="B495" s="2" t="str">
        <f>CleanedData!A495</f>
        <v>GermanyHamburg</v>
      </c>
      <c r="C495" s="2" t="str">
        <f>CleanedData!D495</f>
        <v>Germany</v>
      </c>
      <c r="D495" s="2" t="str">
        <f>CleanedData!E495</f>
        <v>Hamburg</v>
      </c>
      <c r="E495" s="2" t="str">
        <f>CleanedData!O495</f>
        <v>Hamburg</v>
      </c>
      <c r="F495" s="2" t="str">
        <f>CleanedData!M495</f>
        <v/>
      </c>
      <c r="G495" s="2" t="str">
        <f>CleanedData!B495</f>
        <v>81035</v>
      </c>
      <c r="H495" s="2" t="str">
        <f>CleanedData!C495</f>
        <v>+74-973035711</v>
      </c>
      <c r="I495" s="2" t="str">
        <f>CleanedData!G495</f>
        <v>Inactive</v>
      </c>
      <c r="J495" s="14">
        <f>CleanedData!H495</f>
        <v>45044</v>
      </c>
      <c r="K495" s="2" t="str">
        <f t="shared" si="57"/>
        <v>MISSING</v>
      </c>
      <c r="L495" s="2" t="str">
        <f t="shared" si="58"/>
        <v>OK</v>
      </c>
      <c r="M495" s="2" t="str">
        <f t="shared" si="59"/>
        <v>OK</v>
      </c>
      <c r="N495" s="2" t="str">
        <f t="shared" si="60"/>
        <v>MATCH</v>
      </c>
      <c r="O495" s="2" t="str">
        <f t="shared" si="61"/>
        <v>ERROR</v>
      </c>
      <c r="P495" s="2">
        <f t="shared" si="62"/>
        <v>1</v>
      </c>
      <c r="Q495" s="2" t="str">
        <f t="shared" si="63"/>
        <v>2023-04</v>
      </c>
      <c r="R495" s="3" t="s">
        <v>16</v>
      </c>
      <c r="S495" s="2">
        <f>IF(tblChecks[[#This Row],[AnyError]]="ERROR",1,0)</f>
        <v>1</v>
      </c>
      <c r="T495" s="2">
        <f>IF(tblChecks[[#This Row],[MissingStreet]]="MISSING",1,0)</f>
        <v>1</v>
      </c>
      <c r="U495" t="str">
        <f t="shared" si="56"/>
        <v>MissingStreet</v>
      </c>
    </row>
    <row r="496" spans="1:21" x14ac:dyDescent="0.3">
      <c r="A496" s="1" t="str">
        <f>CleanedData!F496</f>
        <v>PROP00495</v>
      </c>
      <c r="B496" s="2" t="str">
        <f>CleanedData!A496</f>
        <v>GermanyMunich</v>
      </c>
      <c r="C496" s="2" t="str">
        <f>CleanedData!D496</f>
        <v>Germany</v>
      </c>
      <c r="D496" s="2" t="str">
        <f>CleanedData!E496</f>
        <v>Munich</v>
      </c>
      <c r="E496" s="2" t="str">
        <f>CleanedData!O496</f>
        <v>Munich</v>
      </c>
      <c r="F496" s="2" t="str">
        <f>CleanedData!M496</f>
        <v/>
      </c>
      <c r="G496" s="2" t="str">
        <f>CleanedData!B496</f>
        <v>78070</v>
      </c>
      <c r="H496" s="2" t="str">
        <f>CleanedData!C496</f>
        <v>+11-581262173</v>
      </c>
      <c r="I496" s="2" t="str">
        <f>CleanedData!G496</f>
        <v>Active</v>
      </c>
      <c r="J496" s="14">
        <f>CleanedData!H496</f>
        <v>45124</v>
      </c>
      <c r="K496" s="2" t="str">
        <f t="shared" si="57"/>
        <v>MISSING</v>
      </c>
      <c r="L496" s="2" t="str">
        <f t="shared" si="58"/>
        <v>OK</v>
      </c>
      <c r="M496" s="2" t="str">
        <f t="shared" si="59"/>
        <v>OK</v>
      </c>
      <c r="N496" s="2" t="str">
        <f t="shared" si="60"/>
        <v>MATCH</v>
      </c>
      <c r="O496" s="2" t="str">
        <f t="shared" si="61"/>
        <v>ERROR</v>
      </c>
      <c r="P496" s="2">
        <f t="shared" si="62"/>
        <v>1</v>
      </c>
      <c r="Q496" s="2" t="str">
        <f t="shared" si="63"/>
        <v>2023-07</v>
      </c>
      <c r="R496" s="3" t="s">
        <v>16</v>
      </c>
      <c r="S496" s="2">
        <f>IF(tblChecks[[#This Row],[AnyError]]="ERROR",1,0)</f>
        <v>1</v>
      </c>
      <c r="T496" s="2">
        <f>IF(tblChecks[[#This Row],[MissingStreet]]="MISSING",1,0)</f>
        <v>1</v>
      </c>
      <c r="U496" t="str">
        <f t="shared" si="56"/>
        <v>MissingStreet</v>
      </c>
    </row>
    <row r="497" spans="1:21" x14ac:dyDescent="0.3">
      <c r="A497" s="1" t="str">
        <f>CleanedData!F497</f>
        <v>PROP00496</v>
      </c>
      <c r="B497" s="2" t="str">
        <f>CleanedData!A497</f>
        <v>ItalyFlorence, Italy</v>
      </c>
      <c r="C497" s="2" t="str">
        <f>CleanedData!D497</f>
        <v>Italy</v>
      </c>
      <c r="D497" s="2" t="str">
        <f>CleanedData!E497</f>
        <v>Florence</v>
      </c>
      <c r="E497" s="2" t="str">
        <f>CleanedData!O497</f>
        <v>Florence</v>
      </c>
      <c r="F497" s="2" t="str">
        <f>CleanedData!M497</f>
        <v>Italy</v>
      </c>
      <c r="G497" s="2" t="str">
        <f>CleanedData!B497</f>
        <v>94955</v>
      </c>
      <c r="H497" s="2" t="str">
        <f>CleanedData!C497</f>
        <v>+61-452777680</v>
      </c>
      <c r="I497" s="2" t="str">
        <f>CleanedData!G497</f>
        <v>Active</v>
      </c>
      <c r="J497" s="14">
        <f>CleanedData!H497</f>
        <v>45811</v>
      </c>
      <c r="K497" s="2" t="str">
        <f t="shared" si="57"/>
        <v>OK</v>
      </c>
      <c r="L497" s="2" t="str">
        <f t="shared" si="58"/>
        <v>OK</v>
      </c>
      <c r="M497" s="2" t="str">
        <f t="shared" si="59"/>
        <v>OK</v>
      </c>
      <c r="N497" s="2" t="str">
        <f t="shared" si="60"/>
        <v>MATCH</v>
      </c>
      <c r="O497" s="2" t="str">
        <f t="shared" si="61"/>
        <v>OK</v>
      </c>
      <c r="P497" s="2">
        <f t="shared" si="62"/>
        <v>0</v>
      </c>
      <c r="Q497" s="2" t="str">
        <f t="shared" si="63"/>
        <v>2025-06</v>
      </c>
      <c r="R497" s="3" t="s">
        <v>16</v>
      </c>
      <c r="S497" s="2">
        <f>IF(tblChecks[[#This Row],[AnyError]]="ERROR",1,0)</f>
        <v>0</v>
      </c>
      <c r="T497" s="2">
        <f>IF(tblChecks[[#This Row],[MissingStreet]]="MISSING",1,0)</f>
        <v>0</v>
      </c>
      <c r="U497" t="str">
        <f t="shared" si="56"/>
        <v>OK</v>
      </c>
    </row>
    <row r="498" spans="1:21" x14ac:dyDescent="0.3">
      <c r="A498" s="1" t="str">
        <f>CleanedData!F498</f>
        <v>PROP00497</v>
      </c>
      <c r="B498" s="2" t="str">
        <f>CleanedData!A498</f>
        <v>Kirby Port 64, Canada, Toronto</v>
      </c>
      <c r="C498" s="2" t="str">
        <f>CleanedData!D498</f>
        <v>Canada</v>
      </c>
      <c r="D498" s="2" t="str">
        <f>CleanedData!E498</f>
        <v>Toronto</v>
      </c>
      <c r="E498" s="2" t="str">
        <f>CleanedData!O498</f>
        <v>Toronto</v>
      </c>
      <c r="F498" s="2" t="str">
        <f>CleanedData!M498</f>
        <v>Kirby Port 64</v>
      </c>
      <c r="G498" s="2" t="str">
        <f>CleanedData!B498</f>
        <v>5900</v>
      </c>
      <c r="H498" s="2" t="str">
        <f>CleanedData!C498</f>
        <v>+71-713556722</v>
      </c>
      <c r="I498" s="2" t="str">
        <f>CleanedData!G498</f>
        <v>Inactive</v>
      </c>
      <c r="J498" s="14">
        <f>CleanedData!H498</f>
        <v>45422</v>
      </c>
      <c r="K498" s="2" t="str">
        <f t="shared" si="57"/>
        <v>OK</v>
      </c>
      <c r="L498" s="2" t="str">
        <f t="shared" si="58"/>
        <v>OK</v>
      </c>
      <c r="M498" s="2" t="str">
        <f t="shared" si="59"/>
        <v>OK</v>
      </c>
      <c r="N498" s="2" t="str">
        <f t="shared" si="60"/>
        <v>MATCH</v>
      </c>
      <c r="O498" s="2" t="str">
        <f t="shared" si="61"/>
        <v>OK</v>
      </c>
      <c r="P498" s="2">
        <f t="shared" si="62"/>
        <v>0</v>
      </c>
      <c r="Q498" s="2" t="str">
        <f t="shared" si="63"/>
        <v>2024-05</v>
      </c>
      <c r="R498" s="3" t="s">
        <v>54</v>
      </c>
      <c r="S498" s="2">
        <f>IF(tblChecks[[#This Row],[AnyError]]="ERROR",1,0)</f>
        <v>0</v>
      </c>
      <c r="T498" s="2">
        <f>IF(tblChecks[[#This Row],[MissingStreet]]="MISSING",1,0)</f>
        <v>0</v>
      </c>
      <c r="U498" t="str">
        <f t="shared" si="56"/>
        <v>OK</v>
      </c>
    </row>
    <row r="499" spans="1:21" x14ac:dyDescent="0.3">
      <c r="A499" s="1" t="str">
        <f>CleanedData!F499</f>
        <v>PROP00498</v>
      </c>
      <c r="B499" s="2" t="str">
        <f>CleanedData!A499</f>
        <v>UKBirmingham, UK</v>
      </c>
      <c r="C499" s="2" t="str">
        <f>CleanedData!D499</f>
        <v>UK</v>
      </c>
      <c r="D499" s="2" t="str">
        <f>CleanedData!E499</f>
        <v>Birmingham</v>
      </c>
      <c r="E499" s="2" t="str">
        <f>CleanedData!O499</f>
        <v>Birmingham</v>
      </c>
      <c r="F499" s="2" t="str">
        <f>CleanedData!M499</f>
        <v>UK</v>
      </c>
      <c r="G499" s="2" t="str">
        <f>CleanedData!B499</f>
        <v>76099</v>
      </c>
      <c r="H499" s="2" t="str">
        <f>CleanedData!C499</f>
        <v>+81-776741061</v>
      </c>
      <c r="I499" s="2" t="str">
        <f>CleanedData!G499</f>
        <v>Active</v>
      </c>
      <c r="J499" s="14">
        <f>CleanedData!H499</f>
        <v>45220</v>
      </c>
      <c r="K499" s="2" t="str">
        <f t="shared" si="57"/>
        <v>OK</v>
      </c>
      <c r="L499" s="2" t="str">
        <f t="shared" si="58"/>
        <v>OK</v>
      </c>
      <c r="M499" s="2" t="str">
        <f t="shared" si="59"/>
        <v>OK</v>
      </c>
      <c r="N499" s="2" t="str">
        <f t="shared" si="60"/>
        <v>MATCH</v>
      </c>
      <c r="O499" s="2" t="str">
        <f t="shared" si="61"/>
        <v>OK</v>
      </c>
      <c r="P499" s="2">
        <f t="shared" si="62"/>
        <v>0</v>
      </c>
      <c r="Q499" s="2" t="str">
        <f t="shared" si="63"/>
        <v>2023-10</v>
      </c>
      <c r="R499" s="3" t="s">
        <v>54</v>
      </c>
      <c r="S499" s="2">
        <f>IF(tblChecks[[#This Row],[AnyError]]="ERROR",1,0)</f>
        <v>0</v>
      </c>
      <c r="T499" s="2">
        <f>IF(tblChecks[[#This Row],[MissingStreet]]="MISSING",1,0)</f>
        <v>0</v>
      </c>
      <c r="U499" t="str">
        <f t="shared" si="56"/>
        <v>OK</v>
      </c>
    </row>
    <row r="500" spans="1:21" x14ac:dyDescent="0.3">
      <c r="A500" s="1" t="str">
        <f>CleanedData!F500</f>
        <v>PROP00499</v>
      </c>
      <c r="B500" s="2" t="str">
        <f>CleanedData!A500</f>
        <v>Curtis Trafficway 43, Phoenix</v>
      </c>
      <c r="C500" s="2" t="str">
        <f>CleanedData!D500</f>
        <v>USA</v>
      </c>
      <c r="D500" s="2" t="str">
        <f>CleanedData!E500</f>
        <v>Phoenix</v>
      </c>
      <c r="E500" s="2" t="str">
        <f>CleanedData!O500</f>
        <v>Phoenix</v>
      </c>
      <c r="F500" s="2" t="str">
        <f>CleanedData!M500</f>
        <v>Curtis Trafficway 43</v>
      </c>
      <c r="G500" s="2" t="str">
        <f>CleanedData!B500</f>
        <v>75492</v>
      </c>
      <c r="H500" s="2" t="str">
        <f>CleanedData!C500</f>
        <v>+91-483475848</v>
      </c>
      <c r="I500" s="2" t="str">
        <f>CleanedData!G500</f>
        <v>Active</v>
      </c>
      <c r="J500" s="14">
        <f>CleanedData!H500</f>
        <v>45839</v>
      </c>
      <c r="K500" s="2" t="str">
        <f t="shared" si="57"/>
        <v>OK</v>
      </c>
      <c r="L500" s="2" t="str">
        <f t="shared" si="58"/>
        <v>OK</v>
      </c>
      <c r="M500" s="2" t="str">
        <f t="shared" si="59"/>
        <v>OK</v>
      </c>
      <c r="N500" s="2" t="str">
        <f t="shared" si="60"/>
        <v>MATCH</v>
      </c>
      <c r="O500" s="2" t="str">
        <f t="shared" si="61"/>
        <v>OK</v>
      </c>
      <c r="P500" s="2">
        <f t="shared" si="62"/>
        <v>0</v>
      </c>
      <c r="Q500" s="2" t="str">
        <f t="shared" si="63"/>
        <v>2025-07</v>
      </c>
      <c r="R500" s="3" t="s">
        <v>33</v>
      </c>
      <c r="S500" s="2">
        <f>IF(tblChecks[[#This Row],[AnyError]]="ERROR",1,0)</f>
        <v>0</v>
      </c>
      <c r="T500" s="2">
        <f>IF(tblChecks[[#This Row],[MissingStreet]]="MISSING",1,0)</f>
        <v>0</v>
      </c>
      <c r="U500" t="str">
        <f t="shared" si="56"/>
        <v>OK</v>
      </c>
    </row>
    <row r="501" spans="1:21" x14ac:dyDescent="0.3">
      <c r="A501" s="4" t="str">
        <f>CleanedData!F501</f>
        <v>PROP00500</v>
      </c>
      <c r="B501" s="5" t="str">
        <f>CleanedData!A501</f>
        <v>Montgomery Burgs146, Adelaide, Australia</v>
      </c>
      <c r="C501" s="5" t="str">
        <f>CleanedData!D501</f>
        <v>Australia</v>
      </c>
      <c r="D501" s="5" t="str">
        <f>CleanedData!E501</f>
        <v>Adelaide</v>
      </c>
      <c r="E501" s="5" t="str">
        <f>CleanedData!O501</f>
        <v>Adelaide</v>
      </c>
      <c r="F501" s="5" t="str">
        <f>CleanedData!M501</f>
        <v>Montgomery Burgs146</v>
      </c>
      <c r="G501" s="5" t="str">
        <f>CleanedData!B501</f>
        <v>65779</v>
      </c>
      <c r="H501" s="5" t="str">
        <f>CleanedData!C501</f>
        <v>+21-283047445</v>
      </c>
      <c r="I501" s="5" t="str">
        <f>CleanedData!G501</f>
        <v>Inactive</v>
      </c>
      <c r="J501" s="20">
        <f>CleanedData!H501</f>
        <v>45625</v>
      </c>
      <c r="K501" s="5" t="str">
        <f t="shared" si="57"/>
        <v>OK</v>
      </c>
      <c r="L501" s="5" t="str">
        <f t="shared" si="58"/>
        <v>OK</v>
      </c>
      <c r="M501" s="5" t="str">
        <f t="shared" si="59"/>
        <v>OK</v>
      </c>
      <c r="N501" s="5" t="str">
        <f t="shared" si="60"/>
        <v>MATCH</v>
      </c>
      <c r="O501" s="5" t="str">
        <f t="shared" si="61"/>
        <v>OK</v>
      </c>
      <c r="P501" s="5">
        <f t="shared" si="62"/>
        <v>0</v>
      </c>
      <c r="Q501" s="5" t="str">
        <f t="shared" si="63"/>
        <v>2024-11</v>
      </c>
      <c r="R501" s="6" t="s">
        <v>23</v>
      </c>
      <c r="S501" s="5">
        <f>IF(tblChecks[[#This Row],[AnyError]]="ERROR",1,0)</f>
        <v>0</v>
      </c>
      <c r="T501" s="5">
        <f>IF(tblChecks[[#This Row],[MissingStreet]]="MISSING",1,0)</f>
        <v>0</v>
      </c>
      <c r="U501" t="str">
        <f t="shared" si="56"/>
        <v>OK</v>
      </c>
    </row>
  </sheetData>
  <conditionalFormatting sqref="K2:K501">
    <cfRule type="containsText" dxfId="5" priority="3" operator="containsText" text="MISSING">
      <formula>NOT(ISERROR(SEARCH("MISSING",K2)))</formula>
    </cfRule>
  </conditionalFormatting>
  <conditionalFormatting sqref="K2:M501 O2:O501">
    <cfRule type="containsText" dxfId="4" priority="7" operator="containsText" text="OK">
      <formula>NOT(ISERROR(SEARCH("OK",K2)))</formula>
    </cfRule>
  </conditionalFormatting>
  <conditionalFormatting sqref="N2:N501">
    <cfRule type="containsText" dxfId="3" priority="6" operator="containsText" text="MATCH">
      <formula>NOT(ISERROR(SEARCH("MATCH",N2)))</formula>
    </cfRule>
  </conditionalFormatting>
  <conditionalFormatting sqref="O2:O501">
    <cfRule type="containsText" dxfId="2" priority="2" operator="containsText" text="ERROR">
      <formula>NOT(ISERROR(SEARCH("ERROR",O2)))</formula>
    </cfRule>
  </conditionalFormatting>
  <conditionalFormatting sqref="P2:P501">
    <cfRule type="containsText" dxfId="1" priority="1" operator="containsText" text="1">
      <formula>NOT(ISERROR(SEARCH("1",P2)))</formula>
    </cfRule>
    <cfRule type="containsText" dxfId="0" priority="5" operator="containsText" text="0">
      <formula>NOT(ISERROR(SEARCH("0",P2)))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8785-2753-40FB-89A0-CD184E1CD026}">
  <dimension ref="A2:B13"/>
  <sheetViews>
    <sheetView workbookViewId="0">
      <selection activeCell="B8" sqref="B8"/>
    </sheetView>
  </sheetViews>
  <sheetFormatPr defaultRowHeight="14.4" x14ac:dyDescent="0.3"/>
  <cols>
    <col min="1" max="2" width="12.44140625" bestFit="1" customWidth="1"/>
    <col min="3" max="3" width="4" bestFit="1" customWidth="1"/>
    <col min="4" max="4" width="10.5546875" bestFit="1" customWidth="1"/>
    <col min="7" max="8" width="12.44140625" bestFit="1" customWidth="1"/>
  </cols>
  <sheetData>
    <row r="2" spans="1:2" x14ac:dyDescent="0.3">
      <c r="A2" s="15" t="s">
        <v>2295</v>
      </c>
      <c r="B2" t="s">
        <v>2340</v>
      </c>
    </row>
    <row r="3" spans="1:2" x14ac:dyDescent="0.3">
      <c r="A3" s="16" t="s">
        <v>12</v>
      </c>
      <c r="B3">
        <v>10</v>
      </c>
    </row>
    <row r="4" spans="1:2" x14ac:dyDescent="0.3">
      <c r="A4" s="16" t="s">
        <v>71</v>
      </c>
      <c r="B4">
        <v>10</v>
      </c>
    </row>
    <row r="5" spans="1:2" x14ac:dyDescent="0.3">
      <c r="A5" s="16" t="s">
        <v>36</v>
      </c>
      <c r="B5">
        <v>9</v>
      </c>
    </row>
    <row r="6" spans="1:2" x14ac:dyDescent="0.3">
      <c r="A6" s="16" t="s">
        <v>47</v>
      </c>
      <c r="B6">
        <v>9</v>
      </c>
    </row>
    <row r="7" spans="1:2" x14ac:dyDescent="0.3">
      <c r="A7" s="16" t="s">
        <v>84</v>
      </c>
      <c r="B7">
        <v>8</v>
      </c>
    </row>
    <row r="8" spans="1:2" x14ac:dyDescent="0.3">
      <c r="A8" s="16" t="s">
        <v>27</v>
      </c>
      <c r="B8">
        <v>6</v>
      </c>
    </row>
    <row r="9" spans="1:2" x14ac:dyDescent="0.3">
      <c r="A9" s="16" t="s">
        <v>173</v>
      </c>
      <c r="B9">
        <v>6</v>
      </c>
    </row>
    <row r="10" spans="1:2" x14ac:dyDescent="0.3">
      <c r="A10" s="16" t="s">
        <v>42</v>
      </c>
      <c r="B10">
        <v>5</v>
      </c>
    </row>
    <row r="11" spans="1:2" x14ac:dyDescent="0.3">
      <c r="A11" s="16" t="s">
        <v>57</v>
      </c>
      <c r="B11">
        <v>3</v>
      </c>
    </row>
    <row r="12" spans="1:2" x14ac:dyDescent="0.3">
      <c r="A12" s="16" t="s">
        <v>62</v>
      </c>
      <c r="B12">
        <v>2</v>
      </c>
    </row>
    <row r="13" spans="1:2" x14ac:dyDescent="0.3">
      <c r="A13" s="16" t="s">
        <v>2296</v>
      </c>
      <c r="B13">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2CB7-7A71-407A-98B9-AC828D57E603}">
  <dimension ref="A2:B4"/>
  <sheetViews>
    <sheetView workbookViewId="0">
      <selection activeCell="F13" sqref="F13"/>
    </sheetView>
  </sheetViews>
  <sheetFormatPr defaultRowHeight="14.4" x14ac:dyDescent="0.3"/>
  <cols>
    <col min="1" max="1" width="12.44140625" bestFit="1" customWidth="1"/>
    <col min="2" max="2" width="16.109375" bestFit="1" customWidth="1"/>
    <col min="3" max="4" width="16.5546875" bestFit="1" customWidth="1"/>
    <col min="5" max="6" width="7.88671875" bestFit="1" customWidth="1"/>
    <col min="7" max="7" width="10.5546875" bestFit="1" customWidth="1"/>
  </cols>
  <sheetData>
    <row r="2" spans="1:2" x14ac:dyDescent="0.3">
      <c r="A2" s="15" t="s">
        <v>2295</v>
      </c>
      <c r="B2" t="s">
        <v>2339</v>
      </c>
    </row>
    <row r="3" spans="1:2" x14ac:dyDescent="0.3">
      <c r="A3" s="16" t="s">
        <v>1508</v>
      </c>
      <c r="B3">
        <v>68</v>
      </c>
    </row>
    <row r="4" spans="1:2" x14ac:dyDescent="0.3">
      <c r="A4" s="16" t="s">
        <v>2296</v>
      </c>
      <c r="B4">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6FEB-0E56-4D9E-B4D7-613C51E1DB28}">
  <dimension ref="A2:B40"/>
  <sheetViews>
    <sheetView workbookViewId="0">
      <selection activeCell="A5" sqref="A5"/>
    </sheetView>
  </sheetViews>
  <sheetFormatPr defaultRowHeight="14.4" x14ac:dyDescent="0.3"/>
  <cols>
    <col min="1" max="2" width="12.44140625" bestFit="1" customWidth="1"/>
    <col min="5" max="6" width="12.44140625" bestFit="1" customWidth="1"/>
  </cols>
  <sheetData>
    <row r="2" spans="1:2" x14ac:dyDescent="0.3">
      <c r="A2" s="15" t="s">
        <v>2295</v>
      </c>
      <c r="B2" t="s">
        <v>2340</v>
      </c>
    </row>
    <row r="3" spans="1:2" x14ac:dyDescent="0.3">
      <c r="A3" s="16" t="s">
        <v>2299</v>
      </c>
      <c r="B3">
        <v>1</v>
      </c>
    </row>
    <row r="4" spans="1:2" x14ac:dyDescent="0.3">
      <c r="A4" s="16" t="s">
        <v>2332</v>
      </c>
      <c r="B4">
        <v>0</v>
      </c>
    </row>
    <row r="5" spans="1:2" x14ac:dyDescent="0.3">
      <c r="A5" s="16" t="s">
        <v>2300</v>
      </c>
      <c r="B5">
        <v>1</v>
      </c>
    </row>
    <row r="6" spans="1:2" x14ac:dyDescent="0.3">
      <c r="A6" s="16" t="s">
        <v>2301</v>
      </c>
      <c r="B6">
        <v>1</v>
      </c>
    </row>
    <row r="7" spans="1:2" x14ac:dyDescent="0.3">
      <c r="A7" s="16" t="s">
        <v>2302</v>
      </c>
      <c r="B7">
        <v>1</v>
      </c>
    </row>
    <row r="8" spans="1:2" x14ac:dyDescent="0.3">
      <c r="A8" s="16" t="s">
        <v>2303</v>
      </c>
      <c r="B8">
        <v>3</v>
      </c>
    </row>
    <row r="9" spans="1:2" x14ac:dyDescent="0.3">
      <c r="A9" s="16" t="s">
        <v>2304</v>
      </c>
      <c r="B9">
        <v>1</v>
      </c>
    </row>
    <row r="10" spans="1:2" x14ac:dyDescent="0.3">
      <c r="A10" s="16" t="s">
        <v>2305</v>
      </c>
      <c r="B10">
        <v>5</v>
      </c>
    </row>
    <row r="11" spans="1:2" x14ac:dyDescent="0.3">
      <c r="A11" s="16" t="s">
        <v>2306</v>
      </c>
      <c r="B11">
        <v>6</v>
      </c>
    </row>
    <row r="12" spans="1:2" x14ac:dyDescent="0.3">
      <c r="A12" s="16" t="s">
        <v>2307</v>
      </c>
      <c r="B12">
        <v>2</v>
      </c>
    </row>
    <row r="13" spans="1:2" x14ac:dyDescent="0.3">
      <c r="A13" s="16" t="s">
        <v>2308</v>
      </c>
      <c r="B13">
        <v>1</v>
      </c>
    </row>
    <row r="14" spans="1:2" x14ac:dyDescent="0.3">
      <c r="A14" s="16" t="s">
        <v>2309</v>
      </c>
      <c r="B14">
        <v>4</v>
      </c>
    </row>
    <row r="15" spans="1:2" x14ac:dyDescent="0.3">
      <c r="A15" s="16" t="s">
        <v>2310</v>
      </c>
      <c r="B15">
        <v>3</v>
      </c>
    </row>
    <row r="16" spans="1:2" x14ac:dyDescent="0.3">
      <c r="A16" s="16" t="s">
        <v>2311</v>
      </c>
      <c r="B16">
        <v>4</v>
      </c>
    </row>
    <row r="17" spans="1:2" x14ac:dyDescent="0.3">
      <c r="A17" s="16" t="s">
        <v>2312</v>
      </c>
      <c r="B17">
        <v>2</v>
      </c>
    </row>
    <row r="18" spans="1:2" x14ac:dyDescent="0.3">
      <c r="A18" s="16" t="s">
        <v>2313</v>
      </c>
      <c r="B18">
        <v>1</v>
      </c>
    </row>
    <row r="19" spans="1:2" x14ac:dyDescent="0.3">
      <c r="A19" s="16" t="s">
        <v>2314</v>
      </c>
      <c r="B19">
        <v>1</v>
      </c>
    </row>
    <row r="20" spans="1:2" x14ac:dyDescent="0.3">
      <c r="A20" s="16" t="s">
        <v>2315</v>
      </c>
      <c r="B20">
        <v>1</v>
      </c>
    </row>
    <row r="21" spans="1:2" x14ac:dyDescent="0.3">
      <c r="A21" s="16" t="s">
        <v>2316</v>
      </c>
      <c r="B21">
        <v>1</v>
      </c>
    </row>
    <row r="22" spans="1:2" x14ac:dyDescent="0.3">
      <c r="A22" s="16" t="s">
        <v>2333</v>
      </c>
      <c r="B22">
        <v>0</v>
      </c>
    </row>
    <row r="23" spans="1:2" x14ac:dyDescent="0.3">
      <c r="A23" s="16" t="s">
        <v>2317</v>
      </c>
      <c r="B23">
        <v>1</v>
      </c>
    </row>
    <row r="24" spans="1:2" x14ac:dyDescent="0.3">
      <c r="A24" s="16" t="s">
        <v>2318</v>
      </c>
      <c r="B24">
        <v>1</v>
      </c>
    </row>
    <row r="25" spans="1:2" x14ac:dyDescent="0.3">
      <c r="A25" s="16" t="s">
        <v>2319</v>
      </c>
      <c r="B25">
        <v>1</v>
      </c>
    </row>
    <row r="26" spans="1:2" x14ac:dyDescent="0.3">
      <c r="A26" s="16" t="s">
        <v>2320</v>
      </c>
      <c r="B26">
        <v>3</v>
      </c>
    </row>
    <row r="27" spans="1:2" x14ac:dyDescent="0.3">
      <c r="A27" s="16" t="s">
        <v>2321</v>
      </c>
      <c r="B27">
        <v>1</v>
      </c>
    </row>
    <row r="28" spans="1:2" x14ac:dyDescent="0.3">
      <c r="A28" s="16" t="s">
        <v>2334</v>
      </c>
      <c r="B28">
        <v>0</v>
      </c>
    </row>
    <row r="29" spans="1:2" x14ac:dyDescent="0.3">
      <c r="A29" s="16" t="s">
        <v>2322</v>
      </c>
      <c r="B29">
        <v>3</v>
      </c>
    </row>
    <row r="30" spans="1:2" x14ac:dyDescent="0.3">
      <c r="A30" s="16" t="s">
        <v>2323</v>
      </c>
      <c r="B30">
        <v>2</v>
      </c>
    </row>
    <row r="31" spans="1:2" x14ac:dyDescent="0.3">
      <c r="A31" s="16" t="s">
        <v>2324</v>
      </c>
      <c r="B31">
        <v>3</v>
      </c>
    </row>
    <row r="32" spans="1:2" x14ac:dyDescent="0.3">
      <c r="A32" s="16" t="s">
        <v>2325</v>
      </c>
      <c r="B32">
        <v>2</v>
      </c>
    </row>
    <row r="33" spans="1:2" x14ac:dyDescent="0.3">
      <c r="A33" s="16" t="s">
        <v>2326</v>
      </c>
      <c r="B33">
        <v>1</v>
      </c>
    </row>
    <row r="34" spans="1:2" x14ac:dyDescent="0.3">
      <c r="A34" s="16" t="s">
        <v>2327</v>
      </c>
      <c r="B34">
        <v>1</v>
      </c>
    </row>
    <row r="35" spans="1:2" x14ac:dyDescent="0.3">
      <c r="A35" s="16" t="s">
        <v>2335</v>
      </c>
      <c r="B35">
        <v>0</v>
      </c>
    </row>
    <row r="36" spans="1:2" x14ac:dyDescent="0.3">
      <c r="A36" s="16" t="s">
        <v>2328</v>
      </c>
      <c r="B36">
        <v>2</v>
      </c>
    </row>
    <row r="37" spans="1:2" x14ac:dyDescent="0.3">
      <c r="A37" s="16" t="s">
        <v>2329</v>
      </c>
      <c r="B37">
        <v>1</v>
      </c>
    </row>
    <row r="38" spans="1:2" x14ac:dyDescent="0.3">
      <c r="A38" s="16" t="s">
        <v>2330</v>
      </c>
      <c r="B38">
        <v>5</v>
      </c>
    </row>
    <row r="39" spans="1:2" x14ac:dyDescent="0.3">
      <c r="A39" s="16" t="s">
        <v>2331</v>
      </c>
      <c r="B39">
        <v>2</v>
      </c>
    </row>
    <row r="40" spans="1:2" x14ac:dyDescent="0.3">
      <c r="A40" s="16" t="s">
        <v>2296</v>
      </c>
      <c r="B40">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FEB2-4166-4142-A723-915E8713A8D5}">
  <dimension ref="A2:B5"/>
  <sheetViews>
    <sheetView workbookViewId="0">
      <selection activeCell="A2" sqref="A2"/>
    </sheetView>
  </sheetViews>
  <sheetFormatPr defaultRowHeight="14.4" x14ac:dyDescent="0.3"/>
  <cols>
    <col min="1" max="1" width="12.44140625" bestFit="1" customWidth="1"/>
    <col min="2" max="2" width="15.21875" bestFit="1" customWidth="1"/>
  </cols>
  <sheetData>
    <row r="2" spans="1:2" x14ac:dyDescent="0.3">
      <c r="A2" s="15" t="s">
        <v>2295</v>
      </c>
      <c r="B2" t="s">
        <v>2297</v>
      </c>
    </row>
    <row r="3" spans="1:2" x14ac:dyDescent="0.3">
      <c r="A3" s="16" t="s">
        <v>15</v>
      </c>
      <c r="B3">
        <v>242</v>
      </c>
    </row>
    <row r="4" spans="1:2" x14ac:dyDescent="0.3">
      <c r="A4" s="16" t="s">
        <v>22</v>
      </c>
      <c r="B4">
        <v>258</v>
      </c>
    </row>
    <row r="5" spans="1:2" x14ac:dyDescent="0.3">
      <c r="A5" s="16" t="s">
        <v>2296</v>
      </c>
      <c r="B5">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59F3-5F1A-4F44-97CD-15C7BC64C318}">
  <dimension ref="A1:B23"/>
  <sheetViews>
    <sheetView zoomScale="50" zoomScaleNormal="50" workbookViewId="0">
      <selection activeCell="U7" sqref="U7"/>
    </sheetView>
  </sheetViews>
  <sheetFormatPr defaultRowHeight="14.4" x14ac:dyDescent="0.3"/>
  <cols>
    <col min="1" max="1" width="91.109375" customWidth="1"/>
    <col min="2" max="2" width="7.88671875" hidden="1" customWidth="1"/>
    <col min="3" max="12" width="18.77734375" customWidth="1"/>
    <col min="13" max="16" width="12.77734375" customWidth="1"/>
  </cols>
  <sheetData>
    <row r="1" spans="1:1" ht="40.049999999999997" customHeight="1" x14ac:dyDescent="0.3"/>
    <row r="2" spans="1:1" ht="19.95" customHeight="1" x14ac:dyDescent="0.3"/>
    <row r="4" spans="1:1" ht="41.4" customHeight="1" x14ac:dyDescent="0.3"/>
    <row r="5" spans="1:1" ht="13.8" hidden="1" customHeight="1" x14ac:dyDescent="0.3"/>
    <row r="6" spans="1:1" ht="8.4" hidden="1" customHeight="1" x14ac:dyDescent="0.3"/>
    <row r="7" spans="1:1" ht="36" customHeight="1" x14ac:dyDescent="0.3"/>
    <row r="8" spans="1:1" ht="55.05" customHeight="1" x14ac:dyDescent="0.3"/>
    <row r="9" spans="1:1" ht="19.95" customHeight="1" x14ac:dyDescent="0.3">
      <c r="A9" s="21"/>
    </row>
    <row r="10" spans="1:1" ht="19.95" customHeight="1" x14ac:dyDescent="0.3">
      <c r="A10" s="21"/>
    </row>
    <row r="11" spans="1:1" ht="19.95" customHeight="1" x14ac:dyDescent="0.3"/>
    <row r="12" spans="1:1" ht="19.95" customHeight="1" x14ac:dyDescent="0.3"/>
    <row r="13" spans="1:1" ht="19.95" customHeight="1" x14ac:dyDescent="0.3"/>
    <row r="14" spans="1:1" ht="19.95" customHeight="1" x14ac:dyDescent="0.3"/>
    <row r="15" spans="1:1" ht="19.95" customHeight="1" x14ac:dyDescent="0.3"/>
    <row r="16" spans="1:1" ht="19.95" customHeight="1" x14ac:dyDescent="0.3"/>
    <row r="17" ht="19.95" customHeight="1" x14ac:dyDescent="0.3"/>
    <row r="18" ht="19.95" customHeight="1" x14ac:dyDescent="0.3"/>
    <row r="19" ht="19.95" customHeight="1" x14ac:dyDescent="0.3"/>
    <row r="20" ht="19.95" customHeight="1" x14ac:dyDescent="0.3"/>
    <row r="21" ht="19.95" customHeight="1" x14ac:dyDescent="0.3"/>
    <row r="22" ht="19.95" customHeight="1" x14ac:dyDescent="0.3"/>
    <row r="23" ht="19.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99C40-6443-4F00-BAD2-0D5E6A3FA4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CleanedData</vt:lpstr>
      <vt:lpstr>Checks</vt:lpstr>
      <vt:lpstr>ErrorsByCountry</vt:lpstr>
      <vt:lpstr>TopErrorTypes</vt:lpstr>
      <vt:lpstr>TrendErrorsByMonth</vt:lpstr>
      <vt:lpstr>ErrorsByStatus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Mikołaj Burzykowski</dc:creator>
  <cp:lastModifiedBy>Mikołaj Burzykowski</cp:lastModifiedBy>
  <dcterms:created xsi:type="dcterms:W3CDTF">2025-11-28T20:25:20Z</dcterms:created>
  <dcterms:modified xsi:type="dcterms:W3CDTF">2025-12-02T02:54:33Z</dcterms:modified>
</cp:coreProperties>
</file>